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757fca6c9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c7e4c03b83884191"/>
    <x:sheet xmlns:r="http://schemas.openxmlformats.org/officeDocument/2006/relationships" name="00_Instrucciones" sheetId="2" r:id="Re7ba96cac39e4037"/>
    <x:sheet xmlns:r="http://schemas.openxmlformats.org/officeDocument/2006/relationships" name="02_Risk_Register" sheetId="3" r:id="R0218afb5f3df4012"/>
    <x:sheet xmlns:r="http://schemas.openxmlformats.org/officeDocument/2006/relationships" name="03_Treatment_Actions" sheetId="4" r:id="R373c35ffc8a14380"/>
    <x:sheet xmlns:r="http://schemas.openxmlformats.org/officeDocument/2006/relationships" name="04_BIA" sheetId="5" r:id="Rf1077d0c3ce44030"/>
    <x:sheet xmlns:r="http://schemas.openxmlformats.org/officeDocument/2006/relationships" name="05_Continuity_Strategies" sheetId="6" r:id="R0da2e6001a0e4ab6"/>
    <x:sheet xmlns:r="http://schemas.openxmlformats.org/officeDocument/2006/relationships" name="06_Backup_Restore" sheetId="7" r:id="Rc596ad0ccea142dc"/>
    <x:sheet xmlns:r="http://schemas.openxmlformats.org/officeDocument/2006/relationships" name="07_Critical_Dependencies" sheetId="8" r:id="R6251de25a3444147"/>
    <x:sheet xmlns:r="http://schemas.openxmlformats.org/officeDocument/2006/relationships" name="08_Crisis_Playbooks" sheetId="9" r:id="R8eb3465c5cb747c0"/>
    <x:sheet xmlns:r="http://schemas.openxmlformats.org/officeDocument/2006/relationships" name="09_Recovery_Runbooks" sheetId="10" r:id="R9dfb0e58ab1a4c04"/>
    <x:sheet xmlns:r="http://schemas.openxmlformats.org/officeDocument/2006/relationships" name="10_Exercises_Tests" sheetId="11" r:id="R7982fbff445541c0"/>
    <x:sheet xmlns:r="http://schemas.openxmlformats.org/officeDocument/2006/relationships" name="11_Incident_Log" sheetId="12" r:id="Rc3f0c8d3588d4bd3"/>
    <x:sheet xmlns:r="http://schemas.openxmlformats.org/officeDocument/2006/relationships" name="12_Risk_Acceptance" sheetId="13" r:id="R54045797c8be4497"/>
    <x:sheet xmlns:r="http://schemas.openxmlformats.org/officeDocument/2006/relationships" name="13_Crisis_Roles" sheetId="14" r:id="Rbf743b655c61478c"/>
    <x:sheet xmlns:r="http://schemas.openxmlformats.org/officeDocument/2006/relationships" name="14_Current_Traceability" sheetId="15" r:id="Rc33bd8d697b24f18"/>
    <x:sheet xmlns:r="http://schemas.openxmlformats.org/officeDocument/2006/relationships" name="15_Historical_Traceability" sheetId="16" r:id="Rdf0a53cee2d14f20"/>
    <x:sheet xmlns:r="http://schemas.openxmlformats.org/officeDocument/2006/relationships" name="16_Risk_Taxonomy" sheetId="17" r:id="R5488bec81baa47aa"/>
    <x:sheet xmlns:r="http://schemas.openxmlformats.org/officeDocument/2006/relationships" name="17_Change_Log" sheetId="18" r:id="R55e411f0c84b4a8a"/>
    <x:sheet xmlns:r="http://schemas.openxmlformats.org/officeDocument/2006/relationships" name="18_Catalogs" sheetId="19" r:id="Rbc0593755e944204"/>
    <x:sheet xmlns:r="http://schemas.openxmlformats.org/officeDocument/2006/relationships" name="19_Scoring_Methodology" sheetId="20" r:id="R17f66f473577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yyyy-mm-dd"/>
    <x:numFmt numFmtId="202" formatCode="0%"/>
    <x:numFmt numFmtId="203" formatCode="0&quot;%&quot;"/>
    <x:numFmt numFmtId="204" formatCode="yyyy-mm-dd hh:mm"/>
    <x:numFmt numFmtId="205" formatCode="#,##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E5E7EB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15803D"/>
      <x:name val="Carlito"/>
    </x:font>
    <x:font>
      <x:b/>
      <x:sz val="10"/>
      <x:color rgb="FF1D4ED8"/>
      <x:name val="Carlito"/>
    </x:font>
    <x:font>
      <x:b/>
      <x:sz val="10"/>
      <x:color rgb="FFD977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15803D"/>
      </x:patternFill>
    </x:fill>
    <x:fill>
      <x:patternFill patternType="solid">
        <x:fgColor rgb="FF12823A"/>
      </x:patternFill>
    </x:fill>
    <x:fill>
      <x:patternFill patternType="solid">
        <x:fgColor rgb="FF1F2937"/>
      </x:patternFill>
    </x:fill>
    <x:fill>
      <x:patternFill patternType="solid">
        <x:fgColor rgb="FFFFF4CE"/>
      </x:patternFill>
    </x:fill>
    <x:fill>
      <x:patternFill patternType="solid">
        <x:fgColor rgb="FFE8F5E9"/>
      </x:patternFill>
    </x:fill>
  </x:fills>
  <x:borders count="16">
    <x:border/>
    <x:border/>
    <x:border>
      <x:left style="thin">
        <x:color rgb="FF0B5C2A"/>
      </x:left>
      <x:top style="thin">
        <x:color rgb="FF0B5C2A"/>
      </x:top>
      <x:bottom style="thin">
        <x:color rgb="FF0B5C2A"/>
      </x:bottom>
    </x:border>
    <x:border>
      <x:top style="thin">
        <x:color rgb="FF0B5C2A"/>
      </x:top>
      <x:bottom style="thin">
        <x:color rgb="FF0B5C2A"/>
      </x:bottom>
    </x:border>
    <x:border>
      <x:right style="thin">
        <x:color rgb="FF0B5C2A"/>
      </x:right>
      <x:top style="thin">
        <x:color rgb="FF0B5C2A"/>
      </x:top>
      <x:bottom style="thin">
        <x:color rgb="FF0B5C2A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200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1" fontId="4" fillId="0" borderId="1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2" fontId="4" fillId="0" borderId="1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3" fontId="4" fillId="0" borderId="1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/>
    </x:xf>
    <x:xf numFmtId="204" fontId="4" fillId="0" borderId="1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5" fontId="4" fillId="0" borderId="1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/>
    </x:xf>
    <x:xf numFmtId="0" fontId="6" fillId="5" borderId="1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/>
    </x:xf>
    <x:xf numFmtId="0" fontId="4" fillId="6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left"/>
    </x:xf>
    <x:xf numFmtId="0" fontId="3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left"/>
    </x:xf>
    <x:xf numFmtId="0" fontId="3" fillId="7" borderId="1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left" wrapText="1"/>
    </x:xf>
    <x:xf numFmtId="0" fontId="3" fillId="8" borderId="3" xfId="0" applyNumberFormat="1" applyFont="1" applyFill="1" applyBorder="1" applyAlignment="1">
      <x:alignment horizontal="left" wrapText="1"/>
    </x:xf>
    <x:xf numFmtId="0" fontId="3" fillId="8" borderId="4" xfId="0" applyNumberFormat="1" applyFont="1" applyFill="1" applyBorder="1" applyAlignment="1">
      <x:alignment horizontal="left" wrapText="1"/>
    </x:xf>
    <x:xf numFmtId="0" fontId="3" fillId="8" borderId="2" xfId="0" applyNumberFormat="1" applyFont="1" applyFill="1" applyBorder="1" applyAlignment="1">
      <x:alignment horizontal="left" vertical="center" wrapText="1"/>
    </x:xf>
    <x:xf numFmtId="0" fontId="3" fillId="8" borderId="3" xfId="0" applyNumberFormat="1" applyFont="1" applyFill="1" applyBorder="1" applyAlignment="1">
      <x:alignment horizontal="left" vertical="center" wrapText="1"/>
    </x:xf>
    <x:xf numFmtId="0" fontId="3" fillId="8" borderId="4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5" xfId="0" applyNumberFormat="1" applyFont="1" applyFill="1" applyBorder="1"/>
    <x:xf numFmtId="0" fontId="3" fillId="9" borderId="6" xfId="0" applyNumberFormat="1" applyFont="1" applyFill="1" applyBorder="1"/>
    <x:xf numFmtId="0" fontId="3" fillId="9" borderId="7" xfId="0" applyNumberFormat="1" applyFont="1" applyFill="1" applyBorder="1"/>
    <x:xf numFmtId="0" fontId="3" fillId="9" borderId="5" xfId="0" applyNumberFormat="1" applyFont="1" applyFill="1" applyBorder="1" applyAlignment="1">
      <x:alignment wrapText="1"/>
    </x:xf>
    <x:xf numFmtId="0" fontId="3" fillId="9" borderId="6" xfId="0" applyNumberFormat="1" applyFont="1" applyFill="1" applyBorder="1" applyAlignment="1">
      <x:alignment wrapText="1"/>
    </x:xf>
    <x:xf numFmtId="0" fontId="3" fillId="9" borderId="7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horizontal="center" wrapText="1"/>
    </x:xf>
    <x:xf numFmtId="0" fontId="3" fillId="9" borderId="6" xfId="0" applyNumberFormat="1" applyFont="1" applyFill="1" applyBorder="1" applyAlignment="1">
      <x:alignment horizontal="center" wrapText="1"/>
    </x:xf>
    <x:xf numFmtId="0" fontId="3" fillId="9" borderId="7" xfId="0" applyNumberFormat="1" applyFont="1" applyFill="1" applyBorder="1" applyAlignment="1">
      <x:alignment horizont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3" fillId="9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10" borderId="11" xfId="0" applyNumberFormat="1" applyFont="1" applyFill="1" applyBorder="1" applyAlignment="1">
      <x:alignment vertical="top" wrapText="1"/>
    </x:xf>
    <x:xf numFmtId="0" fontId="0" fillId="10" xfId="0" applyNumberFormat="1" applyFont="1" applyFill="1" applyBorder="0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0" fontId="0" fillId="10" borderId="13" xfId="0" applyNumberFormat="1" applyFont="1" applyFill="1" applyBorder="1" applyAlignment="1">
      <x:alignment vertical="top" wrapText="1"/>
    </x:xf>
    <x:xf numFmtId="0" fontId="0" fillId="10" borderId="14" xfId="0" applyNumberFormat="1" applyFont="1" applyFill="1" applyBorder="1" applyAlignment="1">
      <x:alignment vertical="top" wrapText="1"/>
    </x:xf>
    <x:xf numFmtId="0" fontId="0" fillId="10" borderId="15" xfId="0" applyNumberFormat="1" applyFont="1" applyFill="1" applyBorder="1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0" fillId="11" borderId="9" xfId="0" applyNumberFormat="1" applyFont="1" applyFill="1" applyBorder="1" applyAlignment="1">
      <x:alignment vertical="top" wrapText="1"/>
    </x:xf>
    <x:xf numFmtId="0" fontId="0" fillId="11" borderId="10" xfId="0" applyNumberFormat="1" applyFont="1" applyFill="1" applyBorder="1" applyAlignment="1">
      <x:alignment vertical="top" wrapText="1"/>
    </x:xf>
    <x:xf numFmtId="0" fontId="0" fillId="11" borderId="11" xfId="0" applyNumberFormat="1" applyFont="1" applyFill="1" applyBorder="1" applyAlignment="1">
      <x:alignment vertical="top" wrapText="1"/>
    </x:xf>
    <x:xf numFmtId="0" fontId="0" fillId="11" xfId="0" applyNumberFormat="1" applyFont="1" applyFill="1" applyBorder="0" applyAlignment="1">
      <x:alignment vertical="top" wrapText="1"/>
    </x:xf>
    <x:xf numFmtId="0" fontId="0" fillId="11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b/>
        <x:color rgb="FFFFFFFF"/>
      </x:font>
      <x:fill>
        <x:patternFill>
          <x:bgColor rgb="FFB91C1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b/>
        <x:color rgb="FFFFFFFF"/>
      </x:font>
      <x:fill>
        <x:patternFill>
          <x:bgColor rgb="FFB91C1C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D97706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4340f71794e58" /><Relationship Type="http://schemas.openxmlformats.org/officeDocument/2006/relationships/theme" Target="/xl/theme/theme1.xml" Id="R21955ad46e224e7a" /><Relationship Type="http://schemas.openxmlformats.org/officeDocument/2006/relationships/sharedStrings" Target="/xl/sharedStrings.xml" Id="Ra778bb53da244533" /><Relationship Type="http://schemas.openxmlformats.org/officeDocument/2006/relationships/worksheet" Target="/xl/worksheets/sheet1.xml" Id="Rc7e4c03b83884191" /><Relationship Type="http://schemas.openxmlformats.org/officeDocument/2006/relationships/worksheet" Target="/xl/worksheets/sheet2.xml" Id="Re7ba96cac39e4037" /><Relationship Type="http://schemas.openxmlformats.org/officeDocument/2006/relationships/worksheet" Target="/xl/worksheets/sheet3.xml" Id="R0218afb5f3df4012" /><Relationship Type="http://schemas.openxmlformats.org/officeDocument/2006/relationships/worksheet" Target="/xl/worksheets/sheet4.xml" Id="R373c35ffc8a14380" /><Relationship Type="http://schemas.openxmlformats.org/officeDocument/2006/relationships/worksheet" Target="/xl/worksheets/sheet5.xml" Id="Rf1077d0c3ce44030" /><Relationship Type="http://schemas.openxmlformats.org/officeDocument/2006/relationships/worksheet" Target="/xl/worksheets/sheet6.xml" Id="R0da2e6001a0e4ab6" /><Relationship Type="http://schemas.openxmlformats.org/officeDocument/2006/relationships/worksheet" Target="/xl/worksheets/sheet7.xml" Id="Rc596ad0ccea142dc" /><Relationship Type="http://schemas.openxmlformats.org/officeDocument/2006/relationships/worksheet" Target="/xl/worksheets/sheet8.xml" Id="R6251de25a3444147" /><Relationship Type="http://schemas.openxmlformats.org/officeDocument/2006/relationships/worksheet" Target="/xl/worksheets/sheet9.xml" Id="R8eb3465c5cb747c0" /><Relationship Type="http://schemas.openxmlformats.org/officeDocument/2006/relationships/worksheet" Target="/xl/worksheets/sheet10.xml" Id="R9dfb0e58ab1a4c04" /><Relationship Type="http://schemas.openxmlformats.org/officeDocument/2006/relationships/worksheet" Target="/xl/worksheets/sheet11.xml" Id="R7982fbff445541c0" /><Relationship Type="http://schemas.openxmlformats.org/officeDocument/2006/relationships/worksheet" Target="/xl/worksheets/sheet12.xml" Id="Rc3f0c8d3588d4bd3" /><Relationship Type="http://schemas.openxmlformats.org/officeDocument/2006/relationships/worksheet" Target="/xl/worksheets/sheet13.xml" Id="R54045797c8be4497" /><Relationship Type="http://schemas.openxmlformats.org/officeDocument/2006/relationships/worksheet" Target="/xl/worksheets/sheet14.xml" Id="Rbf743b655c61478c" /><Relationship Type="http://schemas.openxmlformats.org/officeDocument/2006/relationships/worksheet" Target="/xl/worksheets/sheet15.xml" Id="Rc33bd8d697b24f18" /><Relationship Type="http://schemas.openxmlformats.org/officeDocument/2006/relationships/worksheet" Target="/xl/worksheets/sheet16.xml" Id="Rdf0a53cee2d14f20" /><Relationship Type="http://schemas.openxmlformats.org/officeDocument/2006/relationships/worksheet" Target="/xl/worksheets/sheet17.xml" Id="R5488bec81baa47aa" /><Relationship Type="http://schemas.openxmlformats.org/officeDocument/2006/relationships/worksheet" Target="/xl/worksheets/sheet18.xml" Id="R55e411f0c84b4a8a" /><Relationship Type="http://schemas.openxmlformats.org/officeDocument/2006/relationships/worksheet" Target="/xl/worksheets/sheet19.xml" Id="Rbc0593755e944204" /><Relationship Type="http://schemas.openxmlformats.org/officeDocument/2006/relationships/worksheet" Target="/xl/worksheets/sheet20.xml" Id="R17f66f47357747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077568326b4695" /><Relationship Type="http://schemas.openxmlformats.org/officeDocument/2006/relationships/chart" Target="/xl/drawings/charts/chart2.xml" Id="R8350efe2e72a46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Initialized Risks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Risks</c:v>
          </c:tx>
          <c:cat>
            <c:strRef>
              <c:f>'01_Dashboard'!$A$22:$A$39</c:f>
              <c:strCache>
                <c:ptCount val="0"/>
              </c:strCache>
            </c:strRef>
          </c:cat>
          <c:val>
            <c:numRef>
              <c:f>'01_Dashboard'!$B$22:$B$39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Residual Risk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'01_Dashboard'!$J$22:$J$25</c:f>
              <c:strCache>
                <c:ptCount val="0"/>
              </c:strCache>
            </c:strRef>
          </c:cat>
          <c:val>
            <c:numRef>
              <c:f>'01_Dashboard'!$K$22:$K$25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077568326b4695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50efe2e72a46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iskRegisterTable" displayName="MasterRiskRegisterTable" ref="A4:AQ184" headerRowCount="1">
  <x:tableColumns count="43">
    <x:tableColumn id="1" name="Risk ID"/>
    <x:tableColumn id="2" name="Category"/>
    <x:tableColumn id="3" name="Subcategory"/>
    <x:tableColumn id="4" name="Risk Statement"/>
    <x:tableColumn id="5" name="Objective / Asset"/>
    <x:tableColumn id="6" name="Lifecycle Phase"/>
    <x:tableColumn id="7" name="Cause"/>
    <x:tableColumn id="8" name="Risk Event"/>
    <x:tableColumn id="9" name="Consequence"/>
    <x:tableColumn id="10" name="Inherent Likelihood"/>
    <x:tableColumn id="11" name="Inherent Impact"/>
    <x:tableColumn id="12" name="Inherent Score"/>
    <x:tableColumn id="13" name="Inherent Rating"/>
    <x:tableColumn id="14" name="Velocity"/>
    <x:tableColumn id="15" name="Detectability"/>
    <x:tableColumn id="16" name="Existing Controls"/>
    <x:tableColumn id="17" name="Control Maturity"/>
    <x:tableColumn id="18" name="Treatment Strategy"/>
    <x:tableColumn id="19" name="Planned Treatment"/>
    <x:tableColumn id="20" name="Residual Likelihood"/>
    <x:tableColumn id="21" name="Residual Impact"/>
    <x:tableColumn id="22" name="Residual Score"/>
    <x:tableColumn id="23" name="Residual Rating"/>
    <x:tableColumn id="24" name="Risk Appetite"/>
    <x:tableColumn id="25" name="Tolerance State"/>
    <x:tableColumn id="26" name="Risk Owner"/>
    <x:tableColumn id="27" name="Alternate / Escalation"/>
    <x:tableColumn id="28" name="Trigger / KRI"/>
    <x:tableColumn id="29" name="Threshold"/>
    <x:tableColumn id="30" name="Immediate Response"/>
    <x:tableColumn id="31" name="Recovery / Contingency"/>
    <x:tableColumn id="32" name="BIA ID"/>
    <x:tableColumn id="33" name="Playbook ID"/>
    <x:tableColumn id="34" name="Treatment Action IDs"/>
    <x:tableColumn id="35" name="Current Sources"/>
    <x:tableColumn id="36" name="Historical Basis"/>
    <x:tableColumn id="37" name="Status"/>
    <x:tableColumn id="38" name="Review Frequency"/>
    <x:tableColumn id="39" name="Last Review"/>
    <x:tableColumn id="40" name="Next Review"/>
    <x:tableColumn id="41" name="Evidence State"/>
    <x:tableColumn id="42" name="Notes"/>
    <x:tableColumn id="43" name="Open Blocker"/>
  </x:tableColumns>
  <x:tableStyleInfo name="TableStyleMedium2" showRowStripes="1"/>
</x:table>
</file>

<file path=xl/tables/table2.xml><?xml version="1.0" encoding="utf-8"?>
<x:table xmlns:x="http://schemas.openxmlformats.org/spreadsheetml/2006/main" id="2" name="TreatmentActionsTable" displayName="TreatmentActionsTable" ref="A4:Q184" headerRowCount="1">
  <x:tableColumns count="17">
    <x:tableColumn id="1" name="Action ID"/>
    <x:tableColumn id="2" name="Risk ID"/>
    <x:tableColumn id="3" name="Category"/>
    <x:tableColumn id="4" name="Action Title"/>
    <x:tableColumn id="5" name="Action / Deliverable"/>
    <x:tableColumn id="6" name="Owner"/>
    <x:tableColumn id="7" name="Alternate"/>
    <x:tableColumn id="8" name="Priority"/>
    <x:tableColumn id="9" name="Status"/>
    <x:tableColumn id="10" name="Opened"/>
    <x:tableColumn id="11" name="Target Date"/>
    <x:tableColumn id="12" name="Completed Date"/>
    <x:tableColumn id="13" name="Acceptance Criterion"/>
    <x:tableColumn id="14" name="Sources / Basis"/>
    <x:tableColumn id="15" name="Progress Note"/>
    <x:tableColumn id="16" name="Completion %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usinessImpactAnalysisTable" displayName="BusinessImpactAnalysisTable" ref="A4:T22" headerRowCount="1">
  <x:tableColumns count="20">
    <x:tableColumn id="1" name="BIA ID"/>
    <x:tableColumn id="2" name="Critical Capability"/>
    <x:tableColumn id="3" name="Domain"/>
    <x:tableColumn id="4" name="Criticality"/>
    <x:tableColumn id="5" name="Impact if Unavailable"/>
    <x:tableColumn id="6" name="Dependencies"/>
    <x:tableColumn id="7" name="MTPD"/>
    <x:tableColumn id="8" name="RTO"/>
    <x:tableColumn id="9" name="RPO"/>
    <x:tableColumn id="10" name="Maximum Data Loss"/>
    <x:tableColumn id="11" name="Impact 1h"/>
    <x:tableColumn id="12" name="Impact 4h"/>
    <x:tableColumn id="13" name="Impact 24h"/>
    <x:tableColumn id="14" name="Impact 3d"/>
    <x:tableColumn id="15" name="Impact 7d"/>
    <x:tableColumn id="16" name="Impact 30d"/>
    <x:tableColumn id="17" name="Owner"/>
    <x:tableColumn id="18" name="Minimum Continuity Mode"/>
    <x:tableColumn id="19" name="Playbook"/>
    <x:tableColumn id="20" name="Test State"/>
  </x:tableColumns>
  <x:tableStyleInfo name="TableStyleMedium2" showRowStripes="1"/>
</x:table>
</file>

<file path=xl/tables/table4.xml><?xml version="1.0" encoding="utf-8"?>
<x:table xmlns:x="http://schemas.openxmlformats.org/spreadsheetml/2006/main" id="4" name="ContinuityStrategiesTable" displayName="ContinuityStrategiesTable" ref="A4:M88" headerRowCount="1">
  <x:tableColumns count="13">
    <x:tableColumn id="1" name="Strategy ID"/>
    <x:tableColumn id="2" name="BIA ID"/>
    <x:tableColumn id="3" name="Capability"/>
    <x:tableColumn id="4" name="Strategy Type"/>
    <x:tableColumn id="5" name="Strategy / Control"/>
    <x:tableColumn id="6" name="Scope"/>
    <x:tableColumn id="7" name="Activation Trigger"/>
    <x:tableColumn id="8" name="Required Evidence"/>
    <x:tableColumn id="9" name="Review / Test Frequency"/>
    <x:tableColumn id="10" name="Owner"/>
    <x:tableColumn id="11" name="Implementation State"/>
    <x:tableColumn id="12" name="Evidence State"/>
    <x:tableColumn id="13" name="RTO/RPO Contribution"/>
  </x:tableColumns>
  <x:tableStyleInfo name="TableStyleMedium2" showRowStripes="1"/>
</x:table>
</file>

<file path=xl/tables/table5.xml><?xml version="1.0" encoding="utf-8"?>
<x:table xmlns:x="http://schemas.openxmlformats.org/spreadsheetml/2006/main" id="5" name="BackupRestoreTable" displayName="BackupRestoreTable" ref="A4:M20" headerRowCount="1">
  <x:tableColumns count="13">
    <x:tableColumn id="1" name="Backup ID"/>
    <x:tableColumn id="2" name="Asset / Dataset"/>
    <x:tableColumn id="3" name="Primary + Backup Method"/>
    <x:tableColumn id="4" name="Owner"/>
    <x:tableColumn id="5" name="Backup Frequency"/>
    <x:tableColumn id="6" name="Retention"/>
    <x:tableColumn id="7" name="Encryption / Access"/>
    <x:tableColumn id="8" name="Independent Copy"/>
    <x:tableColumn id="9" name="RPO"/>
    <x:tableColumn id="10" name="RTO"/>
    <x:tableColumn id="11" name="Restore Validation Procedure"/>
    <x:tableColumn id="12" name="Test Frequency"/>
    <x:tableColumn id="13" name="Evidence State"/>
  </x:tableColumns>
  <x:tableStyleInfo name="TableStyleMedium2" showRowStripes="1"/>
</x:table>
</file>

<file path=xl/tables/table6.xml><?xml version="1.0" encoding="utf-8"?>
<x:table xmlns:x="http://schemas.openxmlformats.org/spreadsheetml/2006/main" id="6" name="CriticalDependenciesTable" displayName="CriticalDependenciesTable" ref="A4:K29" headerRowCount="1">
  <x:tableColumns count="11">
    <x:tableColumn id="1" name="Dependency ID"/>
    <x:tableColumn id="2" name="Dependency"/>
    <x:tableColumn id="3" name="Type"/>
    <x:tableColumn id="4" name="Capabilities / Assets Affected"/>
    <x:tableColumn id="5" name="Criticality"/>
    <x:tableColumn id="6" name="Current Weakness / Single Point"/>
    <x:tableColumn id="7" name="Alternative / Workaround"/>
    <x:tableColumn id="8" name="Target Recovery"/>
    <x:tableColumn id="9" name="Owner"/>
    <x:tableColumn id="10" name="State"/>
    <x:tableColumn id="11" name="Sources / Notes"/>
  </x:tableColumns>
  <x:tableStyleInfo name="TableStyleMedium2" showRowStripes="1"/>
</x:table>
</file>

<file path=xl/tables/table7.xml><?xml version="1.0" encoding="utf-8"?>
<x:table xmlns:x="http://schemas.openxmlformats.org/spreadsheetml/2006/main" id="7" name="CrisisPlaybooksTable" displayName="CrisisPlaybooksTable" ref="A4:K28" headerRowCount="1">
  <x:tableColumns count="11">
    <x:tableColumn id="1" name="Playbook ID"/>
    <x:tableColumn id="2" name="Scenario"/>
    <x:tableColumn id="3" name="Activation Trigger"/>
    <x:tableColumn id="4" name="Incident Lead"/>
    <x:tableColumn id="5" name="Deputy / Support"/>
    <x:tableColumn id="6" name="First 15 Minutes"/>
    <x:tableColumn id="7" name="First Hour"/>
    <x:tableColumn id="8" name="First 4 Hours / Stabilization"/>
    <x:tableColumn id="9" name="Communication Rule"/>
    <x:tableColumn id="10" name="Evidence to Preserve"/>
    <x:tableColumn id="11" name="Exit / Recovery Criteria"/>
  </x:tableColumns>
  <x:tableStyleInfo name="TableStyleMedium2" showRowStripes="1"/>
</x:table>
</file>

<file path=xl/tables/table8.xml><?xml version="1.0" encoding="utf-8"?>
<x:table xmlns:x="http://schemas.openxmlformats.org/spreadsheetml/2006/main" id="8" name="RecoveryRunbooksTable" displayName="RecoveryRunbooksTable" ref="A4:J154" headerRowCount="1">
  <x:tableColumns count="10">
    <x:tableColumn id="1" name="Runbook ID"/>
    <x:tableColumn id="2" name="Runbook"/>
    <x:tableColumn id="3" name="BIA ID"/>
    <x:tableColumn id="4" name="Playbook ID"/>
    <x:tableColumn id="5" name="Step"/>
    <x:tableColumn id="6" name="Procedure"/>
    <x:tableColumn id="7" name="Responsible Role"/>
    <x:tableColumn id="8" name="Execution Result"/>
    <x:tableColumn id="9" name="Required Evidence / Notes"/>
    <x:tableColumn id="10" name="State"/>
  </x:tableColumns>
  <x:tableStyleInfo name="TableStyleMedium2" showRowStripes="1"/>
</x:table>
</file>

<file path=xl/tables/table9.xml><?xml version="1.0" encoding="utf-8"?>
<x:table xmlns:x="http://schemas.openxmlformats.org/spreadsheetml/2006/main" id="9" name="ContinuityExercisesTable" displayName="ContinuityExercisesTable" ref="A4:Q68" headerRowCount="1">
  <x:tableColumns count="17">
    <x:tableColumn id="1" name="Exercise Instance"/>
    <x:tableColumn id="2" name="Exercise ID"/>
    <x:tableColumn id="3" name="Exercise"/>
    <x:tableColumn id="4" name="Type"/>
    <x:tableColumn id="5" name="BIA ID"/>
    <x:tableColumn id="6" name="Frequency"/>
    <x:tableColumn id="7" name="Cycle / Window"/>
    <x:tableColumn id="8" name="Owner"/>
    <x:tableColumn id="9" name="Reviewer"/>
    <x:tableColumn id="10" name="Scope / Scenario"/>
    <x:tableColumn id="11" name="Target Time"/>
    <x:tableColumn id="12" name="Success Criterion"/>
    <x:tableColumn id="13" name="Schedule State"/>
    <x:tableColumn id="14" name="Execution Result"/>
    <x:tableColumn id="15" name="Evidence ID"/>
    <x:tableColumn id="16" name="Status"/>
    <x:tableColumn id="1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IncidentLogTable" displayName="IncidentLogTable" ref="A4:T200" headerRowCount="1">
  <x:tableColumns count="20">
    <x:tableColumn id="1" name="Incident ID"/>
    <x:tableColumn id="2" name="Date/Time Opened"/>
    <x:tableColumn id="3" name="Incident Type"/>
    <x:tableColumn id="4" name="Severity"/>
    <x:tableColumn id="5" name="Actual Impact"/>
    <x:tableColumn id="6" name="Affected Assets / Capabilities"/>
    <x:tableColumn id="7" name="Trigger / Detection"/>
    <x:tableColumn id="8" name="Incident Commander"/>
    <x:tableColumn id="9" name="Status"/>
    <x:tableColumn id="10" name="Containment Time"/>
    <x:tableColumn id="11" name="Recovery Time"/>
    <x:tableColumn id="12" name="RPO / Data Loss"/>
    <x:tableColumn id="13" name="Playbook"/>
    <x:tableColumn id="14" name="Evidence Package"/>
    <x:tableColumn id="15" name="Internal Communication"/>
    <x:tableColumn id="16" name="External / Legal Decision"/>
    <x:tableColumn id="17" name="Root Cause"/>
    <x:tableColumn id="18" name="Corrective Actions"/>
    <x:tableColumn id="19" name="Closed Date"/>
    <x:tableColumn id="20" name="Post-Incident Review"/>
  </x:tableColumns>
  <x:tableStyleInfo name="TableStyleMedium2" showRowStripes="1"/>
</x:table>
</file>

<file path=xl/tables/table11.xml><?xml version="1.0" encoding="utf-8"?>
<x:table xmlns:x="http://schemas.openxmlformats.org/spreadsheetml/2006/main" id="11" name="RiskAcceptanceTable" displayName="RiskAcceptanceTable" ref="A4:P100" headerRowCount="1">
  <x:tableColumns count="16">
    <x:tableColumn id="1" name="Acceptance ID"/>
    <x:tableColumn id="2" name="Risk ID"/>
    <x:tableColumn id="3" name="Requested Date"/>
    <x:tableColumn id="4" name="Residual Score"/>
    <x:tableColumn id="5" name="Appetite"/>
    <x:tableColumn id="6" name="Reason Treatment Is Not Proportionate"/>
    <x:tableColumn id="7" name="Scope / Duration"/>
    <x:tableColumn id="8" name="Compensating Controls"/>
    <x:tableColumn id="9" name="Owner"/>
    <x:tableColumn id="10" name="Independent Reviewer"/>
    <x:tableColumn id="11" name="Expiry Date"/>
    <x:tableColumn id="12" name="Decision"/>
    <x:tableColumn id="13" name="Conditions"/>
    <x:tableColumn id="14" name="Evidence"/>
    <x:tableColumn id="15" name="Re-review Trigger"/>
    <x:tableColumn id="16" name="Closed / Superseded By"/>
  </x:tableColumns>
  <x:tableStyleInfo name="TableStyleMedium2" showRowStripes="1"/>
</x:table>
</file>

<file path=xl/tables/table12.xml><?xml version="1.0" encoding="utf-8"?>
<x:table xmlns:x="http://schemas.openxmlformats.org/spreadsheetml/2006/main" id="12" name="CrisisRolesTable" displayName="CrisisRolesTable" ref="A4:G18" headerRowCount="1">
  <x:tableColumns count="7">
    <x:tableColumn id="1" name="Role ID"/>
    <x:tableColumn id="2" name="Crisis Role"/>
    <x:tableColumn id="3" name="Responsibilities"/>
    <x:tableColumn id="4" name="Deputy"/>
    <x:tableColumn id="5" name="Decision Authority"/>
    <x:tableColumn id="6" name="Primary Contact Channel"/>
    <x:tableColumn id="7" name="Activation"/>
  </x:tableColumns>
  <x:tableStyleInfo name="TableStyleMedium2" showRowStripes="1"/>
</x:table>
</file>

<file path=xl/tables/table13.xml><?xml version="1.0" encoding="utf-8"?>
<x:table xmlns:x="http://schemas.openxmlformats.org/spreadsheetml/2006/main" id="13" name="CurrentRiskTraceabilityTable" displayName="CurrentRiskTraceabilityTable" ref="A4:I39" headerRowCount="1">
  <x:tableColumns count="9">
    <x:tableColumn id="1" name="ID"/>
    <x:tableColumn id="2" name="Document / File"/>
    <x:tableColumn id="3" name="Physical State"/>
    <x:tableColumn id="4" name="Bytes"/>
    <x:tableColumn id="5" name="SHA-256"/>
    <x:tableColumn id="6" name="Hash State"/>
    <x:tableColumn id="7" name="Relation to Document 33"/>
    <x:tableColumn id="8" name="Risk / Continuity Contribution"/>
    <x:tableColumn id="9" name="Update Trigger"/>
  </x:tableColumns>
  <x:tableStyleInfo name="TableStyleMedium2" showRowStripes="1"/>
</x:table>
</file>

<file path=xl/tables/table14.xml><?xml version="1.0" encoding="utf-8"?>
<x:table xmlns:x="http://schemas.openxmlformats.org/spreadsheetml/2006/main" id="14" name="HistoricalRiskTraceabilityTable" displayName="HistoricalRiskTraceabilityTable" ref="A4:O749" headerRowCount="1">
  <x:tableColumns count="15">
    <x:tableColumn id="1" name="Historical ID"/>
    <x:tableColumn id="2" name="Collection"/>
    <x:tableColumn id="3" name="Version"/>
    <x:tableColumn id="4" name="Sprint"/>
    <x:tableColumn id="5" name="File Name"/>
    <x:tableColumn id="6" name="Format"/>
    <x:tableColumn id="7" name="Bytes"/>
    <x:tableColumn id="8" name="SHA-256"/>
    <x:tableColumn id="9" name="Identical Copy Count"/>
    <x:tableColumn id="10" name="Historical Authority"/>
    <x:tableColumn id="11" name="Risk Relevance"/>
    <x:tableColumn id="12" name="Matched Terms"/>
    <x:tableColumn id="13" name="Retention / Authority Rule"/>
    <x:tableColumn id="14" name="Document 33 Use"/>
    <x:tableColumn id="15" name="Historical Relative Path"/>
  </x:tableColumns>
  <x:tableStyleInfo name="TableStyleMedium2" showRowStripes="1"/>
</x:table>
</file>

<file path=xl/tables/table15.xml><?xml version="1.0" encoding="utf-8"?>
<x:table xmlns:x="http://schemas.openxmlformats.org/spreadsheetml/2006/main" id="15" name="RiskTaxonomyTable" displayName="RiskTaxonomyTable" ref="A4:K22" headerRowCount="1">
  <x:tableColumns count="11">
    <x:tableColumn id="1" name="Code"/>
    <x:tableColumn id="2" name="Risk Category"/>
    <x:tableColumn id="3" name="Initialized Risks"/>
    <x:tableColumn id="4" name="Default Owner"/>
    <x:tableColumn id="5" name="Appetite"/>
    <x:tableColumn id="6" name="Current Sources"/>
    <x:tableColumn id="7" name="Historical Roots"/>
    <x:tableColumn id="8" name="Control Baseline"/>
    <x:tableColumn id="9" name="Treatment Principle"/>
    <x:tableColumn id="10" name="BIA"/>
    <x:tableColumn id="11" name="Playbook"/>
  </x:tableColumns>
  <x:tableStyleInfo name="TableStyleMedium2" showRowStripes="1"/>
</x:table>
</file>

<file path=xl/tables/table16.xml><?xml version="1.0" encoding="utf-8"?>
<x:table xmlns:x="http://schemas.openxmlformats.org/spreadsheetml/2006/main" id="16" name="RiskChangeLogTable" displayName="RiskChangeLogTable" ref="A4:L200" headerRowCount="1">
  <x:tableColumns count="12">
    <x:tableColumn id="1" name="Change ID"/>
    <x:tableColumn id="2" name="Date"/>
    <x:tableColumn id="3" name="Object"/>
    <x:tableColumn id="4" name="Previous State"/>
    <x:tableColumn id="5" name="New State"/>
    <x:tableColumn id="6" name="Change Type"/>
    <x:tableColumn id="7" name="Reason"/>
    <x:tableColumn id="8" name="Affected IDs"/>
    <x:tableColumn id="9" name="Owner"/>
    <x:tableColumn id="10" name="Reviewer"/>
    <x:tableColumn id="11" name="Decision / Status"/>
    <x:tableColumn id="12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2a439fc8724e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de3df4a5c314a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34a0165ce49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74cc9a9e62649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df9ead910c44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252e2e377a744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f465fc6bffb4f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03b4c95d69e476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254033442844b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9b7f531b024da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ec48c12d13a45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df1ddc3dccc4c8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a636472695341b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0e24b3ee6800433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68c1eb1abf504f3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2f22c7515fd490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a8001909aef34c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12" hidden="0" customWidth="1"/>
    <x:col min="5" max="5" width="28" hidden="0" customWidth="1"/>
    <x:col min="6" max="6" width="18" hidden="0" customWidth="1"/>
    <x:col min="7" max="7" width="20" hidden="0" customWidth="1"/>
    <x:col min="8" max="8" width="36" hidden="0" customWidth="1"/>
  </x:cols>
  <x:sheetData>
    <x:row r="1" ht="36" customHeight="1">
      <x:c r="A1" s="5" t="str">
        <x:v>Cartridge &amp; Cloud — Risk &amp; Business Continuity Dashboard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Live summary calculated from the operational registers. Red/amber status reflects unverified initial state, not an assertion that an incident has occurred.</x:v>
      </x:c>
      <x:c r="B2" s="13"/>
      <x:c r="C2" s="13"/>
      <x:c r="D2" s="13"/>
      <x:c r="E2" s="13"/>
      <x:c r="F2" s="13"/>
      <x:c r="G2" s="13"/>
      <x:c r="H2" s="13"/>
    </x:row>
    <x:row r="4">
      <x:c r="A4" s="71" t="str">
        <x:v>Workbook</x:v>
      </x:c>
      <x:c r="B4" s="36" t="str">
        <x:v>33_Project_Risk_Register_and_Business_Continuity_Plan.xlsx</x:v>
      </x:c>
      <x:c r="D4" s="71" t="str">
        <x:v>Risk and Continuity KPIs</x:v>
      </x:c>
      <x:c r="E4" s="71"/>
      <x:c r="F4" s="71"/>
      <x:c r="G4" s="71"/>
      <x:c r="H4" s="71"/>
    </x:row>
    <x:row r="5">
      <x:c r="A5" s="71" t="str">
        <x:v>Project</x:v>
      </x:c>
      <x:c r="B5" s="36" t="str">
        <x:v>Cartridge &amp; Cloud</x:v>
      </x:c>
      <x:c r="D5" s="21" t="str">
        <x:v>Metric</x:v>
      </x:c>
      <x:c r="E5" s="21" t="str">
        <x:v>Value</x:v>
      </x:c>
      <x:c r="F5" s="21" t="str">
        <x:v>Target</x:v>
      </x:c>
      <x:c r="G5" s="21" t="str">
        <x:v>State</x:v>
      </x:c>
      <x:c r="H5" s="21" t="str">
        <x:v>Interpretation</x:v>
      </x:c>
    </x:row>
    <x:row r="6">
      <x:c r="A6" s="71" t="str">
        <x:v>Studio / Author</x:v>
      </x:c>
      <x:c r="B6" s="36" t="str">
        <x:v>VRM Games / Blas Luis Rocha González</x:v>
      </x:c>
      <x:c r="D6" s="36" t="str">
        <x:v>Total risks</x:v>
      </x:c>
      <x:c r="E6" s="36" t="n">
        <x:f>COUNTA('02_Risk_Register'!$A$5:$A$196)</x:f>
        <x:v>192</x:v>
      </x:c>
      <x:c r="F6" s="36" t="n">
        <x:v>192</x:v>
      </x:c>
      <x:c r="G6" s="36" t="str">
        <x:v>DEFINED</x:v>
      </x:c>
      <x:c r="H6" s="36" t="str">
        <x:v>Initialized population</x:v>
      </x:c>
    </x:row>
    <x:row r="7">
      <x:c r="A7" s="71" t="str">
        <x:v>Platform</x:v>
      </x:c>
      <x:c r="B7" s="36" t="str">
        <x:v>PC / Steam</x:v>
      </x:c>
      <x:c r="D7" s="36" t="str">
        <x:v>Inherent CRITICAL</x:v>
      </x:c>
      <x:c r="E7" s="36" t="n">
        <x:f>COUNTIF('02_Risk_Register'!$M$5:$M$196,"CRITICAL")</x:f>
        <x:v>20</x:v>
      </x:c>
      <x:c r="F7" s="36" t="n">
        <x:v>0</x:v>
      </x:c>
      <x:c r="G7" s="36" t="str">
        <x:f>IF(E7=F7,"PASS",IF(E7=0,"OPEN","ATTENTION"))</x:f>
        <x:v>ATTENTION</x:v>
      </x:c>
      <x:c r="H7" s="36" t="str">
        <x:v>Requires immediate treatment priority</x:v>
      </x:c>
    </x:row>
    <x:row r="8">
      <x:c r="A8" s="71" t="str">
        <x:v>Generated</x:v>
      </x:c>
      <x:c r="B8" s="36" t="str">
        <x:v>2026-07-01</x:v>
      </x:c>
      <x:c r="D8" s="36" t="str">
        <x:v>Residual CRITICAL</x:v>
      </x:c>
      <x:c r="E8" s="36" t="n">
        <x:f>COUNTIF('02_Risk_Register'!$W$5:$W$196,"CRITICAL")</x:f>
        <x:v>20</x:v>
      </x:c>
      <x:c r="F8" s="36" t="n">
        <x:v>0</x:v>
      </x:c>
      <x:c r="G8" s="36" t="str">
        <x:f>IF(E8=F8,"PASS",IF(E8=0,"OPEN","ATTENTION"))</x:f>
        <x:v>ATTENTION</x:v>
      </x:c>
      <x:c r="H8" s="36" t="str">
        <x:v>Provisional until owners validate controls</x:v>
      </x:c>
    </x:row>
    <x:row r="9">
      <x:c r="A9" s="71" t="str">
        <x:v>Risk population</x:v>
      </x:c>
      <x:c r="B9" s="36" t="n">
        <x:v>192</x:v>
      </x:c>
      <x:c r="D9" s="36" t="str">
        <x:v>Outside tolerance</x:v>
      </x:c>
      <x:c r="E9" s="36" t="n">
        <x:f>COUNTIF('02_Risk_Register'!$Y$5:$Y$196,"OUTSIDE TOLERANCE")</x:f>
        <x:v>186</x:v>
      </x:c>
      <x:c r="F9" s="36" t="n">
        <x:v>0</x:v>
      </x:c>
      <x:c r="G9" s="36" t="str">
        <x:f>IF(E9=F9,"PASS",IF(E9=0,"OPEN","ATTENTION"))</x:f>
        <x:v>ATTENTION</x:v>
      </x:c>
      <x:c r="H9" s="36" t="str">
        <x:v>Must treat/escalate/accept formally</x:v>
      </x:c>
    </x:row>
    <x:row r="10">
      <x:c r="A10" s="71" t="str">
        <x:v>Historical files preserved</x:v>
      </x:c>
      <x:c r="B10" s="36" t="n">
        <x:v>745</x:v>
      </x:c>
      <x:c r="D10" s="36" t="str">
        <x:v>Open blockers</x:v>
      </x:c>
      <x:c r="E10" s="36" t="n">
        <x:f>SUM('02_Risk_Register'!$AQ$5:$AQ$196)</x:f>
        <x:v>186</x:v>
      </x:c>
      <x:c r="F10" s="36" t="n">
        <x:v>0</x:v>
      </x:c>
      <x:c r="G10" s="36" t="str">
        <x:f>IF(E10=F10,"PASS",IF(E10=0,"OPEN","ATTENTION"))</x:f>
        <x:v>ATTENTION</x:v>
      </x:c>
      <x:c r="H10" s="36" t="str">
        <x:v>Blocks H6/release/continuity readiness as applicable</x:v>
      </x:c>
    </x:row>
    <x:row r="11" ht="30" customHeight="1">
      <x:c r="A11" s="71" t="str">
        <x:v>Baseline state</x:v>
      </x:c>
      <x:c r="B11" s="36" t="str">
        <x:v>RC1 CONSOLIDATION / CONTINUITY NOT YET VERIFIED</x:v>
      </x:c>
      <x:c r="D11" s="36" t="str">
        <x:v>Treatment actions DONE</x:v>
      </x:c>
      <x:c r="E11" s="36" t="n">
        <x:f>COUNTIF('03_Treatment_Actions'!$I$5:$I$196,"DONE")</x:f>
        <x:v>0</x:v>
      </x:c>
      <x:c r="F11" s="36" t="n">
        <x:v>192</x:v>
      </x:c>
      <x:c r="G11" s="36" t="str">
        <x:f>IF(E11=F11,"PASS",IF(E11=0,"OPEN","ATTENTION"))</x:f>
        <x:v>OPEN</x:v>
      </x:c>
      <x:c r="H11" s="36" t="str">
        <x:v>All initialized treatment actions</x:v>
      </x:c>
    </x:row>
    <x:row r="12" ht="30" customHeight="1">
      <x:c r="A12" s="71" t="str">
        <x:v>Next document</x:v>
      </x:c>
      <x:c r="B12" s="36" t="str">
        <x:v>34_Final_Handoff_and_Project_Operations_Manual.md</x:v>
      </x:c>
      <x:c r="D12" s="36" t="str">
        <x:v>BIA capabilities tested PASS</x:v>
      </x:c>
      <x:c r="E12" s="36" t="n">
        <x:f>COUNTIF('04_BIA'!$T$5:$T$24,"PASS")</x:f>
        <x:v>0</x:v>
      </x:c>
      <x:c r="F12" s="36" t="n">
        <x:v>20</x:v>
      </x:c>
      <x:c r="G12" s="36" t="str">
        <x:f>IF(E12=F12,"PASS",IF(E12=0,"OPEN","ATTENTION"))</x:f>
        <x:v>OPEN</x:v>
      </x:c>
      <x:c r="H12" s="36" t="str">
        <x:v>RTO/RPO validated by exercise</x:v>
      </x:c>
    </x:row>
    <x:row r="13">
      <x:c r="D13" s="36" t="str">
        <x:v>Backup assets VERIFIED</x:v>
      </x:c>
      <x:c r="E13" s="36" t="n">
        <x:f>COUNTIF('06_Backup_Restore'!$M$5:$M$23,"VERIFIED")</x:f>
        <x:v>0</x:v>
      </x:c>
      <x:c r="F13" s="36" t="n">
        <x:v>19</x:v>
      </x:c>
      <x:c r="G13" s="36" t="str">
        <x:f>IF(E13=F13,"PASS",IF(E13=0,"OPEN","ATTENTION"))</x:f>
        <x:v>OPEN</x:v>
      </x:c>
      <x:c r="H13" s="36" t="str">
        <x:v>Copy and restore evidence</x:v>
      </x:c>
    </x:row>
    <x:row r="14">
      <x:c r="D14" s="36" t="str">
        <x:v>Exercise instances PASS</x:v>
      </x:c>
      <x:c r="E14" s="36" t="n">
        <x:f>COUNTIF('10_Exercises_Tests'!$N$5:$N$76,"PASS")</x:f>
        <x:v>0</x:v>
      </x:c>
      <x:c r="F14" s="36" t="n">
        <x:v>72</x:v>
      </x:c>
      <x:c r="G14" s="36" t="str">
        <x:f>IF(E14=F14,"PASS",IF(E14=0,"OPEN","ATTENTION"))</x:f>
        <x:v>OPEN</x:v>
      </x:c>
      <x:c r="H14" s="36" t="str">
        <x:v>Rolling test plan</x:v>
      </x:c>
    </x:row>
    <x:row r="15">
      <x:c r="D15" s="36" t="str">
        <x:v>Critical dependencies REDUNDANT</x:v>
      </x:c>
      <x:c r="E15" s="36" t="n">
        <x:f>COUNTIF('07_Critical_Dependencies'!$J$5:$J$34,"REDUNDANT")</x:f>
        <x:v>0</x:v>
      </x:c>
      <x:c r="F15" s="36" t="n">
        <x:f>COUNTIF('07_Critical_Dependencies'!$E$5:$E$34,"Critical")</x:f>
        <x:v>21</x:v>
      </x:c>
      <x:c r="G15" s="36" t="str">
        <x:f>IF(E15=F15,"PASS",IF(E15=0,"OPEN","ATTENTION"))</x:f>
        <x:v>OPEN</x:v>
      </x:c>
      <x:c r="H15" s="36" t="str">
        <x:v>Critical single points removed</x:v>
      </x:c>
    </x:row>
    <x:row r="16">
      <x:c r="D16" s="36" t="str">
        <x:v>Open incidents</x:v>
      </x:c>
      <x:c r="E16" s="36" t="n">
        <x:f>COUNTIF('11_Incident_Log'!$I$5:$I$200,"OPEN")</x:f>
        <x:v>0</x:v>
      </x:c>
      <x:c r="F16" s="36" t="n">
        <x:v>0</x:v>
      </x:c>
      <x:c r="G16" s="36" t="str">
        <x:f>IF(E16=F16,"PASS",IF(E16=0,"OPEN","ATTENTION"))</x:f>
        <x:v>PASS</x:v>
      </x:c>
      <x:c r="H16" s="36" t="str">
        <x:v>Actual events, not risks</x:v>
      </x:c>
    </x:row>
    <x:row r="17">
      <x:c r="D17" s="36" t="str">
        <x:v>Approved unexpired acceptances</x:v>
      </x:c>
      <x:c r="E17" s="36" t="n">
        <x:f>COUNTIF('12_Risk_Acceptance'!$L$5:$L$100,"APPROVED")</x:f>
        <x:v>0</x:v>
      </x:c>
      <x:c r="F17" s="36" t="n">
        <x:v>0</x:v>
      </x:c>
      <x:c r="G17" s="36" t="str">
        <x:v>REVIEW</x:v>
      </x:c>
      <x:c r="H17" s="36" t="str">
        <x:v>Review scope/expiry before treating as closure</x:v>
      </x:c>
    </x:row>
    <x:row r="21">
      <x:c r="A21" s="21" t="str">
        <x:v>Category</x:v>
      </x:c>
      <x:c r="B21" s="21" t="str">
        <x:v>Risks</x:v>
      </x:c>
      <x:c r="C21" s="21" t="str">
        <x:v>Inherent Critical</x:v>
      </x:c>
      <x:c r="D21" s="21" t="str">
        <x:v>Residual Critical</x:v>
      </x:c>
      <x:c r="E21" s="21" t="str">
        <x:v>Outside Tolerance</x:v>
      </x:c>
      <x:c r="F21" s="21" t="str">
        <x:v>Open Blockers</x:v>
      </x:c>
      <x:c r="G21" s="21" t="str">
        <x:v>Actions Done</x:v>
      </x:c>
      <x:c r="H21" s="21" t="str">
        <x:v>Category State</x:v>
      </x:c>
      <x:c r="J21" s="21" t="str">
        <x:v>Residual Rating</x:v>
      </x:c>
      <x:c r="K21" s="21" t="str">
        <x:v>Count</x:v>
      </x:c>
    </x:row>
    <x:row r="22">
      <x:c r="A22" s="36" t="str">
        <x:v>Governance &amp; Scope</x:v>
      </x:c>
      <x:c r="B22" s="36" t="n">
        <x:f>COUNTIF('02_Risk_Register'!$B$5:$B$196,A22)</x:f>
        <x:v>11</x:v>
      </x:c>
      <x:c r="C22" s="36" t="n">
        <x:f>COUNTIFS('02_Risk_Register'!$B$5:$B$196,A22,'02_Risk_Register'!$M$5:$M$196,"CRITICAL")</x:f>
        <x:v>0</x:v>
      </x:c>
      <x:c r="D22" s="36" t="n">
        <x:f>COUNTIFS('02_Risk_Register'!$B$5:$B$196,A22,'02_Risk_Register'!$W$5:$W$196,"CRITICAL")</x:f>
        <x:v>0</x:v>
      </x:c>
      <x:c r="E22" s="36" t="n">
        <x:f>COUNTIFS('02_Risk_Register'!$B$5:$B$196,A22,'02_Risk_Register'!$Y$5:$Y$196,"OUTSIDE TOLERANCE")</x:f>
        <x:v>11</x:v>
      </x:c>
      <x:c r="F22" s="36" t="n">
        <x:f>SUMIF('02_Risk_Register'!$B$5:$B$196,A22,'02_Risk_Register'!$AQ$5:$AQ$196)</x:f>
        <x:v>11</x:v>
      </x:c>
      <x:c r="G22" s="36" t="n">
        <x:f>COUNTIFS('03_Treatment_Actions'!$C$5:$C$196,A22,'03_Treatment_Actions'!$I$5:$I$196,"DONE")</x:f>
        <x:v>0</x:v>
      </x:c>
      <x:c r="H22" s="36" t="str">
        <x:f>IF(OR(D22&gt;0,E22&gt;0,F22&gt;0),"ATTENTION",IF(G22=B22,"CONTROLLED","OPEN"))</x:f>
        <x:v>ATTENTION</x:v>
      </x:c>
      <x:c r="J22" s="27" t="str">
        <x:v>CRITICAL</x:v>
      </x:c>
      <x:c r="K22" s="27" t="n">
        <x:f>COUNTIF('02_Risk_Register'!$W$5:$W$196,J22)</x:f>
        <x:v>20</x:v>
      </x:c>
    </x:row>
    <x:row r="23">
      <x:c r="A23" s="36" t="str">
        <x:v>People &amp; Capacity</x:v>
      </x:c>
      <x:c r="B23" s="36" t="n">
        <x:f>COUNTIF('02_Risk_Register'!$B$5:$B$196,A23)</x:f>
        <x:v>10</x:v>
      </x:c>
      <x:c r="C23" s="36" t="n">
        <x:f>COUNTIFS('02_Risk_Register'!$B$5:$B$196,A23,'02_Risk_Register'!$M$5:$M$196,"CRITICAL")</x:f>
        <x:v>3</x:v>
      </x:c>
      <x:c r="D23" s="36" t="n">
        <x:f>COUNTIFS('02_Risk_Register'!$B$5:$B$196,A23,'02_Risk_Register'!$W$5:$W$196,"CRITICAL")</x:f>
        <x:v>3</x:v>
      </x:c>
      <x:c r="E23" s="36" t="n">
        <x:f>COUNTIFS('02_Risk_Register'!$B$5:$B$196,A23,'02_Risk_Register'!$Y$5:$Y$196,"OUTSIDE TOLERANCE")</x:f>
        <x:v>10</x:v>
      </x:c>
      <x:c r="F23" s="36" t="n">
        <x:f>SUMIF('02_Risk_Register'!$B$5:$B$196,A23,'02_Risk_Register'!$AQ$5:$AQ$196)</x:f>
        <x:v>10</x:v>
      </x:c>
      <x:c r="G23" s="36" t="n">
        <x:f>COUNTIFS('03_Treatment_Actions'!$C$5:$C$196,A23,'03_Treatment_Actions'!$I$5:$I$196,"DONE")</x:f>
        <x:v>0</x:v>
      </x:c>
      <x:c r="H23" s="36" t="str">
        <x:f>IF(OR(D23&gt;0,E23&gt;0,F23&gt;0),"ATTENTION",IF(G23=B23,"CONTROLLED","OPEN"))</x:f>
        <x:v>ATTENTION</x:v>
      </x:c>
      <x:c r="J23" s="27" t="str">
        <x:v>HIGH</x:v>
      </x:c>
      <x:c r="K23" s="27" t="n">
        <x:f>COUNTIF('02_Risk_Register'!$W$5:$W$196,J23)</x:f>
        <x:v>131</x:v>
      </x:c>
    </x:row>
    <x:row r="24">
      <x:c r="A24" s="36" t="str">
        <x:v>Production &amp; Schedule</x:v>
      </x:c>
      <x:c r="B24" s="36" t="n">
        <x:f>COUNTIF('02_Risk_Register'!$B$5:$B$196,A24)</x:f>
        <x:v>11</x:v>
      </x:c>
      <x:c r="C24" s="36" t="n">
        <x:f>COUNTIFS('02_Risk_Register'!$B$5:$B$196,A24,'02_Risk_Register'!$M$5:$M$196,"CRITICAL")</x:f>
        <x:v>1</x:v>
      </x:c>
      <x:c r="D24" s="36" t="n">
        <x:f>COUNTIFS('02_Risk_Register'!$B$5:$B$196,A24,'02_Risk_Register'!$W$5:$W$196,"CRITICAL")</x:f>
        <x:v>1</x:v>
      </x:c>
      <x:c r="E24" s="36" t="n">
        <x:f>COUNTIFS('02_Risk_Register'!$B$5:$B$196,A24,'02_Risk_Register'!$Y$5:$Y$196,"OUTSIDE TOLERANCE")</x:f>
        <x:v>10</x:v>
      </x:c>
      <x:c r="F24" s="36" t="n">
        <x:f>SUMIF('02_Risk_Register'!$B$5:$B$196,A24,'02_Risk_Register'!$AQ$5:$AQ$196)</x:f>
        <x:v>10</x:v>
      </x:c>
      <x:c r="G24" s="36" t="n">
        <x:f>COUNTIFS('03_Treatment_Actions'!$C$5:$C$196,A24,'03_Treatment_Actions'!$I$5:$I$196,"DONE")</x:f>
        <x:v>0</x:v>
      </x:c>
      <x:c r="H24" s="36" t="str">
        <x:f>IF(OR(D24&gt;0,E24&gt;0,F24&gt;0),"ATTENTION",IF(G24=B24,"CONTROLLED","OPEN"))</x:f>
        <x:v>ATTENTION</x:v>
      </x:c>
      <x:c r="J24" s="27" t="str">
        <x:v>MEDIUM</x:v>
      </x:c>
      <x:c r="K24" s="27" t="n">
        <x:f>COUNTIF('02_Risk_Register'!$W$5:$W$196,J24)</x:f>
        <x:v>40</x:v>
      </x:c>
    </x:row>
    <x:row r="25">
      <x:c r="A25" s="36" t="str">
        <x:v>Architecture &amp; Toolchain</x:v>
      </x:c>
      <x:c r="B25" s="36" t="n">
        <x:f>COUNTIF('02_Risk_Register'!$B$5:$B$196,A25)</x:f>
        <x:v>12</x:v>
      </x:c>
      <x:c r="C25" s="36" t="n">
        <x:f>COUNTIFS('02_Risk_Register'!$B$5:$B$196,A25,'02_Risk_Register'!$M$5:$M$196,"CRITICAL")</x:f>
        <x:v>2</x:v>
      </x:c>
      <x:c r="D25" s="36" t="n">
        <x:f>COUNTIFS('02_Risk_Register'!$B$5:$B$196,A25,'02_Risk_Register'!$W$5:$W$196,"CRITICAL")</x:f>
        <x:v>2</x:v>
      </x:c>
      <x:c r="E25" s="36" t="n">
        <x:f>COUNTIFS('02_Risk_Register'!$B$5:$B$196,A25,'02_Risk_Register'!$Y$5:$Y$196,"OUTSIDE TOLERANCE")</x:f>
        <x:v>12</x:v>
      </x:c>
      <x:c r="F25" s="36" t="n">
        <x:f>SUMIF('02_Risk_Register'!$B$5:$B$196,A25,'02_Risk_Register'!$AQ$5:$AQ$196)</x:f>
        <x:v>12</x:v>
      </x:c>
      <x:c r="G25" s="36" t="n">
        <x:f>COUNTIFS('03_Treatment_Actions'!$C$5:$C$196,A25,'03_Treatment_Actions'!$I$5:$I$196,"DONE")</x:f>
        <x:v>0</x:v>
      </x:c>
      <x:c r="H25" s="36" t="str">
        <x:f>IF(OR(D25&gt;0,E25&gt;0,F25&gt;0),"ATTENTION",IF(G25=B25,"CONTROLLED","OPEN"))</x:f>
        <x:v>ATTENTION</x:v>
      </x:c>
      <x:c r="J25" s="27" t="str">
        <x:v>LOW</x:v>
      </x:c>
      <x:c r="K25" s="27" t="n">
        <x:f>COUNTIF('02_Risk_Register'!$W$5:$W$196,J25)</x:f>
        <x:v>1</x:v>
      </x:c>
    </x:row>
    <x:row r="26">
      <x:c r="A26" s="36" t="str">
        <x:v>Data, Save &amp; Integrity</x:v>
      </x:c>
      <x:c r="B26" s="36" t="n">
        <x:f>COUNTIF('02_Risk_Register'!$B$5:$B$196,A26)</x:f>
        <x:v>10</x:v>
      </x:c>
      <x:c r="C26" s="36" t="n">
        <x:f>COUNTIFS('02_Risk_Register'!$B$5:$B$196,A26,'02_Risk_Register'!$M$5:$M$196,"CRITICAL")</x:f>
        <x:v>1</x:v>
      </x:c>
      <x:c r="D26" s="36" t="n">
        <x:f>COUNTIFS('02_Risk_Register'!$B$5:$B$196,A26,'02_Risk_Register'!$W$5:$W$196,"CRITICAL")</x:f>
        <x:v>1</x:v>
      </x:c>
      <x:c r="E26" s="36" t="n">
        <x:f>COUNTIFS('02_Risk_Register'!$B$5:$B$196,A26,'02_Risk_Register'!$Y$5:$Y$196,"OUTSIDE TOLERANCE")</x:f>
        <x:v>10</x:v>
      </x:c>
      <x:c r="F26" s="36" t="n">
        <x:f>SUMIF('02_Risk_Register'!$B$5:$B$196,A26,'02_Risk_Register'!$AQ$5:$AQ$196)</x:f>
        <x:v>10</x:v>
      </x:c>
      <x:c r="G26" s="36" t="n">
        <x:f>COUNTIFS('03_Treatment_Actions'!$C$5:$C$196,A26,'03_Treatment_Actions'!$I$5:$I$196,"DONE")</x:f>
        <x:v>0</x:v>
      </x:c>
      <x:c r="H26" s="36" t="str">
        <x:f>IF(OR(D26&gt;0,E26&gt;0,F26&gt;0),"ATTENTION",IF(G26=B26,"CONTROLLED","OPEN"))</x:f>
        <x:v>ATTENTION</x:v>
      </x:c>
    </x:row>
    <x:row r="27">
      <x:c r="A27" s="36" t="str">
        <x:v>Quality &amp; Acceptance</x:v>
      </x:c>
      <x:c r="B27" s="36" t="n">
        <x:f>COUNTIF('02_Risk_Register'!$B$5:$B$196,A27)</x:f>
        <x:v>10</x:v>
      </x:c>
      <x:c r="C27" s="36" t="n">
        <x:f>COUNTIFS('02_Risk_Register'!$B$5:$B$196,A27,'02_Risk_Register'!$M$5:$M$196,"CRITICAL")</x:f>
        <x:v>1</x:v>
      </x:c>
      <x:c r="D27" s="36" t="n">
        <x:f>COUNTIFS('02_Risk_Register'!$B$5:$B$196,A27,'02_Risk_Register'!$W$5:$W$196,"CRITICAL")</x:f>
        <x:v>1</x:v>
      </x:c>
      <x:c r="E27" s="36" t="n">
        <x:f>COUNTIFS('02_Risk_Register'!$B$5:$B$196,A27,'02_Risk_Register'!$Y$5:$Y$196,"OUTSIDE TOLERANCE")</x:f>
        <x:v>10</x:v>
      </x:c>
      <x:c r="F27" s="36" t="n">
        <x:f>SUMIF('02_Risk_Register'!$B$5:$B$196,A27,'02_Risk_Register'!$AQ$5:$AQ$196)</x:f>
        <x:v>10</x:v>
      </x:c>
      <x:c r="G27" s="36" t="n">
        <x:f>COUNTIFS('03_Treatment_Actions'!$C$5:$C$196,A27,'03_Treatment_Actions'!$I$5:$I$196,"DONE")</x:f>
        <x:v>0</x:v>
      </x:c>
      <x:c r="H27" s="36" t="str">
        <x:f>IF(OR(D27&gt;0,E27&gt;0,F27&gt;0),"ATTENTION",IF(G27=B27,"CONTROLLED","OPEN"))</x:f>
        <x:v>ATTENTION</x:v>
      </x:c>
    </x:row>
    <x:row r="28">
      <x:c r="A28" s="36" t="str">
        <x:v>Performance &amp; Stability</x:v>
      </x:c>
      <x:c r="B28" s="36" t="n">
        <x:f>COUNTIF('02_Risk_Register'!$B$5:$B$196,A28)</x:f>
        <x:v>8</x:v>
      </x:c>
      <x:c r="C28" s="36" t="n">
        <x:f>COUNTIFS('02_Risk_Register'!$B$5:$B$196,A28,'02_Risk_Register'!$M$5:$M$196,"CRITICAL")</x:f>
        <x:v>0</x:v>
      </x:c>
      <x:c r="D28" s="36" t="n">
        <x:f>COUNTIFS('02_Risk_Register'!$B$5:$B$196,A28,'02_Risk_Register'!$W$5:$W$196,"CRITICAL")</x:f>
        <x:v>0</x:v>
      </x:c>
      <x:c r="E28" s="36" t="n">
        <x:f>COUNTIFS('02_Risk_Register'!$B$5:$B$196,A28,'02_Risk_Register'!$Y$5:$Y$196,"OUTSIDE TOLERANCE")</x:f>
        <x:v>8</x:v>
      </x:c>
      <x:c r="F28" s="36" t="n">
        <x:f>SUMIF('02_Risk_Register'!$B$5:$B$196,A28,'02_Risk_Register'!$AQ$5:$AQ$196)</x:f>
        <x:v>8</x:v>
      </x:c>
      <x:c r="G28" s="36" t="n">
        <x:f>COUNTIFS('03_Treatment_Actions'!$C$5:$C$196,A28,'03_Treatment_Actions'!$I$5:$I$196,"DONE")</x:f>
        <x:v>0</x:v>
      </x:c>
      <x:c r="H28" s="36" t="str">
        <x:f>IF(OR(D28&gt;0,E28&gt;0,F28&gt;0),"ATTENTION",IF(G28=B28,"CONTROLLED","OPEN"))</x:f>
        <x:v>ATTENTION</x:v>
      </x:c>
    </x:row>
    <x:row r="29">
      <x:c r="A29" s="36" t="str">
        <x:v>Security &amp; Secrets</x:v>
      </x:c>
      <x:c r="B29" s="36" t="n">
        <x:f>COUNTIF('02_Risk_Register'!$B$5:$B$196,A29)</x:f>
        <x:v>13</x:v>
      </x:c>
      <x:c r="C29" s="36" t="n">
        <x:f>COUNTIFS('02_Risk_Register'!$B$5:$B$196,A29,'02_Risk_Register'!$M$5:$M$196,"CRITICAL")</x:f>
        <x:v>0</x:v>
      </x:c>
      <x:c r="D29" s="36" t="n">
        <x:f>COUNTIFS('02_Risk_Register'!$B$5:$B$196,A29,'02_Risk_Register'!$W$5:$W$196,"CRITICAL")</x:f>
        <x:v>0</x:v>
      </x:c>
      <x:c r="E29" s="36" t="n">
        <x:f>COUNTIFS('02_Risk_Register'!$B$5:$B$196,A29,'02_Risk_Register'!$Y$5:$Y$196,"OUTSIDE TOLERANCE")</x:f>
        <x:v>13</x:v>
      </x:c>
      <x:c r="F29" s="36" t="n">
        <x:f>SUMIF('02_Risk_Register'!$B$5:$B$196,A29,'02_Risk_Register'!$AQ$5:$AQ$196)</x:f>
        <x:v>13</x:v>
      </x:c>
      <x:c r="G29" s="36" t="n">
        <x:f>COUNTIFS('03_Treatment_Actions'!$C$5:$C$196,A29,'03_Treatment_Actions'!$I$5:$I$196,"DONE")</x:f>
        <x:v>0</x:v>
      </x:c>
      <x:c r="H29" s="36" t="str">
        <x:f>IF(OR(D29&gt;0,E29&gt;0,F29&gt;0),"ATTENTION",IF(G29=B29,"CONTROLLED","OPEN"))</x:f>
        <x:v>ATTENTION</x:v>
      </x:c>
    </x:row>
    <x:row r="30">
      <x:c r="A30" s="36" t="str">
        <x:v>Privacy &amp; Telemetry</x:v>
      </x:c>
      <x:c r="B30" s="36" t="n">
        <x:f>COUNTIF('02_Risk_Register'!$B$5:$B$196,A30)</x:f>
        <x:v>6</x:v>
      </x:c>
      <x:c r="C30" s="36" t="n">
        <x:f>COUNTIFS('02_Risk_Register'!$B$5:$B$196,A30,'02_Risk_Register'!$M$5:$M$196,"CRITICAL")</x:f>
        <x:v>0</x:v>
      </x:c>
      <x:c r="D30" s="36" t="n">
        <x:f>COUNTIFS('02_Risk_Register'!$B$5:$B$196,A30,'02_Risk_Register'!$W$5:$W$196,"CRITICAL")</x:f>
        <x:v>0</x:v>
      </x:c>
      <x:c r="E30" s="36" t="n">
        <x:f>COUNTIFS('02_Risk_Register'!$B$5:$B$196,A30,'02_Risk_Register'!$Y$5:$Y$196,"OUTSIDE TOLERANCE")</x:f>
        <x:v>6</x:v>
      </x:c>
      <x:c r="F30" s="36" t="n">
        <x:f>SUMIF('02_Risk_Register'!$B$5:$B$196,A30,'02_Risk_Register'!$AQ$5:$AQ$196)</x:f>
        <x:v>6</x:v>
      </x:c>
      <x:c r="G30" s="36" t="n">
        <x:f>COUNTIFS('03_Treatment_Actions'!$C$5:$C$196,A30,'03_Treatment_Actions'!$I$5:$I$196,"DONE")</x:f>
        <x:v>0</x:v>
      </x:c>
      <x:c r="H30" s="36" t="str">
        <x:f>IF(OR(D30&gt;0,E30&gt;0,F30&gt;0),"ATTENTION",IF(G30=B30,"CONTROLLED","OPEN"))</x:f>
        <x:v>ATTENTION</x:v>
      </x:c>
    </x:row>
    <x:row r="31">
      <x:c r="A31" s="36" t="str">
        <x:v>Legal, IP &amp; Compliance</x:v>
      </x:c>
      <x:c r="B31" s="36" t="n">
        <x:f>COUNTIF('02_Risk_Register'!$B$5:$B$196,A31)</x:f>
        <x:v>9</x:v>
      </x:c>
      <x:c r="C31" s="36" t="n">
        <x:f>COUNTIFS('02_Risk_Register'!$B$5:$B$196,A31,'02_Risk_Register'!$M$5:$M$196,"CRITICAL")</x:f>
        <x:v>0</x:v>
      </x:c>
      <x:c r="D31" s="36" t="n">
        <x:f>COUNTIFS('02_Risk_Register'!$B$5:$B$196,A31,'02_Risk_Register'!$W$5:$W$196,"CRITICAL")</x:f>
        <x:v>0</x:v>
      </x:c>
      <x:c r="E31" s="36" t="n">
        <x:f>COUNTIFS('02_Risk_Register'!$B$5:$B$196,A31,'02_Risk_Register'!$Y$5:$Y$196,"OUTSIDE TOLERANCE")</x:f>
        <x:v>9</x:v>
      </x:c>
      <x:c r="F31" s="36" t="n">
        <x:f>SUMIF('02_Risk_Register'!$B$5:$B$196,A31,'02_Risk_Register'!$AQ$5:$AQ$196)</x:f>
        <x:v>9</x:v>
      </x:c>
      <x:c r="G31" s="36" t="n">
        <x:f>COUNTIFS('03_Treatment_Actions'!$C$5:$C$196,A31,'03_Treatment_Actions'!$I$5:$I$196,"DONE")</x:f>
        <x:v>0</x:v>
      </x:c>
      <x:c r="H31" s="36" t="str">
        <x:f>IF(OR(D31&gt;0,E31&gt;0,F31&gt;0),"ATTENTION",IF(G31=B31,"CONTROLLED","OPEN"))</x:f>
        <x:v>ATTENTION</x:v>
      </x:c>
    </x:row>
    <x:row r="32">
      <x:c r="A32" s="36" t="str">
        <x:v>Publishing, Marketing &amp; Reputation</x:v>
      </x:c>
      <x:c r="B32" s="36" t="n">
        <x:f>COUNTIF('02_Risk_Register'!$B$5:$B$196,A32)</x:f>
        <x:v>9</x:v>
      </x:c>
      <x:c r="C32" s="36" t="n">
        <x:f>COUNTIFS('02_Risk_Register'!$B$5:$B$196,A32,'02_Risk_Register'!$M$5:$M$196,"CRITICAL")</x:f>
        <x:v>1</x:v>
      </x:c>
      <x:c r="D32" s="36" t="n">
        <x:f>COUNTIFS('02_Risk_Register'!$B$5:$B$196,A32,'02_Risk_Register'!$W$5:$W$196,"CRITICAL")</x:f>
        <x:v>1</x:v>
      </x:c>
      <x:c r="E32" s="36" t="n">
        <x:f>COUNTIFS('02_Risk_Register'!$B$5:$B$196,A32,'02_Risk_Register'!$Y$5:$Y$196,"OUTSIDE TOLERANCE")</x:f>
        <x:v>7</x:v>
      </x:c>
      <x:c r="F32" s="36" t="n">
        <x:f>SUMIF('02_Risk_Register'!$B$5:$B$196,A32,'02_Risk_Register'!$AQ$5:$AQ$196)</x:f>
        <x:v>7</x:v>
      </x:c>
      <x:c r="G32" s="36" t="n">
        <x:f>COUNTIFS('03_Treatment_Actions'!$C$5:$C$196,A32,'03_Treatment_Actions'!$I$5:$I$196,"DONE")</x:f>
        <x:v>0</x:v>
      </x:c>
      <x:c r="H32" s="36" t="str">
        <x:f>IF(OR(D32&gt;0,E32&gt;0,F32&gt;0),"ATTENTION",IF(G32=B32,"CONTROLLED","OPEN"))</x:f>
        <x:v>ATTENTION</x:v>
      </x:c>
    </x:row>
    <x:row r="33">
      <x:c r="A33" s="36" t="str">
        <x:v>Accessibility &amp; Inclusion</x:v>
      </x:c>
      <x:c r="B33" s="36" t="n">
        <x:f>COUNTIF('02_Risk_Register'!$B$5:$B$196,A33)</x:f>
        <x:v>8</x:v>
      </x:c>
      <x:c r="C33" s="36" t="n">
        <x:f>COUNTIFS('02_Risk_Register'!$B$5:$B$196,A33,'02_Risk_Register'!$M$5:$M$196,"CRITICAL")</x:f>
        <x:v>0</x:v>
      </x:c>
      <x:c r="D33" s="36" t="n">
        <x:f>COUNTIFS('02_Risk_Register'!$B$5:$B$196,A33,'02_Risk_Register'!$W$5:$W$196,"CRITICAL")</x:f>
        <x:v>0</x:v>
      </x:c>
      <x:c r="E33" s="36" t="n">
        <x:f>COUNTIFS('02_Risk_Register'!$B$5:$B$196,A33,'02_Risk_Register'!$Y$5:$Y$196,"OUTSIDE TOLERANCE")</x:f>
        <x:v>8</x:v>
      </x:c>
      <x:c r="F33" s="36" t="n">
        <x:f>SUMIF('02_Risk_Register'!$B$5:$B$196,A33,'02_Risk_Register'!$AQ$5:$AQ$196)</x:f>
        <x:v>8</x:v>
      </x:c>
      <x:c r="G33" s="36" t="n">
        <x:f>COUNTIFS('03_Treatment_Actions'!$C$5:$C$196,A33,'03_Treatment_Actions'!$I$5:$I$196,"DONE")</x:f>
        <x:v>0</x:v>
      </x:c>
      <x:c r="H33" s="36" t="str">
        <x:f>IF(OR(D33&gt;0,E33&gt;0,F33&gt;0),"ATTENTION",IF(G33=B33,"CONTROLLED","OPEN"))</x:f>
        <x:v>ATTENTION</x:v>
      </x:c>
    </x:row>
    <x:row r="34">
      <x:c r="A34" s="36" t="str">
        <x:v>Art, Audio &amp; Content</x:v>
      </x:c>
      <x:c r="B34" s="36" t="n">
        <x:f>COUNTIF('02_Risk_Register'!$B$5:$B$196,A34)</x:f>
        <x:v>8</x:v>
      </x:c>
      <x:c r="C34" s="36" t="n">
        <x:f>COUNTIFS('02_Risk_Register'!$B$5:$B$196,A34,'02_Risk_Register'!$M$5:$M$196,"CRITICAL")</x:f>
        <x:v>0</x:v>
      </x:c>
      <x:c r="D34" s="36" t="n">
        <x:f>COUNTIFS('02_Risk_Register'!$B$5:$B$196,A34,'02_Risk_Register'!$W$5:$W$196,"CRITICAL")</x:f>
        <x:v>0</x:v>
      </x:c>
      <x:c r="E34" s="36" t="n">
        <x:f>COUNTIFS('02_Risk_Register'!$B$5:$B$196,A34,'02_Risk_Register'!$Y$5:$Y$196,"OUTSIDE TOLERANCE")</x:f>
        <x:v>8</x:v>
      </x:c>
      <x:c r="F34" s="36" t="n">
        <x:f>SUMIF('02_Risk_Register'!$B$5:$B$196,A34,'02_Risk_Register'!$AQ$5:$AQ$196)</x:f>
        <x:v>8</x:v>
      </x:c>
      <x:c r="G34" s="36" t="n">
        <x:f>COUNTIFS('03_Treatment_Actions'!$C$5:$C$196,A34,'03_Treatment_Actions'!$I$5:$I$196,"DONE")</x:f>
        <x:v>0</x:v>
      </x:c>
      <x:c r="H34" s="36" t="str">
        <x:f>IF(OR(D34&gt;0,E34&gt;0,F34&gt;0),"ATTENTION",IF(G34=B34,"CONTROLLED","OPEN"))</x:f>
        <x:v>ATTENTION</x:v>
      </x:c>
    </x:row>
    <x:row r="35">
      <x:c r="A35" s="36" t="str">
        <x:v>Financial &amp; Commercial</x:v>
      </x:c>
      <x:c r="B35" s="36" t="n">
        <x:f>COUNTIF('02_Risk_Register'!$B$5:$B$196,A35)</x:f>
        <x:v>6</x:v>
      </x:c>
      <x:c r="C35" s="36" t="n">
        <x:f>COUNTIFS('02_Risk_Register'!$B$5:$B$196,A35,'02_Risk_Register'!$M$5:$M$196,"CRITICAL")</x:f>
        <x:v>0</x:v>
      </x:c>
      <x:c r="D35" s="36" t="n">
        <x:f>COUNTIFS('02_Risk_Register'!$B$5:$B$196,A35,'02_Risk_Register'!$W$5:$W$196,"CRITICAL")</x:f>
        <x:v>0</x:v>
      </x:c>
      <x:c r="E35" s="36" t="n">
        <x:f>COUNTIFS('02_Risk_Register'!$B$5:$B$196,A35,'02_Risk_Register'!$Y$5:$Y$196,"OUTSIDE TOLERANCE")</x:f>
        <x:v>3</x:v>
      </x:c>
      <x:c r="F35" s="36" t="n">
        <x:f>SUMIF('02_Risk_Register'!$B$5:$B$196,A35,'02_Risk_Register'!$AQ$5:$AQ$196)</x:f>
        <x:v>3</x:v>
      </x:c>
      <x:c r="G35" s="36" t="n">
        <x:f>COUNTIFS('03_Treatment_Actions'!$C$5:$C$196,A35,'03_Treatment_Actions'!$I$5:$I$196,"DONE")</x:f>
        <x:v>0</x:v>
      </x:c>
      <x:c r="H35" s="36" t="str">
        <x:f>IF(OR(D35&gt;0,E35&gt;0,F35&gt;0),"ATTENTION",IF(G35=B35,"CONTROLLED","OPEN"))</x:f>
        <x:v>ATTENTION</x:v>
      </x:c>
    </x:row>
    <x:row r="36">
      <x:c r="A36" s="36" t="str">
        <x:v>External Services &amp; Vendors</x:v>
      </x:c>
      <x:c r="B36" s="36" t="n">
        <x:f>COUNTIF('02_Risk_Register'!$B$5:$B$196,A36)</x:f>
        <x:v>9</x:v>
      </x:c>
      <x:c r="C36" s="36" t="n">
        <x:f>COUNTIFS('02_Risk_Register'!$B$5:$B$196,A36,'02_Risk_Register'!$M$5:$M$196,"CRITICAL")</x:f>
        <x:v>1</x:v>
      </x:c>
      <x:c r="D36" s="36" t="n">
        <x:f>COUNTIFS('02_Risk_Register'!$B$5:$B$196,A36,'02_Risk_Register'!$W$5:$W$196,"CRITICAL")</x:f>
        <x:v>1</x:v>
      </x:c>
      <x:c r="E36" s="36" t="n">
        <x:f>COUNTIFS('02_Risk_Register'!$B$5:$B$196,A36,'02_Risk_Register'!$Y$5:$Y$196,"OUTSIDE TOLERANCE")</x:f>
        <x:v>9</x:v>
      </x:c>
      <x:c r="F36" s="36" t="n">
        <x:f>SUMIF('02_Risk_Register'!$B$5:$B$196,A36,'02_Risk_Register'!$AQ$5:$AQ$196)</x:f>
        <x:v>9</x:v>
      </x:c>
      <x:c r="G36" s="36" t="n">
        <x:f>COUNTIFS('03_Treatment_Actions'!$C$5:$C$196,A36,'03_Treatment_Actions'!$I$5:$I$196,"DONE")</x:f>
        <x:v>0</x:v>
      </x:c>
      <x:c r="H36" s="36" t="str">
        <x:f>IF(OR(D36&gt;0,E36&gt;0,F36&gt;0),"ATTENTION",IF(G36=B36,"CONTROLLED","OPEN"))</x:f>
        <x:v>ATTENTION</x:v>
      </x:c>
    </x:row>
    <x:row r="37">
      <x:c r="A37" s="36" t="str">
        <x:v>Hardware, Facilities &amp; Environment</x:v>
      </x:c>
      <x:c r="B37" s="36" t="n">
        <x:f>COUNTIF('02_Risk_Register'!$B$5:$B$196,A37)</x:f>
        <x:v>8</x:v>
      </x:c>
      <x:c r="C37" s="36" t="n">
        <x:f>COUNTIFS('02_Risk_Register'!$B$5:$B$196,A37,'02_Risk_Register'!$M$5:$M$196,"CRITICAL")</x:f>
        <x:v>0</x:v>
      </x:c>
      <x:c r="D37" s="36" t="n">
        <x:f>COUNTIFS('02_Risk_Register'!$B$5:$B$196,A37,'02_Risk_Register'!$W$5:$W$196,"CRITICAL")</x:f>
        <x:v>0</x:v>
      </x:c>
      <x:c r="E37" s="36" t="n">
        <x:f>COUNTIFS('02_Risk_Register'!$B$5:$B$196,A37,'02_Risk_Register'!$Y$5:$Y$196,"OUTSIDE TOLERANCE")</x:f>
        <x:v>8</x:v>
      </x:c>
      <x:c r="F37" s="36" t="n">
        <x:f>SUMIF('02_Risk_Register'!$B$5:$B$196,A37,'02_Risk_Register'!$AQ$5:$AQ$196)</x:f>
        <x:v>8</x:v>
      </x:c>
      <x:c r="G37" s="36" t="n">
        <x:f>COUNTIFS('03_Treatment_Actions'!$C$5:$C$196,A37,'03_Treatment_Actions'!$I$5:$I$196,"DONE")</x:f>
        <x:v>0</x:v>
      </x:c>
      <x:c r="H37" s="36" t="str">
        <x:f>IF(OR(D37&gt;0,E37&gt;0,F37&gt;0),"ATTENTION",IF(G37=B37,"CONTROLLED","OPEN"))</x:f>
        <x:v>ATTENTION</x:v>
      </x:c>
    </x:row>
    <x:row r="38">
      <x:c r="A38" s="36" t="str">
        <x:v>Documentation &amp; Knowledge</x:v>
      </x:c>
      <x:c r="B38" s="36" t="n">
        <x:f>COUNTIF('02_Risk_Register'!$B$5:$B$196,A38)</x:f>
        <x:v>12</x:v>
      </x:c>
      <x:c r="C38" s="36" t="n">
        <x:f>COUNTIFS('02_Risk_Register'!$B$5:$B$196,A38,'02_Risk_Register'!$M$5:$M$196,"CRITICAL")</x:f>
        <x:v>8</x:v>
      </x:c>
      <x:c r="D38" s="36" t="n">
        <x:f>COUNTIFS('02_Risk_Register'!$B$5:$B$196,A38,'02_Risk_Register'!$W$5:$W$196,"CRITICAL")</x:f>
        <x:v>8</x:v>
      </x:c>
      <x:c r="E38" s="36" t="n">
        <x:f>COUNTIFS('02_Risk_Register'!$B$5:$B$196,A38,'02_Risk_Register'!$Y$5:$Y$196,"OUTSIDE TOLERANCE")</x:f>
        <x:v>12</x:v>
      </x:c>
      <x:c r="F38" s="36" t="n">
        <x:f>SUMIF('02_Risk_Register'!$B$5:$B$196,A38,'02_Risk_Register'!$AQ$5:$AQ$196)</x:f>
        <x:v>12</x:v>
      </x:c>
      <x:c r="G38" s="36" t="n">
        <x:f>COUNTIFS('03_Treatment_Actions'!$C$5:$C$196,A38,'03_Treatment_Actions'!$I$5:$I$196,"DONE")</x:f>
        <x:v>0</x:v>
      </x:c>
      <x:c r="H38" s="36" t="str">
        <x:f>IF(OR(D38&gt;0,E38&gt;0,F38&gt;0),"ATTENTION",IF(G38=B38,"CONTROLLED","OPEN"))</x:f>
        <x:v>ATTENTION</x:v>
      </x:c>
    </x:row>
    <x:row r="39">
      <x:c r="A39" s="36" t="str">
        <x:v>Business Continuity</x:v>
      </x:c>
      <x:c r="B39" s="36" t="n">
        <x:f>COUNTIF('02_Risk_Register'!$B$5:$B$196,A39)</x:f>
        <x:v>32</x:v>
      </x:c>
      <x:c r="C39" s="36" t="n">
        <x:f>COUNTIFS('02_Risk_Register'!$B$5:$B$196,A39,'02_Risk_Register'!$M$5:$M$196,"CRITICAL")</x:f>
        <x:v>2</x:v>
      </x:c>
      <x:c r="D39" s="36" t="n">
        <x:f>COUNTIFS('02_Risk_Register'!$B$5:$B$196,A39,'02_Risk_Register'!$W$5:$W$196,"CRITICAL")</x:f>
        <x:v>2</x:v>
      </x:c>
      <x:c r="E39" s="36" t="n">
        <x:f>COUNTIFS('02_Risk_Register'!$B$5:$B$196,A39,'02_Risk_Register'!$Y$5:$Y$196,"OUTSIDE TOLERANCE")</x:f>
        <x:v>32</x:v>
      </x:c>
      <x:c r="F39" s="36" t="n">
        <x:f>SUMIF('02_Risk_Register'!$B$5:$B$196,A39,'02_Risk_Register'!$AQ$5:$AQ$196)</x:f>
        <x:v>32</x:v>
      </x:c>
      <x:c r="G39" s="36" t="n">
        <x:f>COUNTIFS('03_Treatment_Actions'!$C$5:$C$196,A39,'03_Treatment_Actions'!$I$5:$I$196,"DONE")</x:f>
        <x:v>0</x:v>
      </x:c>
      <x:c r="H39" s="36" t="str">
        <x:f>IF(OR(D39&gt;0,E39&gt;0,F39&gt;0),"ATTENTION",IF(G39=B39,"CONTROLLED","OPEN"))</x:f>
        <x:v>ATTENTION</x:v>
      </x:c>
    </x:row>
    <x:row r="42">
      <x:c r="A42" s="71" t="str">
        <x:v>Minimum Closure Sequence</x:v>
      </x:c>
      <x:c r="B42" s="71"/>
      <x:c r="C42" s="71"/>
      <x:c r="D42" s="71"/>
      <x:c r="E42" s="71"/>
      <x:c r="F42" s="71"/>
      <x:c r="G42" s="71"/>
      <x:c r="H42" s="71"/>
    </x:row>
    <x:row r="43">
      <x:c r="A43" s="76" t="str">
        <x:v>1</x:v>
      </x:c>
      <x:c r="B43" s="27" t="str">
        <x:v>Validate every risk owner, score, appetite and source</x:v>
      </x:c>
      <x:c r="C43" s="27" t="str">
        <x:v>OPEN</x:v>
      </x:c>
    </x:row>
    <x:row r="44">
      <x:c r="A44" s="76" t="str">
        <x:v>2</x:v>
      </x:c>
      <x:c r="B44" s="27" t="str">
        <x:v>Implement P0/P1 treatments and close outside-tolerance exposures</x:v>
      </x:c>
      <x:c r="C44" s="27" t="str">
        <x:v>OPEN</x:v>
      </x:c>
    </x:row>
    <x:row r="45">
      <x:c r="A45" s="76" t="str">
        <x:v>3</x:v>
      </x:c>
      <x:c r="B45" s="27" t="str">
        <x:v>Establish independent 3-2-1 copies for Tier 0/1 assets and final package</x:v>
      </x:c>
      <x:c r="C45" s="27" t="str">
        <x:v>OPEN</x:v>
      </x:c>
    </x:row>
    <x:row r="46">
      <x:c r="A46" s="76" t="str">
        <x:v>4</x:v>
      </x:c>
      <x:c r="B46" s="27" t="str">
        <x:v>Execute restore, credential, save, repository and total-loss exercises</x:v>
      </x:c>
      <x:c r="C46" s="27" t="str">
        <x:v>NOT RUN</x:v>
      </x:c>
    </x:row>
    <x:row r="47">
      <x:c r="A47" s="76" t="str">
        <x:v>5</x:v>
      </x:c>
      <x:c r="B47" s="27" t="str">
        <x:v>Update document 34 and transfer operational responsibilities</x:v>
      </x:c>
      <x:c r="C47" s="27" t="str">
        <x:v>OPEN</x:v>
      </x:c>
    </x:row>
    <x:row r="48">
      <x:c r="A48" s="76" t="str">
        <x:v>6</x:v>
      </x:c>
      <x:c r="B48" s="27" t="str">
        <x:v>Regenerate 32 candidate and 16 candidate; propagate all findings</x:v>
      </x:c>
      <x:c r="C48" s="27" t="str">
        <x:v>OPEN</x:v>
      </x:c>
    </x:row>
    <x:row r="49">
      <x:c r="A49" s="76" t="str">
        <x:v>7</x:v>
      </x:c>
      <x:c r="B49" s="27" t="str">
        <x:v>Resolve/accept BLOCKER-HIGH findings and regenerate 16 final</x:v>
      </x:c>
      <x:c r="C49" s="27" t="str">
        <x:v>OPEN</x:v>
      </x:c>
    </x:row>
    <x:row r="50">
      <x:c r="A50" s="76" t="str">
        <x:v>8</x:v>
      </x:c>
      <x:c r="B50" s="27" t="str">
        <x:v>Freeze 32 final, create immutable ZIP/checksums and validate clean-room handoff</x:v>
      </x:c>
      <x:c r="C50" s="27" t="str">
        <x:v>OPEN</x:v>
      </x:c>
    </x:row>
    <x:row r="52" ht="22" customHeight="1">
      <x:c r="A52" s="90" t="str">
        <x:v>Documentation Consolidation Status</x:v>
      </x:c>
      <x:c r="B52" s="91"/>
      <x:c r="C52" s="91"/>
      <x:c r="D52" s="91"/>
      <x:c r="E52" s="91"/>
      <x:c r="F52" s="91"/>
      <x:c r="G52" s="91"/>
      <x:c r="H52" s="92"/>
    </x:row>
    <x:row r="53" ht="30" customHeight="1">
      <x:c r="A53" s="104" t="str">
        <x:v>Workstream</x:v>
      </x:c>
      <x:c r="B53" s="105" t="str">
        <x:v>Current State</x:v>
      </x:c>
      <x:c r="C53" s="105" t="str">
        <x:v>Next Action</x:v>
      </x:c>
      <x:c r="D53" s="105" t="str">
        <x:v>Blocking</x:v>
      </x:c>
      <x:c r="E53" s="105" t="str">
        <x:v>Primary Evidence</x:v>
      </x:c>
      <x:c r="F53" s="105" t="str">
        <x:v>Owner</x:v>
      </x:c>
      <x:c r="G53" s="105" t="str">
        <x:v>Decision / Gate</x:v>
      </x:c>
      <x:c r="H53" s="106" t="str">
        <x:v>Notes</x:v>
      </x:c>
    </x:row>
    <x:row r="54" ht="34" customHeight="1">
      <x:c r="A54" s="123" t="str">
        <x:v>Governance 12–15</x:v>
      </x:c>
      <x:c r="B54" s="124" t="str">
        <x:v>UPDATED AFTER RC1</x:v>
      </x:c>
      <x:c r="C54" s="124" t="str">
        <x:v>Propagate later audit corrections</x:v>
      </x:c>
      <x:c r="D54" s="124" t="str">
        <x:v>No</x:v>
      </x:c>
      <x:c r="E54" s="124" t="str">
        <x:v>Files + hashes in 14_Current_Traceability</x:v>
      </x:c>
      <x:c r="F54" s="124" t="str">
        <x:v>Documentation</x:v>
      </x:c>
      <x:c r="G54" s="124" t="str">
        <x:v>Maintain current</x:v>
      </x:c>
      <x:c r="H54" s="125" t="str">
        <x:v>Will require final hash refresh if changed.</x:v>
      </x:c>
    </x:row>
    <x:row r="55" ht="34" customHeight="1">
      <x:c r="A55" s="126" t="str">
        <x:v>Specialized 21/23</x:v>
      </x:c>
      <x:c r="B55" s="127" t="str">
        <x:v>UPDATED AFTER RC1</x:v>
      </x:c>
      <x:c r="C55" s="127" t="str">
        <x:v>Revalidate after audit</x:v>
      </x:c>
      <x:c r="D55" s="127" t="str">
        <x:v>No</x:v>
      </x:c>
      <x:c r="E55" s="127" t="str">
        <x:v>21 and 23 regenerated</x:v>
      </x:c>
      <x:c r="F55" s="127" t="str">
        <x:v>Content / Legal</x:v>
      </x:c>
      <x:c r="G55" s="127" t="str">
        <x:v>Maintain current</x:v>
      </x:c>
      <x:c r="H55" s="128" t="str">
        <x:v>Controls remain unverified until execution.</x:v>
      </x:c>
    </x:row>
    <x:row r="56" ht="34" customHeight="1">
      <x:c r="A56" s="126" t="str">
        <x:v>Checklist 31</x:v>
      </x:c>
      <x:c r="B56" s="127" t="str">
        <x:v>UPDATED AFTER RC1</x:v>
      </x:c>
      <x:c r="C56" s="127" t="str">
        <x:v>Use for H6/release evidence</x:v>
      </x:c>
      <x:c r="D56" s="127" t="str">
        <x:v>No</x:v>
      </x:c>
      <x:c r="E56" s="127" t="str">
        <x:v>31 regenerated</x:v>
      </x:c>
      <x:c r="F56" s="127" t="str">
        <x:v>QA / Production</x:v>
      </x:c>
      <x:c r="G56" s="127" t="str">
        <x:v>Operational candidate</x:v>
      </x:c>
      <x:c r="H56" s="128" t="str">
        <x:v>No H6 PASS has been asserted.</x:v>
      </x:c>
    </x:row>
    <x:row r="57" ht="34" customHeight="1">
      <x:c r="A57" s="126" t="str">
        <x:v>Risk/BCP 33</x:v>
      </x:c>
      <x:c r="B57" s="127" t="str">
        <x:v>UPDATED HERE</x:v>
      </x:c>
      <x:c r="C57" s="127" t="str">
        <x:v>Feed risks/findings into 34/32/16</x:v>
      </x:c>
      <x:c r="D57" s="127" t="str">
        <x:v>No</x:v>
      </x:c>
      <x:c r="E57" s="127" t="str">
        <x:v>This workbook + external hash</x:v>
      </x:c>
      <x:c r="F57" s="127" t="str">
        <x:v>Continuity</x:v>
      </x:c>
      <x:c r="G57" s="127" t="str">
        <x:v>Operational candidate</x:v>
      </x:c>
      <x:c r="H57" s="128" t="str">
        <x:v>Self-hash recorded externally after export.</x:v>
      </x:c>
    </x:row>
    <x:row r="58" ht="34" customHeight="1">
      <x:c r="A58" s="117" t="str">
        <x:v>Handoff 34</x:v>
      </x:c>
      <x:c r="B58" s="118" t="str">
        <x:v>RC1 FILE PRESENT</x:v>
      </x:c>
      <x:c r="C58" s="118" t="str">
        <x:v>Directed update</x:v>
      </x:c>
      <x:c r="D58" s="118" t="str">
        <x:v>Yes</x:v>
      </x:c>
      <x:c r="E58" s="118" t="str">
        <x:v>34 current RC1 file</x:v>
      </x:c>
      <x:c r="F58" s="118" t="str">
        <x:v>Project Owner</x:v>
      </x:c>
      <x:c r="G58" s="118" t="str">
        <x:v>Must update next</x:v>
      </x:c>
      <x:c r="H58" s="119" t="str">
        <x:v>Replace provisional package/restore/commit details.</x:v>
      </x:c>
    </x:row>
    <x:row r="59" ht="34" customHeight="1">
      <x:c r="A59" s="117" t="str">
        <x:v>Manifest 32</x:v>
      </x:c>
      <x:c r="B59" s="118" t="str">
        <x:v>EARLIER CANDIDATE</x:v>
      </x:c>
      <x:c r="C59" s="118" t="str">
        <x:v>Regenerate candidate after 34</x:v>
      </x:c>
      <x:c r="D59" s="118" t="str">
        <x:v>Yes</x:v>
      </x:c>
      <x:c r="E59" s="118" t="str">
        <x:v>32 RC1 file</x:v>
      </x:c>
      <x:c r="F59" s="118" t="str">
        <x:v>Documentation</x:v>
      </x:c>
      <x:c r="G59" s="118" t="str">
        <x:v>Candidate only</x:v>
      </x:c>
      <x:c r="H59" s="119" t="str">
        <x:v>Must not be treated as final authority.</x:v>
      </x:c>
    </x:row>
    <x:row r="60" ht="34" customHeight="1">
      <x:c r="A60" s="117" t="str">
        <x:v>Audit 16</x:v>
      </x:c>
      <x:c r="B60" s="118" t="str">
        <x:v>RC1 AUDIT</x:v>
      </x:c>
      <x:c r="C60" s="118" t="str">
        <x:v>Regenerate candidate across current 00–34</x:v>
      </x:c>
      <x:c r="D60" s="118" t="str">
        <x:v>Yes</x:v>
      </x:c>
      <x:c r="E60" s="118" t="str">
        <x:v>16 RC1 file</x:v>
      </x:c>
      <x:c r="F60" s="118" t="str">
        <x:v>QA / Documentation</x:v>
      </x:c>
      <x:c r="G60" s="118" t="str">
        <x:v>Audit gate</x:v>
      </x:c>
      <x:c r="H60" s="119" t="str">
        <x:v>Repeat after corrections for final audit.</x:v>
      </x:c>
    </x:row>
    <x:row r="61" ht="34" customHeight="1">
      <x:c r="A61" s="120" t="str">
        <x:v>Final package &amp; tests</x:v>
      </x:c>
      <x:c r="B61" s="121" t="str">
        <x:v>NOT CREATED / NOT RUN</x:v>
      </x:c>
      <x:c r="C61" s="121" t="str">
        <x:v>Freeze, checksum, restore and handoff drill</x:v>
      </x:c>
      <x:c r="D61" s="121" t="str">
        <x:v>Yes</x:v>
      </x:c>
      <x:c r="E61" s="121" t="str">
        <x:v>External artifacts + EX-17/EX-18</x:v>
      </x:c>
      <x:c r="F61" s="121" t="str">
        <x:v>Project Owner</x:v>
      </x:c>
      <x:c r="G61" s="121" t="str">
        <x:v>Final baseline gate</x:v>
      </x:c>
      <x:c r="H61" s="122" t="str">
        <x:v>No continuity claim until evidence exists.</x:v>
      </x:c>
    </x:row>
  </x:sheetData>
  <x:mergeCells>
    <x:mergeCell ref="A1:H1"/>
    <x:mergeCell ref="A2:H2"/>
    <x:mergeCell ref="D4:H4"/>
    <x:mergeCell ref="A42:H42"/>
    <x:mergeCell ref="A52:H52"/>
  </x:mergeCells>
  <x:conditionalFormatting sqref="G6:G17">
    <x:cfRule type="expression" dxfId="29" priority="1">
      <x:formula>G6="PASS"</x:formula>
    </x:cfRule>
    <x:cfRule type="expression" dxfId="30" priority="2">
      <x:formula>OR(G6="OPEN",G6="ATTENTION",G6="REVIEW")</x:formula>
    </x:cfRule>
  </x:conditionalFormatting>
  <x:conditionalFormatting sqref="H22:H39">
    <x:cfRule type="expression" dxfId="31" priority="3">
      <x:formula>H22="CONTROLLED"</x:formula>
    </x:cfRule>
    <x:cfRule type="expression" dxfId="32" priority="4">
      <x:formula>OR(H22="ATTENTION",H22="OPEN")</x:formula>
    </x:cfRule>
  </x:conditionalFormatting>
  <x:conditionalFormatting sqref="C43:C50">
    <x:cfRule type="expression" dxfId="33" priority="5">
      <x:formula>OR(C43="OPEN",C43="NOT RUN",C43="MISSING")</x:formula>
    </x:cfRule>
  </x:conditionalFormatting>
  <x:pageMargins left="0.7" right="0.7" top="0.75" bottom="0.75" header="0.3" footer="0.3"/>
  <x:drawing xmlns:r="http://schemas.openxmlformats.org/officeDocument/2006/relationships" r:id="Rd52a439fc8724e4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2" hidden="0" customWidth="1"/>
  </x:cols>
  <x:sheetData>
    <x:row r="1" ht="36" customHeight="1">
      <x:c r="A1" s="5" t="str">
        <x:v>Cartridge &amp; Cloud — Project Risk Register &amp; Business Continuity Plan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Documento 33. Registro operativo de riesgos, BIA, continuidad, backups, recuperación, crisis, pruebas, aceptación y trazabilidad histórica.</x:v>
      </x:c>
      <x:c r="B2" s="13"/>
      <x:c r="C2" s="13"/>
      <x:c r="D2" s="13"/>
      <x:c r="E2" s="13"/>
      <x:c r="F2" s="13"/>
      <x:c r="G2" s="13"/>
      <x:c r="H2" s="13"/>
    </x:row>
    <x:row r="4">
      <x:c r="A4" s="21" t="str">
        <x:v>Field / Rule</x:v>
      </x:c>
      <x:c r="B4" s="21" t="str">
        <x:v>Operational definition</x:v>
      </x:c>
    </x:row>
    <x:row r="5">
      <x:c r="A5" s="32" t="str">
        <x:v>Purpose</x:v>
      </x:c>
      <x:c r="B5" s="36" t="str">
        <x:v>Create one authoritative operational place to identify, score, own, treat, accept, monitor and recover from project risks.</x:v>
      </x:c>
    </x:row>
    <x:row r="6">
      <x:c r="A6" s="32" t="str">
        <x:v>Scope</x:v>
      </x:c>
      <x:c r="B6" s="36" t="str">
        <x:v>Covers product, production, people, engineering, data, QA, performance, security, privacy, legal, publishing, accessibility, content, finances, vendors, hardware and documentation.</x:v>
      </x:c>
    </x:row>
    <x:row r="7">
      <x:c r="A7" s="32" t="str">
        <x:v>Historical preservation</x:v>
      </x:c>
      <x:c r="B7" s="36" t="str">
        <x:v>Historical baselines, ADR, sprint records, QA/build evidence, manifests and handoffs remain read-only evidence. Consolidation does not delete them.</x:v>
      </x:c>
    </x:row>
    <x:row r="8">
      <x:c r="A8" s="32" t="str">
        <x:v>Risk statement</x:v>
      </x:c>
      <x:c r="B8" s="36" t="str">
        <x:v>Cause + uncertain event + consequence. A problem that has already occurred belongs in the incident/issue log as well as the risk register when recurrence remains possible.</x:v>
      </x:c>
    </x:row>
    <x:row r="9">
      <x:c r="A9" s="32" t="str">
        <x:v>Inherent risk</x:v>
      </x:c>
      <x:c r="B9" s="36" t="str">
        <x:v>Exposure before considering controls. Likelihood × Impact, both 1–5.</x:v>
      </x:c>
    </x:row>
    <x:row r="10">
      <x:c r="A10" s="32" t="str">
        <x:v>Residual risk</x:v>
      </x:c>
      <x:c r="B10" s="36" t="str">
        <x:v>Expected exposure after current/planned controls. It must not be lower merely by assertion; evidence is required.</x:v>
      </x:c>
    </x:row>
    <x:row r="11">
      <x:c r="A11" s="32" t="str">
        <x:v>Ratings</x:v>
      </x:c>
      <x:c r="B11" s="36" t="str">
        <x:v>1–5 LOW; 6–11 MEDIUM; 12–19 HIGH; 20–25 CRITICAL.</x:v>
      </x:c>
    </x:row>
    <x:row r="12">
      <x:c r="A12" s="32" t="str">
        <x:v>Appetite</x:v>
      </x:c>
      <x:c r="B12" s="36" t="str">
        <x:v>ZERO: no avoidable exposure; LOW: score ≤4; MODERATE: score ≤9; HIGH: score ≤16. Outside tolerance requires treatment, escalation or formal acceptance.</x:v>
      </x:c>
    </x:row>
    <x:row r="13">
      <x:c r="A13" s="32" t="str">
        <x:v>Velocity</x:v>
      </x:c>
      <x:c r="B13" s="36" t="str">
        <x:v>IMMEDIATE, FAST, MEDIUM or SLOW describes how quickly impact materializes after the trigger.</x:v>
      </x:c>
    </x:row>
    <x:row r="14">
      <x:c r="A14" s="32" t="str">
        <x:v>Detectability</x:v>
      </x:c>
      <x:c r="B14" s="36" t="str">
        <x:v>EASY, MODERATE or HARD. Hard-to-detect risks need stronger prevention and monitoring.</x:v>
      </x:c>
    </x:row>
    <x:row r="15">
      <x:c r="A15" s="32" t="str">
        <x:v>Control maturity</x:v>
      </x:c>
      <x:c r="B15" s="36" t="str">
        <x:v>ABSENT, PLANNED, PARTIAL, DEFINED, OPERATING or VERIFIED. Only VERIFIED implies tested evidence.</x:v>
      </x:c>
    </x:row>
    <x:row r="16">
      <x:c r="A16" s="32" t="str">
        <x:v>Status</x:v>
      </x:c>
      <x:c r="B16" s="36" t="str">
        <x:v>OPEN, MONITORING, TREATING, ESCALATED, ACCEPTANCE REQUESTED, ACCEPTED, CLOSED or RETIRED.</x:v>
      </x:c>
    </x:row>
    <x:row r="17">
      <x:c r="A17" s="32" t="str">
        <x:v>Evidence rule</x:v>
      </x:c>
      <x:c r="B17" s="36" t="str">
        <x:v>A backup, control or recovery capability is not considered effective until a test has produced retrievable evidence.</x:v>
      </x:c>
    </x:row>
    <x:row r="18">
      <x:c r="A18" s="32" t="str">
        <x:v>No false PASS</x:v>
      </x:c>
      <x:c r="B18" s="36" t="str">
        <x:v>The workbook deliberately starts with OPEN, PLANNED, NOT RUN and UNVERIFIED states. Users must not bulk-change status without execution evidence.</x:v>
      </x:c>
    </x:row>
    <x:row r="19">
      <x:c r="A19" s="32" t="str">
        <x:v>RTO</x:v>
      </x:c>
      <x:c r="B19" s="36" t="str">
        <x:v>Recovery Time Objective: maximum target time to restore a capability after disruption.</x:v>
      </x:c>
    </x:row>
    <x:row r="20">
      <x:c r="A20" s="32" t="str">
        <x:v>RPO</x:v>
      </x:c>
      <x:c r="B20" s="36" t="str">
        <x:v>Recovery Point Objective: maximum acceptable data loss measured in time or transaction/change boundary.</x:v>
      </x:c>
    </x:row>
    <x:row r="21">
      <x:c r="A21" s="32" t="str">
        <x:v>MTPD</x:v>
      </x:c>
      <x:c r="B21" s="36" t="str">
        <x:v>Maximum Tolerable Period of Disruption. Exceeding it causes unacceptable project damage.</x:v>
      </x:c>
    </x:row>
    <x:row r="22">
      <x:c r="A22" s="32" t="str">
        <x:v>3-2-1 principle</x:v>
      </x:c>
      <x:c r="B22" s="36" t="str">
        <x:v>At least 3 copies, on 2 different media/failure domains, with 1 independent offsite/offline/immutable copy for critical assets.</x:v>
      </x:c>
    </x:row>
    <x:row r="23">
      <x:c r="A23" s="32" t="str">
        <x:v>Restore tests</x:v>
      </x:c>
      <x:c r="B23" s="36" t="str">
        <x:v>Test into a clean target; compare hashes; open/use the recovered artifact; record elapsed time, RPO gap, defects and signoff.</x:v>
      </x:c>
    </x:row>
    <x:row r="24">
      <x:c r="A24" s="32" t="str">
        <x:v>Risk acceptance</x:v>
      </x:c>
      <x:c r="B24" s="36" t="str">
        <x:v>Only the authorized owner may accept residual risk, with scope, expiry, rationale, compensating controls and reviewer. ZERO-appetite legal/security/data risks normally require avoidance or elimination.</x:v>
      </x:c>
    </x:row>
    <x:row r="25">
      <x:c r="A25" s="32" t="str">
        <x:v>Incident declaration</x:v>
      </x:c>
      <x:c r="B25" s="36" t="str">
        <x:v>Use the incident log when a trigger produces actual impact. Assign an Incident Commander and Evidence Custodian for significant incidents.</x:v>
      </x:c>
    </x:row>
    <x:row r="26">
      <x:c r="A26" s="32" t="str">
        <x:v>Evidence preservation</x:v>
      </x:c>
      <x:c r="B26" s="36" t="str">
        <x:v>Do not delete logs, overwrite files or rotate credentials before preserving enough evidence, unless immediate containment requires it.</x:v>
      </x:c>
    </x:row>
    <x:row r="27">
      <x:c r="A27" s="32" t="str">
        <x:v>Communications</x:v>
      </x:c>
      <x:c r="B27" s="36" t="str">
        <x:v>One approved source of truth. Internal facts, public statements and legal/privacy notifications are separate decisions.</x:v>
      </x:c>
    </x:row>
    <x:row r="28">
      <x:c r="A28" s="32" t="str">
        <x:v>Recovery order</x:v>
      </x:c>
      <x:c r="B28" s="36" t="str">
        <x:v>People/safety and account security first; then governance/credentials, repository/data, documentation, toolchain/build, QA evidence, publishing and normal operations according to BIA.</x:v>
      </x:c>
    </x:row>
    <x:row r="29">
      <x:c r="A29" s="32" t="str">
        <x:v>Change control</x:v>
      </x:c>
      <x:c r="B29" s="36" t="str">
        <x:v>Any change to score, owner, appetite, RTO/RPO, acceptance, package, manifest or playbook must be recorded in 17_Change_Log and propagated to 12–16 and 31–34 as applicable.</x:v>
      </x:c>
    </x:row>
    <x:row r="30">
      <x:c r="A30" s="32" t="str">
        <x:v>Self-hash</x:v>
      </x:c>
      <x:c r="B30" s="36" t="str">
        <x:v>This workbook cannot contain its own stable SHA-256 because embedding it changes the file. Record the final hash externally in CHECKSUMS_SHA256.txt / final manifest.</x:v>
      </x:c>
    </x:row>
    <x:row r="31">
      <x:c r="A31" s="32" t="str">
        <x:v>Review cadence</x:v>
      </x:c>
      <x:c r="B31" s="36" t="str">
        <x:v>Critical/outside-tolerance risks: weekly or on trigger; high: biweekly/monthly; all risks: per milestone and before H6/RC/release.</x:v>
      </x:c>
    </x:row>
    <x:row r="32">
      <x:c r="A32" s="32" t="str">
        <x:v>Current project state</x:v>
      </x:c>
      <x:c r="B32" s="36" t="str">
        <x:v>RC1 consolidation is in progress. Documents 12–15, 21, 23, 31 and 33 are updated; 34, candidate 32 and candidate/final 16 remain pending. No continuity PASS is implied.</x:v>
      </x:c>
    </x:row>
    <x:row r="33">
      <x:c r="A33" s="32" t="str">
        <x:v>Date of snapshot</x:v>
      </x:c>
      <x:c r="B33" s="36" t="str">
        <x:v>2026-07-01</x:v>
      </x:c>
    </x:row>
    <x:row r="34">
      <x:c r="A34" t="str">
        <x:v>Consolidation order</x:v>
      </x:c>
      <x:c r="B34" t="str">
        <x:v>After this document: update 34, regenerate 32 candidate, regenerate 16 candidate, resolve findings, regenerate 16 final and then 32 final.</x:v>
      </x:c>
    </x:row>
    <x:row r="35">
      <x:c r="A35" t="str">
        <x:v>Document 34 state</x:v>
      </x:c>
      <x:c r="B35" t="str">
        <x:v>The file exists in RC1 but still requires a directed update; do not describe it as missing.</x:v>
      </x:c>
    </x:row>
    <x:row r="36">
      <x:c r="A36" t="str">
        <x:v>Manifest state</x:v>
      </x:c>
      <x:c r="B36" t="str">
        <x:v>Document 32 currently represents an earlier candidate and must not be treated as final authority.</x:v>
      </x:c>
    </x:row>
    <x:row r="37">
      <x:c r="A37" t="str">
        <x:v>Audit state</x:v>
      </x:c>
      <x:c r="B37" t="str">
        <x:v>Document 16 must audit the complete current 00–34 set after directed updates and again after corrections.</x:v>
      </x:c>
    </x:row>
    <x:row r="38">
      <x:c r="A38" t="str">
        <x:v>Final freeze</x:v>
      </x:c>
      <x:c r="B38" t="str">
        <x:v>Generate external manifests/checksums only after no approved document will change; then perform clean-room restore and independent handoff tests.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52" hidden="0" customWidth="1"/>
    <x:col min="5" max="5" width="30" hidden="0" customWidth="1"/>
    <x:col min="6" max="6" width="16" hidden="0" customWidth="1"/>
    <x:col min="7" max="7" width="42" hidden="0" customWidth="1"/>
    <x:col min="8" max="8" width="45" hidden="0" customWidth="1"/>
    <x:col min="9" max="9" width="48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2" hidden="0" customWidth="1"/>
    <x:col min="15" max="15" width="14" hidden="0" customWidth="1"/>
    <x:col min="16" max="16" width="52" hidden="0" customWidth="1"/>
    <x:col min="17" max="17" width="18" hidden="0" customWidth="1"/>
    <x:col min="18" max="18" width="18" hidden="0" customWidth="1"/>
    <x:col min="19" max="19" width="58" hidden="0" customWidth="1"/>
    <x:col min="20" max="20" width="12" hidden="0" customWidth="1"/>
    <x:col min="21" max="21" width="12" hidden="0" customWidth="1"/>
    <x:col min="22" max="22" width="12" hidden="0" customWidth="1"/>
    <x:col min="23" max="23" width="14" hidden="0" customWidth="1"/>
    <x:col min="24" max="24" width="14" hidden="0" customWidth="1"/>
    <x:col min="25" max="25" width="22" hidden="0" customWidth="1"/>
    <x:col min="26" max="26" width="28" hidden="0" customWidth="1"/>
    <x:col min="27" max="27" width="30" hidden="0" customWidth="1"/>
    <x:col min="28" max="28" width="45" hidden="0" customWidth="1"/>
    <x:col min="29" max="29" width="38" hidden="0" customWidth="1"/>
    <x:col min="30" max="30" width="48" hidden="0" customWidth="1"/>
    <x:col min="31" max="31" width="56" hidden="0" customWidth="1"/>
    <x:col min="32" max="32" width="12" hidden="0" customWidth="1"/>
    <x:col min="33" max="33" width="14" hidden="0" customWidth="1"/>
    <x:col min="34" max="34" width="18" hidden="0" customWidth="1"/>
    <x:col min="35" max="35" width="40" hidden="0" customWidth="1"/>
    <x:col min="36" max="36" width="50" hidden="0" customWidth="1"/>
    <x:col min="37" max="37" width="22" hidden="0" customWidth="1"/>
    <x:col min="38" max="38" width="18" hidden="0" customWidth="1"/>
    <x:col min="39" max="39" width="14" hidden="0" customWidth="1"/>
    <x:col min="40" max="40" width="14" hidden="0" customWidth="1"/>
    <x:col min="41" max="41" width="20" hidden="0" customWidth="1"/>
    <x:col min="42" max="42" width="48" hidden="0" customWidth="1"/>
    <x:col min="43" max="43" width="13" hidden="0" customWidth="1"/>
  </x:cols>
  <x:sheetData>
    <x:row r="1" ht="36" customHeight="1">
      <x:c r="A1" s="5" t="str">
        <x:v>02 — Master Project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</x:row>
    <x:row r="2" ht="42" customHeight="1">
      <x:c r="A2" s="13" t="str">
        <x:v>180 initialized risks consolidated from current documents 00–32 and all supplied historical documentation. Initial residual scores and control maturity are provisional until owners validate evidence.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</x:row>
    <x:row r="4">
      <x:c r="A4" s="21" t="str">
        <x:v>Risk ID</x:v>
      </x:c>
      <x:c r="B4" s="21" t="str">
        <x:v>Category</x:v>
      </x:c>
      <x:c r="C4" s="21" t="str">
        <x:v>Subcategory</x:v>
      </x:c>
      <x:c r="D4" s="21" t="str">
        <x:v>Risk Statement</x:v>
      </x:c>
      <x:c r="E4" s="21" t="str">
        <x:v>Objective / Asset</x:v>
      </x:c>
      <x:c r="F4" s="21" t="str">
        <x:v>Lifecycle Phase</x:v>
      </x:c>
      <x:c r="G4" s="21" t="str">
        <x:v>Cause</x:v>
      </x:c>
      <x:c r="H4" s="21" t="str">
        <x:v>Risk Event</x:v>
      </x:c>
      <x:c r="I4" s="21" t="str">
        <x:v>Consequence</x:v>
      </x:c>
      <x:c r="J4" s="21" t="str">
        <x:v>Inherent Likelihood</x:v>
      </x:c>
      <x:c r="K4" s="21" t="str">
        <x:v>Inherent Impact</x:v>
      </x:c>
      <x:c r="L4" s="21" t="str">
        <x:v>Inherent Score</x:v>
      </x:c>
      <x:c r="M4" s="21" t="str">
        <x:v>Inherent Rating</x:v>
      </x:c>
      <x:c r="N4" s="21" t="str">
        <x:v>Velocity</x:v>
      </x:c>
      <x:c r="O4" s="21" t="str">
        <x:v>Detectability</x:v>
      </x:c>
      <x:c r="P4" s="21" t="str">
        <x:v>Existing Controls</x:v>
      </x:c>
      <x:c r="Q4" s="21" t="str">
        <x:v>Control Maturity</x:v>
      </x:c>
      <x:c r="R4" s="21" t="str">
        <x:v>Treatment Strategy</x:v>
      </x:c>
      <x:c r="S4" s="21" t="str">
        <x:v>Planned Treatment</x:v>
      </x:c>
      <x:c r="T4" s="21" t="str">
        <x:v>Residual Likelihood</x:v>
      </x:c>
      <x:c r="U4" s="21" t="str">
        <x:v>Residual Impact</x:v>
      </x:c>
      <x:c r="V4" s="21" t="str">
        <x:v>Residual Score</x:v>
      </x:c>
      <x:c r="W4" s="21" t="str">
        <x:v>Residual Rating</x:v>
      </x:c>
      <x:c r="X4" s="21" t="str">
        <x:v>Risk Appetite</x:v>
      </x:c>
      <x:c r="Y4" s="21" t="str">
        <x:v>Tolerance State</x:v>
      </x:c>
      <x:c r="Z4" s="21" t="str">
        <x:v>Risk Owner</x:v>
      </x:c>
      <x:c r="AA4" s="21" t="str">
        <x:v>Alternate / Escalation</x:v>
      </x:c>
      <x:c r="AB4" s="21" t="str">
        <x:v>Trigger / KRI</x:v>
      </x:c>
      <x:c r="AC4" s="21" t="str">
        <x:v>Threshold</x:v>
      </x:c>
      <x:c r="AD4" s="21" t="str">
        <x:v>Immediate Response</x:v>
      </x:c>
      <x:c r="AE4" s="21" t="str">
        <x:v>Recovery / Contingency</x:v>
      </x:c>
      <x:c r="AF4" s="21" t="str">
        <x:v>BIA ID</x:v>
      </x:c>
      <x:c r="AG4" s="21" t="str">
        <x:v>Playbook ID</x:v>
      </x:c>
      <x:c r="AH4" s="21" t="str">
        <x:v>Treatment Action IDs</x:v>
      </x:c>
      <x:c r="AI4" s="21" t="str">
        <x:v>Current Sources</x:v>
      </x:c>
      <x:c r="AJ4" s="21" t="str">
        <x:v>Historical Basis</x:v>
      </x:c>
      <x:c r="AK4" s="21" t="str">
        <x:v>Status</x:v>
      </x:c>
      <x:c r="AL4" s="21" t="str">
        <x:v>Review Frequency</x:v>
      </x:c>
      <x:c r="AM4" s="21" t="str">
        <x:v>Last Review</x:v>
      </x:c>
      <x:c r="AN4" s="21" t="str">
        <x:v>Next Review</x:v>
      </x:c>
      <x:c r="AO4" s="21" t="str">
        <x:v>Evidence State</x:v>
      </x:c>
      <x:c r="AP4" s="21" t="str">
        <x:v>Notes</x:v>
      </x:c>
      <x:c r="AQ4" s="21" t="str">
        <x:v>Open Blocker</x:v>
      </x:c>
    </x:row>
    <x:row r="5">
      <x:c r="A5" s="27" t="str">
        <x:v>R-GOV-001</x:v>
      </x:c>
      <x:c r="B5" s="36" t="str">
        <x:v>Governance &amp; Scope</x:v>
      </x:c>
      <x:c r="C5" s="36" t="str">
        <x:v>Scope control</x:v>
      </x:c>
      <x:c r="D5" s="36" t="str">
        <x:v>Existe el riesgo de que ocurra lo siguiente: Se incorpora funcionalidad no contractual antes de H6.</x:v>
      </x:c>
      <x:c r="E5" s="36" t="str">
        <x:v>Vertical slice / H6</x:v>
      </x:c>
      <x:c r="F5" s="36" t="str">
        <x:v>Development</x:v>
      </x:c>
      <x:c r="G5" s="36" t="str">
        <x:v>Ausencia, degradación o incumplimiento de los controles definidos para scope control.</x:v>
      </x:c>
      <x:c r="H5" s="36" t="str">
        <x:v>Se incorpora funcionalidad no contractual antes de H6</x:v>
      </x:c>
      <x:c r="I5" s="36" t="str">
        <x:v>Puede afectar a Vertical slice / H6, bloquear un gate, causar retrabajo, pérdida de datos/confianza o interrupción operativa.</x:v>
      </x:c>
      <x:c r="J5" s="38" t="n">
        <x:v>4</x:v>
      </x:c>
      <x:c r="K5" s="38" t="n">
        <x:v>4</x:v>
      </x:c>
      <x:c r="L5" s="38" t="n">
        <x:f>J5*K5</x:f>
        <x:v>16</x:v>
      </x:c>
      <x:c r="M5" s="27" t="str">
        <x:f>IF(L5&gt;=20,"CRITICAL",IF(L5&gt;=12,"HIGH",IF(L5&gt;=6,"MEDIUM","LOW")))</x:f>
        <x:v>HIGH</x:v>
      </x:c>
      <x:c r="N5" s="27" t="str">
        <x:v>FAST</x:v>
      </x:c>
      <x:c r="O5" s="27" t="str">
        <x:v>HARD</x:v>
      </x:c>
      <x:c r="P5" s="36" t="str">
        <x:v>Alcance constitucional, VSS contractual, gates, backlog y control de cambios.</x:v>
      </x:c>
      <x:c r="Q5" s="27" t="str">
        <x:v>DEFINED</x:v>
      </x:c>
      <x:c r="R5" s="27" t="str">
        <x:v>MITIGATE</x:v>
      </x:c>
      <x:c r="S5" s="36" t="str">
        <x:v>Aplicar change control; cuantificar coste, valor y riesgo; diferir fuera de H6 o rechazar.</x:v>
      </x:c>
      <x:c r="T5" s="38" t="n">
        <x:v>4</x:v>
      </x:c>
      <x:c r="U5" s="38" t="n">
        <x:v>4</x:v>
      </x:c>
      <x:c r="V5" s="38" t="n">
        <x:f>T5*U5</x:f>
        <x:v>16</x:v>
      </x:c>
      <x:c r="W5" s="27" t="str">
        <x:f>IF(V5&gt;=20,"CRITICAL",IF(V5&gt;=12,"HIGH",IF(V5&gt;=6,"MEDIUM","LOW")))</x:f>
        <x:v>HIGH</x:v>
      </x:c>
      <x:c r="X5" s="27" t="str">
        <x:v>LOW</x:v>
      </x:c>
      <x:c r="Y5" s="27" t="str">
        <x:f>IF(X5="ZERO",IF(V5=0,"WITHIN TOLERANCE","OUTSIDE TOLERANCE"),IF(X5="LOW",IF(V5&lt;=4,"WITHIN TOLERANCE","OUTSIDE TOLERANCE"),IF(X5="MODERATE",IF(V5&lt;=9,"WITHIN TOLERANCE","OUTSIDE TOLERANCE"),IF(X5="HIGH",IF(V5&lt;=16,"WITHIN TOLERANCE","OUTSIDE TOLERANCE"),"REVIEW"))))</x:f>
        <x:v>OUTSIDE TOLERANCE</x:v>
      </x:c>
      <x:c r="Z5" s="36" t="str">
        <x:v>Project Owner / Production</x:v>
      </x:c>
      <x:c r="AA5" s="36" t="str">
        <x:v>Game Design</x:v>
      </x:c>
      <x:c r="AB5" s="36" t="str">
        <x:v>Backlog H6 crece sin cambio aprobado</x:v>
      </x:c>
      <x:c r="AC5" s="36" t="str">
        <x:v>Umbral: evidencia positiva, tendencia adversa o gate bloqueado.</x:v>
      </x:c>
      <x:c r="AD5" s="36" t="str">
        <x:v>Congelar cambio, identificar autoridad y convocar decisión del owner.</x:v>
      </x:c>
      <x:c r="AE5" s="36" t="str">
        <x:v>Restaurar baseline aprobada y replanificar solo mediante ADR/cambio registrado.</x:v>
      </x:c>
      <x:c r="AF5" s="27" t="str">
        <x:v>BIA-01</x:v>
      </x:c>
      <x:c r="AG5" s="27" t="str">
        <x:v>PB-01</x:v>
      </x:c>
      <x:c r="AH5" s="27" t="str">
        <x:v>TA-GOV-001</x:v>
      </x:c>
      <x:c r="AI5" s="36" t="str">
        <x:v>00, 01, 02, 06, 12, 13, 14, 15, 16, 31, 32, 33, 34</x:v>
      </x:c>
      <x:c r="AJ5" s="36" t="str">
        <x:v>Enfoque, GDD, Roadmap, Binder, Guía y auditorías v0.3–v0.6</x:v>
      </x:c>
      <x:c r="AK5" s="27" t="str">
        <x:v>OPEN</x:v>
      </x:c>
      <x:c r="AL5" s="27" t="str">
        <x:v>WEEKLY</x:v>
      </x:c>
      <x:c r="AM5" s="40" t="str">
        <x:v>2026-07-01</x:v>
      </x:c>
      <x:c r="AN5" s="40" t="str">
        <x:v>2026-07-08</x:v>
      </x:c>
      <x:c r="AO5" s="27" t="str">
        <x:v>UNVERIFIED</x:v>
      </x:c>
      <x:c r="AP5" s="36" t="str">
        <x:v>Registro inicial consolidado; validar owner, controles y residual.</x:v>
      </x:c>
      <x:c r="AQ5" s="27" t="n">
        <x:f>IF(OR(M5="CRITICAL",W5="CRITICAL",Y5="OUTSIDE TOLERANCE",AK5="ESCALATED",AK5="ACCEPTANCE REQUESTED"),1,0)</x:f>
        <x:v>1</x:v>
      </x:c>
    </x:row>
    <x:row r="6">
      <x:c r="A6" s="27" t="str">
        <x:v>R-GOV-002</x:v>
      </x:c>
      <x:c r="B6" s="36" t="str">
        <x:v>Governance &amp; Scope</x:v>
      </x:c>
      <x:c r="C6" s="36" t="str">
        <x:v>Authority</x:v>
      </x:c>
      <x:c r="D6" s="36" t="str">
        <x:v>Existe el riesgo de que ocurra lo siguiente: Dos documentos vigentes prescriben decisiones incompatibles.</x:v>
      </x:c>
      <x:c r="E6" s="36" t="str">
        <x:v>Baseline documental</x:v>
      </x:c>
      <x:c r="F6" s="36" t="str">
        <x:v>All</x:v>
      </x:c>
      <x:c r="G6" s="36" t="str">
        <x:v>Ausencia, degradación o incumplimiento de los controles definidos para authority.</x:v>
      </x:c>
      <x:c r="H6" s="36" t="str">
        <x:v>Dos documentos vigentes prescriben decisiones incompatibles</x:v>
      </x:c>
      <x:c r="I6" s="36" t="str">
        <x:v>Puede afectar a Baseline documental, bloquear un gate, causar retrabajo, pérdida de datos/confianza o interrupción operativa.</x:v>
      </x:c>
      <x:c r="J6" s="38" t="n">
        <x:v>3</x:v>
      </x:c>
      <x:c r="K6" s="38" t="n">
        <x:v>5</x:v>
      </x:c>
      <x:c r="L6" s="38" t="n">
        <x:f>J6*K6</x:f>
        <x:v>15</x:v>
      </x:c>
      <x:c r="M6" s="27" t="str">
        <x:f>IF(L6&gt;=20,"CRITICAL",IF(L6&gt;=12,"HIGH",IF(L6&gt;=6,"MEDIUM","LOW")))</x:f>
        <x:v>HIGH</x:v>
      </x:c>
      <x:c r="N6" s="27" t="str">
        <x:v>MEDIUM</x:v>
      </x:c>
      <x:c r="O6" s="27" t="str">
        <x:v>MODERATE</x:v>
      </x:c>
      <x:c r="P6" s="36" t="str">
        <x:v>Alcance constitucional, VSS contractual, gates, backlog y control de cambios.</x:v>
      </x:c>
      <x:c r="Q6" s="27" t="str">
        <x:v>DEFINED</x:v>
      </x:c>
      <x:c r="R6" s="27" t="str">
        <x:v>MITIGATE</x:v>
      </x:c>
      <x:c r="S6" s="36" t="str">
        <x:v>Aplicar change control; cuantificar coste, valor y riesgo; diferir fuera de H6 o rechazar.</x:v>
      </x:c>
      <x:c r="T6" s="38" t="n">
        <x:v>3</x:v>
      </x:c>
      <x:c r="U6" s="38" t="n">
        <x:v>5</x:v>
      </x:c>
      <x:c r="V6" s="38" t="n">
        <x:f>T6*U6</x:f>
        <x:v>15</x:v>
      </x:c>
      <x:c r="W6" s="27" t="str">
        <x:f>IF(V6&gt;=20,"CRITICAL",IF(V6&gt;=12,"HIGH",IF(V6&gt;=6,"MEDIUM","LOW")))</x:f>
        <x:v>HIGH</x:v>
      </x:c>
      <x:c r="X6" s="27" t="str">
        <x:v>LOW</x:v>
      </x:c>
      <x:c r="Y6" s="27" t="str">
        <x:f>IF(X6="ZERO",IF(V6=0,"WITHIN TOLERANCE","OUTSIDE TOLERANCE"),IF(X6="LOW",IF(V6&lt;=4,"WITHIN TOLERANCE","OUTSIDE TOLERANCE"),IF(X6="MODERATE",IF(V6&lt;=9,"WITHIN TOLERANCE","OUTSIDE TOLERANCE"),IF(X6="HIGH",IF(V6&lt;=16,"WITHIN TOLERANCE","OUTSIDE TOLERANCE"),"REVIEW"))))</x:f>
        <x:v>OUTSIDE TOLERANCE</x:v>
      </x:c>
      <x:c r="Z6" s="36" t="str">
        <x:v>Project Owner / Production</x:v>
      </x:c>
      <x:c r="AA6" s="36" t="str">
        <x:v>Game Design</x:v>
      </x:c>
      <x:c r="AB6" s="36" t="str">
        <x:v>Contradicción sin owner ni decisión</x:v>
      </x:c>
      <x:c r="AC6" s="36" t="str">
        <x:v>Umbral: evidencia positiva, tendencia adversa o gate bloqueado.</x:v>
      </x:c>
      <x:c r="AD6" s="36" t="str">
        <x:v>Congelar cambio, identificar autoridad y convocar decisión del owner.</x:v>
      </x:c>
      <x:c r="AE6" s="36" t="str">
        <x:v>Restaurar baseline aprobada y replanificar solo mediante ADR/cambio registrado.</x:v>
      </x:c>
      <x:c r="AF6" s="27" t="str">
        <x:v>BIA-01</x:v>
      </x:c>
      <x:c r="AG6" s="27" t="str">
        <x:v>PB-01</x:v>
      </x:c>
      <x:c r="AH6" s="27" t="str">
        <x:v>TA-GOV-002</x:v>
      </x:c>
      <x:c r="AI6" s="36" t="str">
        <x:v>00, 01, 02, 06, 12, 13, 14, 15, 16, 31, 32, 33, 34</x:v>
      </x:c>
      <x:c r="AJ6" s="36" t="str">
        <x:v>Enfoque, GDD, Roadmap, Binder, Guía y auditorías v0.3–v0.6</x:v>
      </x:c>
      <x:c r="AK6" s="27" t="str">
        <x:v>OPEN</x:v>
      </x:c>
      <x:c r="AL6" s="27" t="str">
        <x:v>MONTHLY</x:v>
      </x:c>
      <x:c r="AM6" s="40" t="str">
        <x:v>2026-07-01</x:v>
      </x:c>
      <x:c r="AN6" s="40" t="str">
        <x:v>2026-07-31</x:v>
      </x:c>
      <x:c r="AO6" s="27" t="str">
        <x:v>UNVERIFIED</x:v>
      </x:c>
      <x:c r="AP6" s="36" t="str">
        <x:v>Registro inicial consolidado; validar owner, controles y residual.</x:v>
      </x:c>
      <x:c r="AQ6" s="27" t="n">
        <x:f>IF(OR(M6="CRITICAL",W6="CRITICAL",Y6="OUTSIDE TOLERANCE",AK6="ESCALATED",AK6="ACCEPTANCE REQUESTED"),1,0)</x:f>
        <x:v>1</x:v>
      </x:c>
    </x:row>
    <x:row r="7">
      <x:c r="A7" s="27" t="str">
        <x:v>R-GOV-003</x:v>
      </x:c>
      <x:c r="B7" s="36" t="str">
        <x:v>Governance &amp; Scope</x:v>
      </x:c>
      <x:c r="C7" s="36" t="str">
        <x:v>Product vision</x:v>
      </x:c>
      <x:c r="D7" s="36" t="str">
        <x:v>Existe el riesgo de que ocurra lo siguiente: La experiencia implementada se desvía de los pilares aprobados.</x:v>
      </x:c>
      <x:c r="E7" s="36" t="str">
        <x:v>Product identity</x:v>
      </x:c>
      <x:c r="F7" s="36" t="str">
        <x:v>Development</x:v>
      </x:c>
      <x:c r="G7" s="36" t="str">
        <x:v>Ausencia, degradación o incumplimiento de los controles definidos para product vision.</x:v>
      </x:c>
      <x:c r="H7" s="36" t="str">
        <x:v>La experiencia implementada se desvía de los pilares aprobados</x:v>
      </x:c>
      <x:c r="I7" s="36" t="str">
        <x:v>Puede afectar a Product identity, bloquear un gate, causar retrabajo, pérdida de datos/confianza o interrupción operativa.</x:v>
      </x:c>
      <x:c r="J7" s="38" t="n">
        <x:v>2</x:v>
      </x:c>
      <x:c r="K7" s="38" t="n">
        <x:v>5</x:v>
      </x:c>
      <x:c r="L7" s="38" t="n">
        <x:f>J7*K7</x:f>
        <x:v>10</x:v>
      </x:c>
      <x:c r="M7" s="27" t="str">
        <x:f>IF(L7&gt;=20,"CRITICAL",IF(L7&gt;=12,"HIGH",IF(L7&gt;=6,"MEDIUM","LOW")))</x:f>
        <x:v>MEDIUM</x:v>
      </x:c>
      <x:c r="N7" s="27" t="str">
        <x:v>SLOW</x:v>
      </x:c>
      <x:c r="O7" s="27" t="str">
        <x:v>MODERATE</x:v>
      </x:c>
      <x:c r="P7" s="36" t="str">
        <x:v>Alcance constitucional, VSS contractual, gates, backlog y control de cambios.</x:v>
      </x:c>
      <x:c r="Q7" s="27" t="str">
        <x:v>DEFINED</x:v>
      </x:c>
      <x:c r="R7" s="27" t="str">
        <x:v>MITIGATE</x:v>
      </x:c>
      <x:c r="S7" s="36" t="str">
        <x:v>Aplicar change control; cuantificar coste, valor y riesgo; diferir fuera de H6 o rechazar.</x:v>
      </x:c>
      <x:c r="T7" s="38" t="n">
        <x:v>2</x:v>
      </x:c>
      <x:c r="U7" s="38" t="n">
        <x:v>5</x:v>
      </x:c>
      <x:c r="V7" s="38" t="n">
        <x:f>T7*U7</x:f>
        <x:v>10</x:v>
      </x:c>
      <x:c r="W7" s="27" t="str">
        <x:f>IF(V7&gt;=20,"CRITICAL",IF(V7&gt;=12,"HIGH",IF(V7&gt;=6,"MEDIUM","LOW")))</x:f>
        <x:v>MEDIUM</x:v>
      </x:c>
      <x:c r="X7" s="27" t="str">
        <x:v>LOW</x:v>
      </x:c>
      <x:c r="Y7" s="27" t="str">
        <x:f>IF(X7="ZERO",IF(V7=0,"WITHIN TOLERANCE","OUTSIDE TOLERANCE"),IF(X7="LOW",IF(V7&lt;=4,"WITHIN TOLERANCE","OUTSIDE TOLERANCE"),IF(X7="MODERATE",IF(V7&lt;=9,"WITHIN TOLERANCE","OUTSIDE TOLERANCE"),IF(X7="HIGH",IF(V7&lt;=16,"WITHIN TOLERANCE","OUTSIDE TOLERANCE"),"REVIEW"))))</x:f>
        <x:v>OUTSIDE TOLERANCE</x:v>
      </x:c>
      <x:c r="Z7" s="36" t="str">
        <x:v>Project Owner / Production</x:v>
      </x:c>
      <x:c r="AA7" s="36" t="str">
        <x:v>Game Design</x:v>
      </x:c>
      <x:c r="AB7" s="36" t="str">
        <x:v>Aceptación visual o UX no refleja Enfoque/GDD</x:v>
      </x:c>
      <x:c r="AC7" s="36" t="str">
        <x:v>Umbral: evidencia positiva, tendencia adversa o gate bloqueado.</x:v>
      </x:c>
      <x:c r="AD7" s="36" t="str">
        <x:v>Congelar cambio, identificar autoridad y convocar decisión del owner.</x:v>
      </x:c>
      <x:c r="AE7" s="36" t="str">
        <x:v>Restaurar baseline aprobada y replanificar solo mediante ADR/cambio registrado.</x:v>
      </x:c>
      <x:c r="AF7" s="27" t="str">
        <x:v>BIA-01</x:v>
      </x:c>
      <x:c r="AG7" s="27" t="str">
        <x:v>PB-01</x:v>
      </x:c>
      <x:c r="AH7" s="27" t="str">
        <x:v>TA-GOV-003</x:v>
      </x:c>
      <x:c r="AI7" s="36" t="str">
        <x:v>00, 01, 02, 06, 12, 13, 14, 15, 16, 31, 32, 33, 34</x:v>
      </x:c>
      <x:c r="AJ7" s="36" t="str">
        <x:v>Enfoque, GDD, Roadmap, Binder, Guía y auditorías v0.3–v0.6</x:v>
      </x:c>
      <x:c r="AK7" s="27" t="str">
        <x:v>OPEN</x:v>
      </x:c>
      <x:c r="AL7" s="27" t="str">
        <x:v>MONTHLY</x:v>
      </x:c>
      <x:c r="AM7" s="40" t="str">
        <x:v>2026-07-01</x:v>
      </x:c>
      <x:c r="AN7" s="40" t="str">
        <x:v>2026-07-31</x:v>
      </x:c>
      <x:c r="AO7" s="27" t="str">
        <x:v>UNVERIFIED</x:v>
      </x:c>
      <x:c r="AP7" s="36" t="str">
        <x:v>Registro inicial consolidado; validar owner, controles y residual.</x:v>
      </x:c>
      <x:c r="AQ7" s="27" t="n">
        <x:f>IF(OR(M7="CRITICAL",W7="CRITICAL",Y7="OUTSIDE TOLERANCE",AK7="ESCALATED",AK7="ACCEPTANCE REQUESTED"),1,0)</x:f>
        <x:v>1</x:v>
      </x:c>
    </x:row>
    <x:row r="8">
      <x:c r="A8" s="27" t="str">
        <x:v>R-GOV-004</x:v>
      </x:c>
      <x:c r="B8" s="36" t="str">
        <x:v>Governance &amp; Scope</x:v>
      </x:c>
      <x:c r="C8" s="36" t="str">
        <x:v>Gate governance</x:v>
      </x:c>
      <x:c r="D8" s="36" t="str">
        <x:v>Existe el riesgo de que ocurra lo siguiente: H6 se declara cerrado sin todas las evidencias contractuales.</x:v>
      </x:c>
      <x:c r="E8" s="36" t="str">
        <x:v>H6 decision</x:v>
      </x:c>
      <x:c r="F8" s="36" t="str">
        <x:v>H6</x:v>
      </x:c>
      <x:c r="G8" s="36" t="str">
        <x:v>Ausencia, degradación o incumplimiento de los controles definidos para gate governance.</x:v>
      </x:c>
      <x:c r="H8" s="36" t="str">
        <x:v>H6 se declara cerrado sin todas las evidencias contractuales</x:v>
      </x:c>
      <x:c r="I8" s="36" t="str">
        <x:v>Puede afectar a H6 decision, bloquear un gate, causar retrabajo, pérdida de datos/confianza o interrupción operativa.</x:v>
      </x:c>
      <x:c r="J8" s="38" t="n">
        <x:v>3</x:v>
      </x:c>
      <x:c r="K8" s="38" t="n">
        <x:v>5</x:v>
      </x:c>
      <x:c r="L8" s="38" t="n">
        <x:f>J8*K8</x:f>
        <x:v>15</x:v>
      </x:c>
      <x:c r="M8" s="27" t="str">
        <x:f>IF(L8&gt;=20,"CRITICAL",IF(L8&gt;=12,"HIGH",IF(L8&gt;=6,"MEDIUM","LOW")))</x:f>
        <x:v>HIGH</x:v>
      </x:c>
      <x:c r="N8" s="27" t="str">
        <x:v>FAST</x:v>
      </x:c>
      <x:c r="O8" s="27" t="str">
        <x:v>HARD</x:v>
      </x:c>
      <x:c r="P8" s="36" t="str">
        <x:v>Alcance constitucional, VSS contractual, gates, backlog y control de cambios.</x:v>
      </x:c>
      <x:c r="Q8" s="27" t="str">
        <x:v>DEFINED</x:v>
      </x:c>
      <x:c r="R8" s="27" t="str">
        <x:v>MITIGATE</x:v>
      </x:c>
      <x:c r="S8" s="36" t="str">
        <x:v>Aplicar change control; cuantificar coste, valor y riesgo; diferir fuera de H6 o rechazar.</x:v>
      </x:c>
      <x:c r="T8" s="38" t="n">
        <x:v>3</x:v>
      </x:c>
      <x:c r="U8" s="38" t="n">
        <x:v>5</x:v>
      </x:c>
      <x:c r="V8" s="38" t="n">
        <x:f>T8*U8</x:f>
        <x:v>15</x:v>
      </x:c>
      <x:c r="W8" s="27" t="str">
        <x:f>IF(V8&gt;=20,"CRITICAL",IF(V8&gt;=12,"HIGH",IF(V8&gt;=6,"MEDIUM","LOW")))</x:f>
        <x:v>HIGH</x:v>
      </x:c>
      <x:c r="X8" s="27" t="str">
        <x:v>LOW</x:v>
      </x:c>
      <x:c r="Y8" s="27" t="str">
        <x:f>IF(X8="ZERO",IF(V8=0,"WITHIN TOLERANCE","OUTSIDE TOLERANCE"),IF(X8="LOW",IF(V8&lt;=4,"WITHIN TOLERANCE","OUTSIDE TOLERANCE"),IF(X8="MODERATE",IF(V8&lt;=9,"WITHIN TOLERANCE","OUTSIDE TOLERANCE"),IF(X8="HIGH",IF(V8&lt;=16,"WITHIN TOLERANCE","OUTSIDE TOLERANCE"),"REVIEW"))))</x:f>
        <x:v>OUTSIDE TOLERANCE</x:v>
      </x:c>
      <x:c r="Z8" s="36" t="str">
        <x:v>Project Owner / Production</x:v>
      </x:c>
      <x:c r="AA8" s="36" t="str">
        <x:v>Game Design</x:v>
      </x:c>
      <x:c r="AB8" s="36" t="str">
        <x:v>Signoff formal antes de cerrar controles</x:v>
      </x:c>
      <x:c r="AC8" s="36" t="str">
        <x:v>Umbral: evidencia positiva, tendencia adversa o gate bloqueado.</x:v>
      </x:c>
      <x:c r="AD8" s="36" t="str">
        <x:v>Congelar cambio, identificar autoridad y convocar decisión del owner.</x:v>
      </x:c>
      <x:c r="AE8" s="36" t="str">
        <x:v>Restaurar baseline aprobada y replanificar solo mediante ADR/cambio registrado.</x:v>
      </x:c>
      <x:c r="AF8" s="27" t="str">
        <x:v>BIA-01</x:v>
      </x:c>
      <x:c r="AG8" s="27" t="str">
        <x:v>PB-01</x:v>
      </x:c>
      <x:c r="AH8" s="27" t="str">
        <x:v>TA-GOV-004</x:v>
      </x:c>
      <x:c r="AI8" s="36" t="str">
        <x:v>00, 01, 02, 06, 12, 13, 14, 15, 16, 31, 32, 33, 34</x:v>
      </x:c>
      <x:c r="AJ8" s="36" t="str">
        <x:v>Enfoque, GDD, Roadmap, Binder, Guía y auditorías v0.3–v0.6</x:v>
      </x:c>
      <x:c r="AK8" s="27" t="str">
        <x:v>OPEN</x:v>
      </x:c>
      <x:c r="AL8" s="27" t="str">
        <x:v>WEEKLY</x:v>
      </x:c>
      <x:c r="AM8" s="40" t="str">
        <x:v>2026-07-01</x:v>
      </x:c>
      <x:c r="AN8" s="40" t="str">
        <x:v>2026-07-08</x:v>
      </x:c>
      <x:c r="AO8" s="27" t="str">
        <x:v>UNVERIFIED</x:v>
      </x:c>
      <x:c r="AP8" s="36" t="str">
        <x:v>Registro inicial consolidado; validar owner, controles y residual.</x:v>
      </x:c>
      <x:c r="AQ8" s="27" t="n">
        <x:f>IF(OR(M8="CRITICAL",W8="CRITICAL",Y8="OUTSIDE TOLERANCE",AK8="ESCALATED",AK8="ACCEPTANCE REQUESTED"),1,0)</x:f>
        <x:v>1</x:v>
      </x:c>
    </x:row>
    <x:row r="9">
      <x:c r="A9" s="27" t="str">
        <x:v>R-GOV-005</x:v>
      </x:c>
      <x:c r="B9" s="36" t="str">
        <x:v>Governance &amp; Scope</x:v>
      </x:c>
      <x:c r="C9" s="36" t="str">
        <x:v>Change control</x:v>
      </x:c>
      <x:c r="D9" s="36" t="str">
        <x:v>Existe el riesgo de que ocurra lo siguiente: Un cambio transversal no propaga a documentos y pruebas dependientes.</x:v>
      </x:c>
      <x:c r="E9" s="36" t="str">
        <x:v>Traceability</x:v>
      </x:c>
      <x:c r="F9" s="36" t="str">
        <x:v>All</x:v>
      </x:c>
      <x:c r="G9" s="36" t="str">
        <x:v>Ausencia, degradación o incumplimiento de los controles definidos para change control.</x:v>
      </x:c>
      <x:c r="H9" s="36" t="str">
        <x:v>Un cambio transversal no propaga a documentos y pruebas dependientes</x:v>
      </x:c>
      <x:c r="I9" s="36" t="str">
        <x:v>Puede afectar a Traceability, bloquear un gate, causar retrabajo, pérdida de datos/confianza o interrupción operativa.</x:v>
      </x:c>
      <x:c r="J9" s="38" t="n">
        <x:v>4</x:v>
      </x:c>
      <x:c r="K9" s="38" t="n">
        <x:v>4</x:v>
      </x:c>
      <x:c r="L9" s="38" t="n">
        <x:f>J9*K9</x:f>
        <x:v>16</x:v>
      </x:c>
      <x:c r="M9" s="27" t="str">
        <x:f>IF(L9&gt;=20,"CRITICAL",IF(L9&gt;=12,"HIGH",IF(L9&gt;=6,"MEDIUM","LOW")))</x:f>
        <x:v>HIGH</x:v>
      </x:c>
      <x:c r="N9" s="27" t="str">
        <x:v>MEDIUM</x:v>
      </x:c>
      <x:c r="O9" s="27" t="str">
        <x:v>MODERATE</x:v>
      </x:c>
      <x:c r="P9" s="36" t="str">
        <x:v>Alcance constitucional, VSS contractual, gates, backlog y control de cambios.</x:v>
      </x:c>
      <x:c r="Q9" s="27" t="str">
        <x:v>DEFINED</x:v>
      </x:c>
      <x:c r="R9" s="27" t="str">
        <x:v>MITIGATE</x:v>
      </x:c>
      <x:c r="S9" s="36" t="str">
        <x:v>Aplicar change control; cuantificar coste, valor y riesgo; diferir fuera de H6 o rechazar.</x:v>
      </x:c>
      <x:c r="T9" s="38" t="n">
        <x:v>4</x:v>
      </x:c>
      <x:c r="U9" s="38" t="n">
        <x:v>4</x:v>
      </x:c>
      <x:c r="V9" s="38" t="n">
        <x:f>T9*U9</x:f>
        <x:v>16</x:v>
      </x:c>
      <x:c r="W9" s="27" t="str">
        <x:f>IF(V9&gt;=20,"CRITICAL",IF(V9&gt;=12,"HIGH",IF(V9&gt;=6,"MEDIUM","LOW")))</x:f>
        <x:v>HIGH</x:v>
      </x:c>
      <x:c r="X9" s="27" t="str">
        <x:v>LOW</x:v>
      </x:c>
      <x:c r="Y9" s="27" t="str">
        <x:f>IF(X9="ZERO",IF(V9=0,"WITHIN TOLERANCE","OUTSIDE TOLERANCE"),IF(X9="LOW",IF(V9&lt;=4,"WITHIN TOLERANCE","OUTSIDE TOLERANCE"),IF(X9="MODERATE",IF(V9&lt;=9,"WITHIN TOLERANCE","OUTSIDE TOLERANCE"),IF(X9="HIGH",IF(V9&lt;=16,"WITHIN TOLERANCE","OUTSIDE TOLERANCE"),"REVIEW"))))</x:f>
        <x:v>OUTSIDE TOLERANCE</x:v>
      </x:c>
      <x:c r="Z9" s="36" t="str">
        <x:v>Project Owner / Production</x:v>
      </x:c>
      <x:c r="AA9" s="36" t="str">
        <x:v>Game Design</x:v>
      </x:c>
      <x:c r="AB9" s="36" t="str">
        <x:v>Cambio sin entrada en documento 13</x:v>
      </x:c>
      <x:c r="AC9" s="36" t="str">
        <x:v>Umbral: evidencia positiva, tendencia adversa o gate bloqueado.</x:v>
      </x:c>
      <x:c r="AD9" s="36" t="str">
        <x:v>Congelar cambio, identificar autoridad y convocar decisión del owner.</x:v>
      </x:c>
      <x:c r="AE9" s="36" t="str">
        <x:v>Restaurar baseline aprobada y replanificar solo mediante ADR/cambio registrado.</x:v>
      </x:c>
      <x:c r="AF9" s="27" t="str">
        <x:v>BIA-01</x:v>
      </x:c>
      <x:c r="AG9" s="27" t="str">
        <x:v>PB-01</x:v>
      </x:c>
      <x:c r="AH9" s="27" t="str">
        <x:v>TA-GOV-005</x:v>
      </x:c>
      <x:c r="AI9" s="36" t="str">
        <x:v>00, 01, 02, 06, 12, 13, 14, 15, 16, 31, 32, 33, 34</x:v>
      </x:c>
      <x:c r="AJ9" s="36" t="str">
        <x:v>Enfoque, GDD, Roadmap, Binder, Guía y auditorías v0.3–v0.6</x:v>
      </x:c>
      <x:c r="AK9" s="27" t="str">
        <x:v>OPEN</x:v>
      </x:c>
      <x:c r="AL9" s="27" t="str">
        <x:v>WEEKLY</x:v>
      </x:c>
      <x:c r="AM9" s="40" t="str">
        <x:v>2026-07-01</x:v>
      </x:c>
      <x:c r="AN9" s="40" t="str">
        <x:v>2026-07-08</x:v>
      </x:c>
      <x:c r="AO9" s="27" t="str">
        <x:v>UNVERIFIED</x:v>
      </x:c>
      <x:c r="AP9" s="36" t="str">
        <x:v>Registro inicial consolidado; validar owner, controles y residual.</x:v>
      </x:c>
      <x:c r="AQ9" s="27" t="n">
        <x:f>IF(OR(M9="CRITICAL",W9="CRITICAL",Y9="OUTSIDE TOLERANCE",AK9="ESCALATED",AK9="ACCEPTANCE REQUESTED"),1,0)</x:f>
        <x:v>1</x:v>
      </x:c>
    </x:row>
    <x:row r="10">
      <x:c r="A10" s="27" t="str">
        <x:v>R-GOV-006</x:v>
      </x:c>
      <x:c r="B10" s="36" t="str">
        <x:v>Governance &amp; Scope</x:v>
      </x:c>
      <x:c r="C10" s="36" t="str">
        <x:v>Prioritization</x:v>
      </x:c>
      <x:c r="D10" s="36" t="str">
        <x:v>Existe el riesgo de que ocurra lo siguiente: Trabajo atractivo desplaza dependencias de la ruta crítica.</x:v>
      </x:c>
      <x:c r="E10" s="36" t="str">
        <x:v>Schedule / H6</x:v>
      </x:c>
      <x:c r="F10" s="36" t="str">
        <x:v>Development</x:v>
      </x:c>
      <x:c r="G10" s="36" t="str">
        <x:v>Ausencia, degradación o incumplimiento de los controles definidos para prioritization.</x:v>
      </x:c>
      <x:c r="H10" s="36" t="str">
        <x:v>Trabajo atractivo desplaza dependencias de la ruta crítica</x:v>
      </x:c>
      <x:c r="I10" s="36" t="str">
        <x:v>Puede afectar a Schedule / H6, bloquear un gate, causar retrabajo, pérdida de datos/confianza o interrupción operativa.</x:v>
      </x:c>
      <x:c r="J10" s="38" t="n">
        <x:v>4</x:v>
      </x:c>
      <x:c r="K10" s="38" t="n">
        <x:v>4</x:v>
      </x:c>
      <x:c r="L10" s="38" t="n">
        <x:f>J10*K10</x:f>
        <x:v>16</x:v>
      </x:c>
      <x:c r="M10" s="27" t="str">
        <x:f>IF(L10&gt;=20,"CRITICAL",IF(L10&gt;=12,"HIGH",IF(L10&gt;=6,"MEDIUM","LOW")))</x:f>
        <x:v>HIGH</x:v>
      </x:c>
      <x:c r="N10" s="27" t="str">
        <x:v>MEDIUM</x:v>
      </x:c>
      <x:c r="O10" s="27" t="str">
        <x:v>MODERATE</x:v>
      </x:c>
      <x:c r="P10" s="36" t="str">
        <x:v>Alcance constitucional, VSS contractual, gates, backlog y control de cambios.</x:v>
      </x:c>
      <x:c r="Q10" s="27" t="str">
        <x:v>DEFINED</x:v>
      </x:c>
      <x:c r="R10" s="27" t="str">
        <x:v>MITIGATE</x:v>
      </x:c>
      <x:c r="S10" s="36" t="str">
        <x:v>Aplicar change control; cuantificar coste, valor y riesgo; diferir fuera de H6 o rechazar.</x:v>
      </x:c>
      <x:c r="T10" s="38" t="n">
        <x:v>4</x:v>
      </x:c>
      <x:c r="U10" s="38" t="n">
        <x:v>4</x:v>
      </x:c>
      <x:c r="V10" s="38" t="n">
        <x:f>T10*U10</x:f>
        <x:v>16</x:v>
      </x:c>
      <x:c r="W10" s="27" t="str">
        <x:f>IF(V10&gt;=20,"CRITICAL",IF(V10&gt;=12,"HIGH",IF(V10&gt;=6,"MEDIUM","LOW")))</x:f>
        <x:v>HIGH</x:v>
      </x:c>
      <x:c r="X10" s="27" t="str">
        <x:v>LOW</x:v>
      </x:c>
      <x:c r="Y10" s="27" t="str">
        <x:f>IF(X10="ZERO",IF(V10=0,"WITHIN TOLERANCE","OUTSIDE TOLERANCE"),IF(X10="LOW",IF(V10&lt;=4,"WITHIN TOLERANCE","OUTSIDE TOLERANCE"),IF(X10="MODERATE",IF(V10&lt;=9,"WITHIN TOLERANCE","OUTSIDE TOLERANCE"),IF(X10="HIGH",IF(V10&lt;=16,"WITHIN TOLERANCE","OUTSIDE TOLERANCE"),"REVIEW"))))</x:f>
        <x:v>OUTSIDE TOLERANCE</x:v>
      </x:c>
      <x:c r="Z10" s="36" t="str">
        <x:v>Project Owner / Production</x:v>
      </x:c>
      <x:c r="AA10" s="36" t="str">
        <x:v>Game Design</x:v>
      </x:c>
      <x:c r="AB10" s="36" t="str">
        <x:v>WIP no ligado a gate</x:v>
      </x:c>
      <x:c r="AC10" s="36" t="str">
        <x:v>Umbral: evidencia positiva, tendencia adversa o gate bloqueado.</x:v>
      </x:c>
      <x:c r="AD10" s="36" t="str">
        <x:v>Congelar cambio, identificar autoridad y convocar decisión del owner.</x:v>
      </x:c>
      <x:c r="AE10" s="36" t="str">
        <x:v>Restaurar baseline aprobada y replanificar solo mediante ADR/cambio registrado.</x:v>
      </x:c>
      <x:c r="AF10" s="27" t="str">
        <x:v>BIA-01</x:v>
      </x:c>
      <x:c r="AG10" s="27" t="str">
        <x:v>PB-01</x:v>
      </x:c>
      <x:c r="AH10" s="27" t="str">
        <x:v>TA-GOV-006</x:v>
      </x:c>
      <x:c r="AI10" s="36" t="str">
        <x:v>00, 01, 02, 06, 12, 13, 14, 15, 16, 31, 32, 33, 34</x:v>
      </x:c>
      <x:c r="AJ10" s="36" t="str">
        <x:v>Enfoque, GDD, Roadmap, Binder, Guía y auditorías v0.3–v0.6</x:v>
      </x:c>
      <x:c r="AK10" s="27" t="str">
        <x:v>OPEN</x:v>
      </x:c>
      <x:c r="AL10" s="27" t="str">
        <x:v>WEEKLY</x:v>
      </x:c>
      <x:c r="AM10" s="40" t="str">
        <x:v>2026-07-01</x:v>
      </x:c>
      <x:c r="AN10" s="40" t="str">
        <x:v>2026-07-08</x:v>
      </x:c>
      <x:c r="AO10" s="27" t="str">
        <x:v>UNVERIFIED</x:v>
      </x:c>
      <x:c r="AP10" s="36" t="str">
        <x:v>Registro inicial consolidado; validar owner, controles y residual.</x:v>
      </x:c>
      <x:c r="AQ10" s="27" t="n">
        <x:f>IF(OR(M10="CRITICAL",W10="CRITICAL",Y10="OUTSIDE TOLERANCE",AK10="ESCALATED",AK10="ACCEPTANCE REQUESTED"),1,0)</x:f>
        <x:v>1</x:v>
      </x:c>
    </x:row>
    <x:row r="11">
      <x:c r="A11" s="27" t="str">
        <x:v>R-GOV-007</x:v>
      </x:c>
      <x:c r="B11" s="36" t="str">
        <x:v>Governance &amp; Scope</x:v>
      </x:c>
      <x:c r="C11" s="36" t="str">
        <x:v>Decision latency</x:v>
      </x:c>
      <x:c r="D11" s="36" t="str">
        <x:v>Existe el riesgo de que ocurra lo siguiente: Una decisión clave permanece ambigua y bloquea varias disciplinas.</x:v>
      </x:c>
      <x:c r="E11" s="36" t="str">
        <x:v>Production flow</x:v>
      </x:c>
      <x:c r="F11" s="36" t="str">
        <x:v>All</x:v>
      </x:c>
      <x:c r="G11" s="36" t="str">
        <x:v>Ausencia, degradación o incumplimiento de los controles definidos para decision latency.</x:v>
      </x:c>
      <x:c r="H11" s="36" t="str">
        <x:v>Una decisión clave permanece ambigua y bloquea varias disciplinas</x:v>
      </x:c>
      <x:c r="I11" s="36" t="str">
        <x:v>Puede afectar a Production flow, bloquear un gate, causar retrabajo, pérdida de datos/confianza o interrupción operativa.</x:v>
      </x:c>
      <x:c r="J11" s="38" t="n">
        <x:v>3</x:v>
      </x:c>
      <x:c r="K11" s="38" t="n">
        <x:v>4</x:v>
      </x:c>
      <x:c r="L11" s="38" t="n">
        <x:f>J11*K11</x:f>
        <x:v>12</x:v>
      </x:c>
      <x:c r="M11" s="27" t="str">
        <x:f>IF(L11&gt;=20,"CRITICAL",IF(L11&gt;=12,"HIGH",IF(L11&gt;=6,"MEDIUM","LOW")))</x:f>
        <x:v>HIGH</x:v>
      </x:c>
      <x:c r="N11" s="27" t="str">
        <x:v>SLOW</x:v>
      </x:c>
      <x:c r="O11" s="27" t="str">
        <x:v>MODERATE</x:v>
      </x:c>
      <x:c r="P11" s="36" t="str">
        <x:v>Alcance constitucional, VSS contractual, gates, backlog y control de cambios.</x:v>
      </x:c>
      <x:c r="Q11" s="27" t="str">
        <x:v>DEFINED</x:v>
      </x:c>
      <x:c r="R11" s="27" t="str">
        <x:v>MITIGATE</x:v>
      </x:c>
      <x:c r="S11" s="36" t="str">
        <x:v>Aplicar change control; cuantificar coste, valor y riesgo; diferir fuera de H6 o rechazar.</x:v>
      </x:c>
      <x:c r="T11" s="38" t="n">
        <x:v>3</x:v>
      </x:c>
      <x:c r="U11" s="38" t="n">
        <x:v>4</x:v>
      </x:c>
      <x:c r="V11" s="38" t="n">
        <x:f>T11*U11</x:f>
        <x:v>12</x:v>
      </x:c>
      <x:c r="W11" s="27" t="str">
        <x:f>IF(V11&gt;=20,"CRITICAL",IF(V11&gt;=12,"HIGH",IF(V11&gt;=6,"MEDIUM","LOW")))</x:f>
        <x:v>HIGH</x:v>
      </x:c>
      <x:c r="X11" s="27" t="str">
        <x:v>LOW</x:v>
      </x:c>
      <x:c r="Y11" s="27" t="str">
        <x:f>IF(X11="ZERO",IF(V11=0,"WITHIN TOLERANCE","OUTSIDE TOLERANCE"),IF(X11="LOW",IF(V11&lt;=4,"WITHIN TOLERANCE","OUTSIDE TOLERANCE"),IF(X11="MODERATE",IF(V11&lt;=9,"WITHIN TOLERANCE","OUTSIDE TOLERANCE"),IF(X11="HIGH",IF(V11&lt;=16,"WITHIN TOLERANCE","OUTSIDE TOLERANCE"),"REVIEW"))))</x:f>
        <x:v>OUTSIDE TOLERANCE</x:v>
      </x:c>
      <x:c r="Z11" s="36" t="str">
        <x:v>Project Owner / Production</x:v>
      </x:c>
      <x:c r="AA11" s="36" t="str">
        <x:v>Game Design</x:v>
      </x:c>
      <x:c r="AB11" s="36" t="str">
        <x:v>Dependencias BLOCKED &gt; 7 días</x:v>
      </x:c>
      <x:c r="AC11" s="36" t="str">
        <x:v>Umbral: evidencia positiva, tendencia adversa o gate bloqueado.</x:v>
      </x:c>
      <x:c r="AD11" s="36" t="str">
        <x:v>Congelar cambio, identificar autoridad y convocar decisión del owner.</x:v>
      </x:c>
      <x:c r="AE11" s="36" t="str">
        <x:v>Restaurar baseline aprobada y replanificar solo mediante ADR/cambio registrado.</x:v>
      </x:c>
      <x:c r="AF11" s="27" t="str">
        <x:v>BIA-01</x:v>
      </x:c>
      <x:c r="AG11" s="27" t="str">
        <x:v>PB-01</x:v>
      </x:c>
      <x:c r="AH11" s="27" t="str">
        <x:v>TA-GOV-007</x:v>
      </x:c>
      <x:c r="AI11" s="36" t="str">
        <x:v>00, 01, 02, 06, 12, 13, 14, 15, 16, 31, 32, 33, 34</x:v>
      </x:c>
      <x:c r="AJ11" s="36" t="str">
        <x:v>Enfoque, GDD, Roadmap, Binder, Guía y auditorías v0.3–v0.6</x:v>
      </x:c>
      <x:c r="AK11" s="27" t="str">
        <x:v>OPEN</x:v>
      </x:c>
      <x:c r="AL11" s="27" t="str">
        <x:v>MONTHLY</x:v>
      </x:c>
      <x:c r="AM11" s="40" t="str">
        <x:v>2026-07-01</x:v>
      </x:c>
      <x:c r="AN11" s="40" t="str">
        <x:v>2026-07-31</x:v>
      </x:c>
      <x:c r="AO11" s="27" t="str">
        <x:v>UNVERIFIED</x:v>
      </x:c>
      <x:c r="AP11" s="36" t="str">
        <x:v>Registro inicial consolidado; validar owner, controles y residual.</x:v>
      </x:c>
      <x:c r="AQ11" s="27" t="n">
        <x:f>IF(OR(M11="CRITICAL",W11="CRITICAL",Y11="OUTSIDE TOLERANCE",AK11="ESCALATED",AK11="ACCEPTANCE REQUESTED"),1,0)</x:f>
        <x:v>1</x:v>
      </x:c>
    </x:row>
    <x:row r="12">
      <x:c r="A12" s="27" t="str">
        <x:v>R-GOV-008</x:v>
      </x:c>
      <x:c r="B12" s="36" t="str">
        <x:v>Governance &amp; Scope</x:v>
      </x:c>
      <x:c r="C12" s="36" t="str">
        <x:v>Acceptance</x:v>
      </x:c>
      <x:c r="D12" s="36" t="str">
        <x:v>Existe el riesgo de que ocurra lo siguiente: Se confunde implementación técnica con aceptación de producto.</x:v>
      </x:c>
      <x:c r="E12" s="36" t="str">
        <x:v>Quality gate</x:v>
      </x:c>
      <x:c r="F12" s="36" t="str">
        <x:v>Development</x:v>
      </x:c>
      <x:c r="G12" s="36" t="str">
        <x:v>Ausencia, degradación o incumplimiento de los controles definidos para acceptance.</x:v>
      </x:c>
      <x:c r="H12" s="36" t="str">
        <x:v>Se confunde implementación técnica con aceptación de producto</x:v>
      </x:c>
      <x:c r="I12" s="36" t="str">
        <x:v>Puede afectar a Quality gate, bloquear un gate, causar retrabajo, pérdida de datos/confianza o interrupción operativa.</x:v>
      </x:c>
      <x:c r="J12" s="38" t="n">
        <x:v>4</x:v>
      </x:c>
      <x:c r="K12" s="38" t="n">
        <x:v>4</x:v>
      </x:c>
      <x:c r="L12" s="38" t="n">
        <x:f>J12*K12</x:f>
        <x:v>16</x:v>
      </x:c>
      <x:c r="M12" s="27" t="str">
        <x:f>IF(L12&gt;=20,"CRITICAL",IF(L12&gt;=12,"HIGH",IF(L12&gt;=6,"MEDIUM","LOW")))</x:f>
        <x:v>HIGH</x:v>
      </x:c>
      <x:c r="N12" s="27" t="str">
        <x:v>MEDIUM</x:v>
      </x:c>
      <x:c r="O12" s="27" t="str">
        <x:v>MODERATE</x:v>
      </x:c>
      <x:c r="P12" s="36" t="str">
        <x:v>Alcance constitucional, VSS contractual, gates, backlog y control de cambios.</x:v>
      </x:c>
      <x:c r="Q12" s="27" t="str">
        <x:v>DEFINED</x:v>
      </x:c>
      <x:c r="R12" s="27" t="str">
        <x:v>MITIGATE</x:v>
      </x:c>
      <x:c r="S12" s="36" t="str">
        <x:v>Aplicar change control; cuantificar coste, valor y riesgo; diferir fuera de H6 o rechazar.</x:v>
      </x:c>
      <x:c r="T12" s="38" t="n">
        <x:v>4</x:v>
      </x:c>
      <x:c r="U12" s="38" t="n">
        <x:v>4</x:v>
      </x:c>
      <x:c r="V12" s="38" t="n">
        <x:f>T12*U12</x:f>
        <x:v>16</x:v>
      </x:c>
      <x:c r="W12" s="27" t="str">
        <x:f>IF(V12&gt;=20,"CRITICAL",IF(V12&gt;=12,"HIGH",IF(V12&gt;=6,"MEDIUM","LOW")))</x:f>
        <x:v>HIGH</x:v>
      </x:c>
      <x:c r="X12" s="27" t="str">
        <x:v>LOW</x:v>
      </x:c>
      <x:c r="Y12" s="27" t="str">
        <x:f>IF(X12="ZERO",IF(V12=0,"WITHIN TOLERANCE","OUTSIDE TOLERANCE"),IF(X12="LOW",IF(V12&lt;=4,"WITHIN TOLERANCE","OUTSIDE TOLERANCE"),IF(X12="MODERATE",IF(V12&lt;=9,"WITHIN TOLERANCE","OUTSIDE TOLERANCE"),IF(X12="HIGH",IF(V12&lt;=16,"WITHIN TOLERANCE","OUTSIDE TOLERANCE"),"REVIEW"))))</x:f>
        <x:v>OUTSIDE TOLERANCE</x:v>
      </x:c>
      <x:c r="Z12" s="36" t="str">
        <x:v>Project Owner / Production</x:v>
      </x:c>
      <x:c r="AA12" s="36" t="str">
        <x:v>Game Design</x:v>
      </x:c>
      <x:c r="AB12" s="36" t="str">
        <x:v>PASS técnico sin revisión visual/manual</x:v>
      </x:c>
      <x:c r="AC12" s="36" t="str">
        <x:v>Umbral: evidencia positiva, tendencia adversa o gate bloqueado.</x:v>
      </x:c>
      <x:c r="AD12" s="36" t="str">
        <x:v>Congelar cambio, identificar autoridad y convocar decisión del owner.</x:v>
      </x:c>
      <x:c r="AE12" s="36" t="str">
        <x:v>Restaurar baseline aprobada y replanificar solo mediante ADR/cambio registrado.</x:v>
      </x:c>
      <x:c r="AF12" s="27" t="str">
        <x:v>BIA-01</x:v>
      </x:c>
      <x:c r="AG12" s="27" t="str">
        <x:v>PB-01</x:v>
      </x:c>
      <x:c r="AH12" s="27" t="str">
        <x:v>TA-GOV-008</x:v>
      </x:c>
      <x:c r="AI12" s="36" t="str">
        <x:v>00, 01, 02, 06, 12, 13, 14, 15, 16, 31, 32, 33, 34</x:v>
      </x:c>
      <x:c r="AJ12" s="36" t="str">
        <x:v>Enfoque, GDD, Roadmap, Binder, Guía y auditorías v0.3–v0.6</x:v>
      </x:c>
      <x:c r="AK12" s="27" t="str">
        <x:v>OPEN</x:v>
      </x:c>
      <x:c r="AL12" s="27" t="str">
        <x:v>WEEKLY</x:v>
      </x:c>
      <x:c r="AM12" s="40" t="str">
        <x:v>2026-07-01</x:v>
      </x:c>
      <x:c r="AN12" s="40" t="str">
        <x:v>2026-07-08</x:v>
      </x:c>
      <x:c r="AO12" s="27" t="str">
        <x:v>UNVERIFIED</x:v>
      </x:c>
      <x:c r="AP12" s="36" t="str">
        <x:v>Registro inicial consolidado; validar owner, controles y residual.</x:v>
      </x:c>
      <x:c r="AQ12" s="27" t="n">
        <x:f>IF(OR(M12="CRITICAL",W12="CRITICAL",Y12="OUTSIDE TOLERANCE",AK12="ESCALATED",AK12="ACCEPTANCE REQUESTED"),1,0)</x:f>
        <x:v>1</x:v>
      </x:c>
    </x:row>
    <x:row r="13">
      <x:c r="A13" s="27" t="str">
        <x:v>R-GOV-009</x:v>
      </x:c>
      <x:c r="B13" s="36" t="str">
        <x:v>Governance &amp; Scope</x:v>
      </x:c>
      <x:c r="C13" s="36" t="str">
        <x:v>Naming &amp; identity</x:v>
      </x:c>
      <x:c r="D13" s="36" t="str">
        <x:v>Existe el riesgo de que ocurra lo siguiente: Título o nombre de estudio se trata como definitivo sin clearance.</x:v>
      </x:c>
      <x:c r="E13" s="36" t="str">
        <x:v>Brand / legal</x:v>
      </x:c>
      <x:c r="F13" s="36" t="str">
        <x:v>Publishing</x:v>
      </x:c>
      <x:c r="G13" s="36" t="str">
        <x:v>Ausencia, degradación o incumplimiento de los controles definidos para naming &amp; identity.</x:v>
      </x:c>
      <x:c r="H13" s="36" t="str">
        <x:v>Título o nombre de estudio se trata como definitivo sin clearance</x:v>
      </x:c>
      <x:c r="I13" s="36" t="str">
        <x:v>Puede afectar a Brand / legal, bloquear un gate, causar retrabajo, pérdida de datos/confianza o interrupción operativa.</x:v>
      </x:c>
      <x:c r="J13" s="38" t="n">
        <x:v>3</x:v>
      </x:c>
      <x:c r="K13" s="38" t="n">
        <x:v>5</x:v>
      </x:c>
      <x:c r="L13" s="38" t="n">
        <x:f>J13*K13</x:f>
        <x:v>15</x:v>
      </x:c>
      <x:c r="M13" s="27" t="str">
        <x:f>IF(L13&gt;=20,"CRITICAL",IF(L13&gt;=12,"HIGH",IF(L13&gt;=6,"MEDIUM","LOW")))</x:f>
        <x:v>HIGH</x:v>
      </x:c>
      <x:c r="N13" s="27" t="str">
        <x:v>MEDIUM</x:v>
      </x:c>
      <x:c r="O13" s="27" t="str">
        <x:v>MODERATE</x:v>
      </x:c>
      <x:c r="P13" s="36" t="str">
        <x:v>Alcance constitucional, VSS contractual, gates, backlog y control de cambios.</x:v>
      </x:c>
      <x:c r="Q13" s="27" t="str">
        <x:v>DEFINED</x:v>
      </x:c>
      <x:c r="R13" s="27" t="str">
        <x:v>MITIGATE</x:v>
      </x:c>
      <x:c r="S13" s="36" t="str">
        <x:v>Aplicar change control; cuantificar coste, valor y riesgo; diferir fuera de H6 o rechazar.</x:v>
      </x:c>
      <x:c r="T13" s="38" t="n">
        <x:v>3</x:v>
      </x:c>
      <x:c r="U13" s="38" t="n">
        <x:v>5</x:v>
      </x:c>
      <x:c r="V13" s="38" t="n">
        <x:f>T13*U13</x:f>
        <x:v>15</x:v>
      </x:c>
      <x:c r="W13" s="27" t="str">
        <x:f>IF(V13&gt;=20,"CRITICAL",IF(V13&gt;=12,"HIGH",IF(V13&gt;=6,"MEDIUM","LOW")))</x:f>
        <x:v>HIGH</x:v>
      </x:c>
      <x:c r="X13" s="27" t="str">
        <x:v>LOW</x:v>
      </x:c>
      <x:c r="Y13" s="27" t="str">
        <x:f>IF(X13="ZERO",IF(V13=0,"WITHIN TOLERANCE","OUTSIDE TOLERANCE"),IF(X13="LOW",IF(V13&lt;=4,"WITHIN TOLERANCE","OUTSIDE TOLERANCE"),IF(X13="MODERATE",IF(V13&lt;=9,"WITHIN TOLERANCE","OUTSIDE TOLERANCE"),IF(X13="HIGH",IF(V13&lt;=16,"WITHIN TOLERANCE","OUTSIDE TOLERANCE"),"REVIEW"))))</x:f>
        <x:v>OUTSIDE TOLERANCE</x:v>
      </x:c>
      <x:c r="Z13" s="36" t="str">
        <x:v>Project Owner / Production</x:v>
      </x:c>
      <x:c r="AA13" s="36" t="str">
        <x:v>Game Design</x:v>
      </x:c>
      <x:c r="AB13" s="36" t="str">
        <x:v>Asset público usa marca provisional</x:v>
      </x:c>
      <x:c r="AC13" s="36" t="str">
        <x:v>Umbral: evidencia positiva, tendencia adversa o gate bloqueado.</x:v>
      </x:c>
      <x:c r="AD13" s="36" t="str">
        <x:v>Congelar cambio, identificar autoridad y convocar decisión del owner.</x:v>
      </x:c>
      <x:c r="AE13" s="36" t="str">
        <x:v>Restaurar baseline aprobada y replanificar solo mediante ADR/cambio registrado.</x:v>
      </x:c>
      <x:c r="AF13" s="27" t="str">
        <x:v>BIA-01</x:v>
      </x:c>
      <x:c r="AG13" s="27" t="str">
        <x:v>PB-01</x:v>
      </x:c>
      <x:c r="AH13" s="27" t="str">
        <x:v>TA-GOV-009</x:v>
      </x:c>
      <x:c r="AI13" s="36" t="str">
        <x:v>00, 01, 02, 06, 12, 13, 14, 15, 16, 31, 32, 33, 34</x:v>
      </x:c>
      <x:c r="AJ13" s="36" t="str">
        <x:v>Enfoque, GDD, Roadmap, Binder, Guía y auditorías v0.3–v0.6</x:v>
      </x:c>
      <x:c r="AK13" s="27" t="str">
        <x:v>OPEN</x:v>
      </x:c>
      <x:c r="AL13" s="27" t="str">
        <x:v>MONTHLY</x:v>
      </x:c>
      <x:c r="AM13" s="40" t="str">
        <x:v>2026-07-01</x:v>
      </x:c>
      <x:c r="AN13" s="40" t="str">
        <x:v>2026-07-31</x:v>
      </x:c>
      <x:c r="AO13" s="27" t="str">
        <x:v>UNVERIFIED</x:v>
      </x:c>
      <x:c r="AP13" s="36" t="str">
        <x:v>Registro inicial consolidado; validar owner, controles y residual.</x:v>
      </x:c>
      <x:c r="AQ13" s="27" t="n">
        <x:f>IF(OR(M13="CRITICAL",W13="CRITICAL",Y13="OUTSIDE TOLERANCE",AK13="ESCALATED",AK13="ACCEPTANCE REQUESTED"),1,0)</x:f>
        <x:v>1</x:v>
      </x:c>
    </x:row>
    <x:row r="14">
      <x:c r="A14" s="27" t="str">
        <x:v>R-GOV-010</x:v>
      </x:c>
      <x:c r="B14" s="36" t="str">
        <x:v>Governance &amp; Scope</x:v>
      </x:c>
      <x:c r="C14" s="36" t="str">
        <x:v>Post-H6 scope</x:v>
      </x:c>
      <x:c r="D14" s="36" t="str">
        <x:v>Existe el riesgo de que ocurra lo siguiente: Se promete contenido futuro como parte del vertical slice actual.</x:v>
      </x:c>
      <x:c r="E14" s="36" t="str">
        <x:v>Commercial expectation</x:v>
      </x:c>
      <x:c r="F14" s="36" t="str">
        <x:v>Marketing</x:v>
      </x:c>
      <x:c r="G14" s="36" t="str">
        <x:v>Ausencia, degradación o incumplimiento de los controles definidos para post-h6 scope.</x:v>
      </x:c>
      <x:c r="H14" s="36" t="str">
        <x:v>Se promete contenido futuro como parte del vertical slice actual</x:v>
      </x:c>
      <x:c r="I14" s="36" t="str">
        <x:v>Puede afectar a Commercial expectation, bloquear un gate, causar retrabajo, pérdida de datos/confianza o interrupción operativa.</x:v>
      </x:c>
      <x:c r="J14" s="38" t="n">
        <x:v>3</x:v>
      </x:c>
      <x:c r="K14" s="38" t="n">
        <x:v>4</x:v>
      </x:c>
      <x:c r="L14" s="38" t="n">
        <x:f>J14*K14</x:f>
        <x:v>12</x:v>
      </x:c>
      <x:c r="M14" s="27" t="str">
        <x:f>IF(L14&gt;=20,"CRITICAL",IF(L14&gt;=12,"HIGH",IF(L14&gt;=6,"MEDIUM","LOW")))</x:f>
        <x:v>HIGH</x:v>
      </x:c>
      <x:c r="N14" s="27" t="str">
        <x:v>FAST</x:v>
      </x:c>
      <x:c r="O14" s="27" t="str">
        <x:v>HARD</x:v>
      </x:c>
      <x:c r="P14" s="36" t="str">
        <x:v>Alcance constitucional, VSS contractual, gates, backlog y control de cambios.</x:v>
      </x:c>
      <x:c r="Q14" s="27" t="str">
        <x:v>DEFINED</x:v>
      </x:c>
      <x:c r="R14" s="27" t="str">
        <x:v>MITIGATE</x:v>
      </x:c>
      <x:c r="S14" s="36" t="str">
        <x:v>Aplicar change control; cuantificar coste, valor y riesgo; diferir fuera de H6 o rechazar.</x:v>
      </x:c>
      <x:c r="T14" s="38" t="n">
        <x:v>3</x:v>
      </x:c>
      <x:c r="U14" s="38" t="n">
        <x:v>4</x:v>
      </x:c>
      <x:c r="V14" s="38" t="n">
        <x:f>T14*U14</x:f>
        <x:v>12</x:v>
      </x:c>
      <x:c r="W14" s="27" t="str">
        <x:f>IF(V14&gt;=20,"CRITICAL",IF(V14&gt;=12,"HIGH",IF(V14&gt;=6,"MEDIUM","LOW")))</x:f>
        <x:v>HIGH</x:v>
      </x:c>
      <x:c r="X14" s="27" t="str">
        <x:v>LOW</x:v>
      </x:c>
      <x:c r="Y14" s="27" t="str">
        <x:f>IF(X14="ZERO",IF(V14=0,"WITHIN TOLERANCE","OUTSIDE TOLERANCE"),IF(X14="LOW",IF(V14&lt;=4,"WITHIN TOLERANCE","OUTSIDE TOLERANCE"),IF(X14="MODERATE",IF(V14&lt;=9,"WITHIN TOLERANCE","OUTSIDE TOLERANCE"),IF(X14="HIGH",IF(V14&lt;=16,"WITHIN TOLERANCE","OUTSIDE TOLERANCE"),"REVIEW"))))</x:f>
        <x:v>OUTSIDE TOLERANCE</x:v>
      </x:c>
      <x:c r="Z14" s="36" t="str">
        <x:v>Project Owner / Production</x:v>
      </x:c>
      <x:c r="AA14" s="36" t="str">
        <x:v>Game Design</x:v>
      </x:c>
      <x:c r="AB14" s="36" t="str">
        <x:v>Copy excede build demostrable</x:v>
      </x:c>
      <x:c r="AC14" s="36" t="str">
        <x:v>Umbral: evidencia positiva, tendencia adversa o gate bloqueado.</x:v>
      </x:c>
      <x:c r="AD14" s="36" t="str">
        <x:v>Congelar cambio, identificar autoridad y convocar decisión del owner.</x:v>
      </x:c>
      <x:c r="AE14" s="36" t="str">
        <x:v>Restaurar baseline aprobada y replanificar solo mediante ADR/cambio registrado.</x:v>
      </x:c>
      <x:c r="AF14" s="27" t="str">
        <x:v>BIA-01</x:v>
      </x:c>
      <x:c r="AG14" s="27" t="str">
        <x:v>PB-01</x:v>
      </x:c>
      <x:c r="AH14" s="27" t="str">
        <x:v>TA-GOV-010</x:v>
      </x:c>
      <x:c r="AI14" s="36" t="str">
        <x:v>00, 01, 02, 06, 12, 13, 14, 15, 16, 31, 32, 33, 34</x:v>
      </x:c>
      <x:c r="AJ14" s="36" t="str">
        <x:v>Enfoque, GDD, Roadmap, Binder, Guía y auditorías v0.3–v0.6</x:v>
      </x:c>
      <x:c r="AK14" s="27" t="str">
        <x:v>OPEN</x:v>
      </x:c>
      <x:c r="AL14" s="27" t="str">
        <x:v>WEEKLY</x:v>
      </x:c>
      <x:c r="AM14" s="40" t="str">
        <x:v>2026-07-01</x:v>
      </x:c>
      <x:c r="AN14" s="40" t="str">
        <x:v>2026-07-08</x:v>
      </x:c>
      <x:c r="AO14" s="27" t="str">
        <x:v>UNVERIFIED</x:v>
      </x:c>
      <x:c r="AP14" s="36" t="str">
        <x:v>Registro inicial consolidado; validar owner, controles y residual.</x:v>
      </x:c>
      <x:c r="AQ14" s="27" t="n">
        <x:f>IF(OR(M14="CRITICAL",W14="CRITICAL",Y14="OUTSIDE TOLERANCE",AK14="ESCALATED",AK14="ACCEPTANCE REQUESTED"),1,0)</x:f>
        <x:v>1</x:v>
      </x:c>
    </x:row>
    <x:row r="15">
      <x:c r="A15" s="27" t="str">
        <x:v>R-PEO-001</x:v>
      </x:c>
      <x:c r="B15" s="36" t="str">
        <x:v>People &amp; Capacity</x:v>
      </x:c>
      <x:c r="C15" s="36" t="str">
        <x:v>Single owner</x:v>
      </x:c>
      <x:c r="D15" s="36" t="str">
        <x:v>Existe el riesgo de que ocurra lo siguiente: La indisponibilidad del owner detiene producción y decisiones.</x:v>
      </x:c>
      <x:c r="E15" s="36" t="str">
        <x:v>Project continuity</x:v>
      </x:c>
      <x:c r="F15" s="36" t="str">
        <x:v>All</x:v>
      </x:c>
      <x:c r="G15" s="36" t="str">
        <x:v>Ausencia, degradación o incumplimiento de los controles definidos para single owner.</x:v>
      </x:c>
      <x:c r="H15" s="36" t="str">
        <x:v>La indisponibilidad del owner detiene producción y decisiones</x:v>
      </x:c>
      <x:c r="I15" s="36" t="str">
        <x:v>Puede afectar a Project continuity, bloquear un gate, causar retrabajo, pérdida de datos/confianza o interrupción operativa.</x:v>
      </x:c>
      <x:c r="J15" s="38" t="n">
        <x:v>4</x:v>
      </x:c>
      <x:c r="K15" s="38" t="n">
        <x:v>5</x:v>
      </x:c>
      <x:c r="L15" s="38" t="n">
        <x:f>J15*K15</x:f>
        <x:v>20</x:v>
      </x:c>
      <x:c r="M15" s="27" t="str">
        <x:f>IF(L15&gt;=20,"CRITICAL",IF(L15&gt;=12,"HIGH",IF(L15&gt;=6,"MEDIUM","LOW")))</x:f>
        <x:v>CRITICAL</x:v>
      </x:c>
      <x:c r="N15" s="27" t="str">
        <x:v>FAST</x:v>
      </x:c>
      <x:c r="O15" s="27" t="str">
        <x:v>HARD</x:v>
      </x:c>
      <x:c r="P15" s="36" t="str">
        <x:v>Documentación viva, commits frecuentes, handoffs y desglose por work packages.</x:v>
      </x:c>
      <x:c r="Q15" s="27" t="str">
        <x:v>PARTIAL</x:v>
      </x:c>
      <x:c r="R15" s="27" t="str">
        <x:v>MITIGATE</x:v>
      </x:c>
      <x:c r="S15" s="36" t="str">
        <x:v>Reducir WIP, documentar conocimiento, preparar sustitución y priorizar ruta crítica.</x:v>
      </x:c>
      <x:c r="T15" s="38" t="n">
        <x:v>4</x:v>
      </x:c>
      <x:c r="U15" s="38" t="n">
        <x:v>5</x:v>
      </x:c>
      <x:c r="V15" s="38" t="n">
        <x:f>T15*U15</x:f>
        <x:v>20</x:v>
      </x:c>
      <x:c r="W15" s="27" t="str">
        <x:f>IF(V15&gt;=20,"CRITICAL",IF(V15&gt;=12,"HIGH",IF(V15&gt;=6,"MEDIUM","LOW")))</x:f>
        <x:v>CRITICAL</x:v>
      </x:c>
      <x:c r="X15" s="27" t="str">
        <x:v>LOW</x:v>
      </x:c>
      <x:c r="Y15" s="27" t="str">
        <x:f>IF(X15="ZERO",IF(V15=0,"WITHIN TOLERANCE","OUTSIDE TOLERANCE"),IF(X15="LOW",IF(V15&lt;=4,"WITHIN TOLERANCE","OUTSIDE TOLERANCE"),IF(X15="MODERATE",IF(V15&lt;=9,"WITHIN TOLERANCE","OUTSIDE TOLERANCE"),IF(X15="HIGH",IF(V15&lt;=16,"WITHIN TOLERANCE","OUTSIDE TOLERANCE"),"REVIEW"))))</x:f>
        <x:v>OUTSIDE TOLERANCE</x:v>
      </x:c>
      <x:c r="Z15" s="36" t="str">
        <x:v>Project Owner / Production</x:v>
      </x:c>
      <x:c r="AA15" s="36" t="str">
        <x:v>External collaborator / designated alternate</x:v>
      </x:c>
      <x:c r="AB15" s="36" t="str">
        <x:v>Owner inaccesible &gt; 24 h</x:v>
      </x:c>
      <x:c r="AC15" s="36" t="str">
        <x:v>Umbral: evidencia positiva, tendencia adversa o gate bloqueado.</x:v>
      </x:c>
      <x:c r="AD15" s="36" t="str">
        <x:v>Detener trabajo no esencial y activar handoff mínimo.</x:v>
      </x:c>
      <x:c r="AE15" s="36" t="str">
        <x:v>Retomar desde manual, repositorio, baseline y último build verificable.</x:v>
      </x:c>
      <x:c r="AF15" s="27" t="str">
        <x:v>BIA-02</x:v>
      </x:c>
      <x:c r="AG15" s="27" t="str">
        <x:v>PB-02</x:v>
      </x:c>
      <x:c r="AH15" s="27" t="str">
        <x:v>TA-PEO-001</x:v>
      </x:c>
      <x:c r="AI15" s="36" t="str">
        <x:v>06, 09, 13, 15, 25, 27, 31, 34</x:v>
      </x:c>
      <x:c r="AJ15" s="36" t="str">
        <x:v>Roadmaps, sprint closures, handoffs y estados actuales</x:v>
      </x:c>
      <x:c r="AK15" s="27" t="str">
        <x:v>OPEN</x:v>
      </x:c>
      <x:c r="AL15" s="27" t="str">
        <x:v>WEEKLY</x:v>
      </x:c>
      <x:c r="AM15" s="40" t="str">
        <x:v>2026-07-01</x:v>
      </x:c>
      <x:c r="AN15" s="40" t="str">
        <x:v>2026-07-08</x:v>
      </x:c>
      <x:c r="AO15" s="27" t="str">
        <x:v>UNVERIFIED</x:v>
      </x:c>
      <x:c r="AP15" s="36" t="str">
        <x:v>Registro inicial consolidado; validar owner, controles y residual.</x:v>
      </x:c>
      <x:c r="AQ15" s="27" t="n">
        <x:f>IF(OR(M15="CRITICAL",W15="CRITICAL",Y15="OUTSIDE TOLERANCE",AK15="ESCALATED",AK15="ACCEPTANCE REQUESTED"),1,0)</x:f>
        <x:v>1</x:v>
      </x:c>
    </x:row>
    <x:row r="16">
      <x:c r="A16" s="27" t="str">
        <x:v>R-PEO-002</x:v>
      </x:c>
      <x:c r="B16" s="36" t="str">
        <x:v>People &amp; Capacity</x:v>
      </x:c>
      <x:c r="C16" s="36" t="str">
        <x:v>Knowledge concentration</x:v>
      </x:c>
      <x:c r="D16" s="36" t="str">
        <x:v>Existe el riesgo de que ocurra lo siguiente: Conocimiento crítico solo existe en memoria o chat.</x:v>
      </x:c>
      <x:c r="E16" s="36" t="str">
        <x:v>Operational knowledge</x:v>
      </x:c>
      <x:c r="F16" s="36" t="str">
        <x:v>All</x:v>
      </x:c>
      <x:c r="G16" s="36" t="str">
        <x:v>Ausencia, degradación o incumplimiento de los controles definidos para knowledge concentration.</x:v>
      </x:c>
      <x:c r="H16" s="36" t="str">
        <x:v>Conocimiento crítico solo existe en memoria o chat</x:v>
      </x:c>
      <x:c r="I16" s="36" t="str">
        <x:v>Puede afectar a Operational knowledge, bloquear un gate, causar retrabajo, pérdida de datos/confianza o interrupción operativa.</x:v>
      </x:c>
      <x:c r="J16" s="38" t="n">
        <x:v>4</x:v>
      </x:c>
      <x:c r="K16" s="38" t="n">
        <x:v>5</x:v>
      </x:c>
      <x:c r="L16" s="38" t="n">
        <x:f>J16*K16</x:f>
        <x:v>20</x:v>
      </x:c>
      <x:c r="M16" s="27" t="str">
        <x:f>IF(L16&gt;=20,"CRITICAL",IF(L16&gt;=12,"HIGH",IF(L16&gt;=6,"MEDIUM","LOW")))</x:f>
        <x:v>CRITICAL</x:v>
      </x:c>
      <x:c r="N16" s="27" t="str">
        <x:v>MEDIUM</x:v>
      </x:c>
      <x:c r="O16" s="27" t="str">
        <x:v>MODERATE</x:v>
      </x:c>
      <x:c r="P16" s="36" t="str">
        <x:v>Documentación viva, commits frecuentes, handoffs y desglose por work packages.</x:v>
      </x:c>
      <x:c r="Q16" s="27" t="str">
        <x:v>PARTIAL</x:v>
      </x:c>
      <x:c r="R16" s="27" t="str">
        <x:v>MITIGATE</x:v>
      </x:c>
      <x:c r="S16" s="36" t="str">
        <x:v>Reducir WIP, documentar conocimiento, preparar sustitución y priorizar ruta crítica.</x:v>
      </x:c>
      <x:c r="T16" s="38" t="n">
        <x:v>4</x:v>
      </x:c>
      <x:c r="U16" s="38" t="n">
        <x:v>5</x:v>
      </x:c>
      <x:c r="V16" s="38" t="n">
        <x:f>T16*U16</x:f>
        <x:v>20</x:v>
      </x:c>
      <x:c r="W16" s="27" t="str">
        <x:f>IF(V16&gt;=20,"CRITICAL",IF(V16&gt;=12,"HIGH",IF(V16&gt;=6,"MEDIUM","LOW")))</x:f>
        <x:v>CRITICAL</x:v>
      </x:c>
      <x:c r="X16" s="27" t="str">
        <x:v>LOW</x:v>
      </x:c>
      <x:c r="Y16" s="27" t="str">
        <x:f>IF(X16="ZERO",IF(V16=0,"WITHIN TOLERANCE","OUTSIDE TOLERANCE"),IF(X16="LOW",IF(V16&lt;=4,"WITHIN TOLERANCE","OUTSIDE TOLERANCE"),IF(X16="MODERATE",IF(V16&lt;=9,"WITHIN TOLERANCE","OUTSIDE TOLERANCE"),IF(X16="HIGH",IF(V16&lt;=16,"WITHIN TOLERANCE","OUTSIDE TOLERANCE"),"REVIEW"))))</x:f>
        <x:v>OUTSIDE TOLERANCE</x:v>
      </x:c>
      <x:c r="Z16" s="36" t="str">
        <x:v>Project Owner / Production</x:v>
      </x:c>
      <x:c r="AA16" s="36" t="str">
        <x:v>External collaborator / designated alternate</x:v>
      </x:c>
      <x:c r="AB16" s="36" t="str">
        <x:v>Proceso sin runbook/handoff</x:v>
      </x:c>
      <x:c r="AC16" s="36" t="str">
        <x:v>Umbral: evidencia positiva, tendencia adversa o gate bloqueado.</x:v>
      </x:c>
      <x:c r="AD16" s="36" t="str">
        <x:v>Detener trabajo no esencial y activar handoff mínimo.</x:v>
      </x:c>
      <x:c r="AE16" s="36" t="str">
        <x:v>Retomar desde manual, repositorio, baseline y último build verificable.</x:v>
      </x:c>
      <x:c r="AF16" s="27" t="str">
        <x:v>BIA-02</x:v>
      </x:c>
      <x:c r="AG16" s="27" t="str">
        <x:v>PB-02</x:v>
      </x:c>
      <x:c r="AH16" s="27" t="str">
        <x:v>TA-PEO-002</x:v>
      </x:c>
      <x:c r="AI16" s="36" t="str">
        <x:v>06, 09, 13, 15, 25, 27, 31, 34</x:v>
      </x:c>
      <x:c r="AJ16" s="36" t="str">
        <x:v>Roadmaps, sprint closures, handoffs y estados actuales</x:v>
      </x:c>
      <x:c r="AK16" s="27" t="str">
        <x:v>OPEN</x:v>
      </x:c>
      <x:c r="AL16" s="27" t="str">
        <x:v>WEEKLY</x:v>
      </x:c>
      <x:c r="AM16" s="40" t="str">
        <x:v>2026-07-01</x:v>
      </x:c>
      <x:c r="AN16" s="40" t="str">
        <x:v>2026-07-08</x:v>
      </x:c>
      <x:c r="AO16" s="27" t="str">
        <x:v>UNVERIFIED</x:v>
      </x:c>
      <x:c r="AP16" s="36" t="str">
        <x:v>Registro inicial consolidado; validar owner, controles y residual.</x:v>
      </x:c>
      <x:c r="AQ16" s="27" t="n">
        <x:f>IF(OR(M16="CRITICAL",W16="CRITICAL",Y16="OUTSIDE TOLERANCE",AK16="ESCALATED",AK16="ACCEPTANCE REQUESTED"),1,0)</x:f>
        <x:v>1</x:v>
      </x:c>
    </x:row>
    <x:row r="17">
      <x:c r="A17" s="27" t="str">
        <x:v>R-PEO-003</x:v>
      </x:c>
      <x:c r="B17" s="36" t="str">
        <x:v>People &amp; Capacity</x:v>
      </x:c>
      <x:c r="C17" s="36" t="str">
        <x:v>Overload</x:v>
      </x:c>
      <x:c r="D17" s="36" t="str">
        <x:v>Existe el riesgo de que ocurra lo siguiente: Sobrecarga reduce calidad y aumenta errores.</x:v>
      </x:c>
      <x:c r="E17" s="36" t="str">
        <x:v>Delivery capacity</x:v>
      </x:c>
      <x:c r="F17" s="36" t="str">
        <x:v>Development</x:v>
      </x:c>
      <x:c r="G17" s="36" t="str">
        <x:v>Ausencia, degradación o incumplimiento de los controles definidos para overload.</x:v>
      </x:c>
      <x:c r="H17" s="36" t="str">
        <x:v>Sobrecarga reduce calidad y aumenta errores</x:v>
      </x:c>
      <x:c r="I17" s="36" t="str">
        <x:v>Puede afectar a Delivery capacity, bloquear un gate, causar retrabajo, pérdida de datos/confianza o interrupción operativa.</x:v>
      </x:c>
      <x:c r="J17" s="38" t="n">
        <x:v>4</x:v>
      </x:c>
      <x:c r="K17" s="38" t="n">
        <x:v>4</x:v>
      </x:c>
      <x:c r="L17" s="38" t="n">
        <x:f>J17*K17</x:f>
        <x:v>16</x:v>
      </x:c>
      <x:c r="M17" s="27" t="str">
        <x:f>IF(L17&gt;=20,"CRITICAL",IF(L17&gt;=12,"HIGH",IF(L17&gt;=6,"MEDIUM","LOW")))</x:f>
        <x:v>HIGH</x:v>
      </x:c>
      <x:c r="N17" s="27" t="str">
        <x:v>SLOW</x:v>
      </x:c>
      <x:c r="O17" s="27" t="str">
        <x:v>MODERATE</x:v>
      </x:c>
      <x:c r="P17" s="36" t="str">
        <x:v>Documentación viva, commits frecuentes, handoffs y desglose por work packages.</x:v>
      </x:c>
      <x:c r="Q17" s="27" t="str">
        <x:v>PARTIAL</x:v>
      </x:c>
      <x:c r="R17" s="27" t="str">
        <x:v>MITIGATE</x:v>
      </x:c>
      <x:c r="S17" s="36" t="str">
        <x:v>Reducir WIP, documentar conocimiento, preparar sustitución y priorizar ruta crítica.</x:v>
      </x:c>
      <x:c r="T17" s="38" t="n">
        <x:v>4</x:v>
      </x:c>
      <x:c r="U17" s="38" t="n">
        <x:v>4</x:v>
      </x:c>
      <x:c r="V17" s="38" t="n">
        <x:f>T17*U17</x:f>
        <x:v>16</x:v>
      </x:c>
      <x:c r="W17" s="27" t="str">
        <x:f>IF(V17&gt;=20,"CRITICAL",IF(V17&gt;=12,"HIGH",IF(V17&gt;=6,"MEDIUM","LOW")))</x:f>
        <x:v>HIGH</x:v>
      </x:c>
      <x:c r="X17" s="27" t="str">
        <x:v>LOW</x:v>
      </x:c>
      <x:c r="Y17" s="27" t="str">
        <x:f>IF(X17="ZERO",IF(V17=0,"WITHIN TOLERANCE","OUTSIDE TOLERANCE"),IF(X17="LOW",IF(V17&lt;=4,"WITHIN TOLERANCE","OUTSIDE TOLERANCE"),IF(X17="MODERATE",IF(V17&lt;=9,"WITHIN TOLERANCE","OUTSIDE TOLERANCE"),IF(X17="HIGH",IF(V17&lt;=16,"WITHIN TOLERANCE","OUTSIDE TOLERANCE"),"REVIEW"))))</x:f>
        <x:v>OUTSIDE TOLERANCE</x:v>
      </x:c>
      <x:c r="Z17" s="36" t="str">
        <x:v>Project Owner / Production</x:v>
      </x:c>
      <x:c r="AA17" s="36" t="str">
        <x:v>External collaborator / designated alternate</x:v>
      </x:c>
      <x:c r="AB17" s="36" t="str">
        <x:v>WIP/horas/retrabajo crecen dos ciclos</x:v>
      </x:c>
      <x:c r="AC17" s="36" t="str">
        <x:v>Umbral: evidencia positiva, tendencia adversa o gate bloqueado.</x:v>
      </x:c>
      <x:c r="AD17" s="36" t="str">
        <x:v>Detener trabajo no esencial y activar handoff mínimo.</x:v>
      </x:c>
      <x:c r="AE17" s="36" t="str">
        <x:v>Retomar desde manual, repositorio, baseline y último build verificable.</x:v>
      </x:c>
      <x:c r="AF17" s="27" t="str">
        <x:v>BIA-02</x:v>
      </x:c>
      <x:c r="AG17" s="27" t="str">
        <x:v>PB-02</x:v>
      </x:c>
      <x:c r="AH17" s="27" t="str">
        <x:v>TA-PEO-003</x:v>
      </x:c>
      <x:c r="AI17" s="36" t="str">
        <x:v>06, 09, 13, 15, 25, 27, 31, 34</x:v>
      </x:c>
      <x:c r="AJ17" s="36" t="str">
        <x:v>Roadmaps, sprint closures, handoffs y estados actuales</x:v>
      </x:c>
      <x:c r="AK17" s="27" t="str">
        <x:v>OPEN</x:v>
      </x:c>
      <x:c r="AL17" s="27" t="str">
        <x:v>WEEKLY</x:v>
      </x:c>
      <x:c r="AM17" s="40" t="str">
        <x:v>2026-07-01</x:v>
      </x:c>
      <x:c r="AN17" s="40" t="str">
        <x:v>2026-07-08</x:v>
      </x:c>
      <x:c r="AO17" s="27" t="str">
        <x:v>UNVERIFIED</x:v>
      </x:c>
      <x:c r="AP17" s="36" t="str">
        <x:v>Registro inicial consolidado; validar owner, controles y residual.</x:v>
      </x:c>
      <x:c r="AQ17" s="27" t="n">
        <x:f>IF(OR(M17="CRITICAL",W17="CRITICAL",Y17="OUTSIDE TOLERANCE",AK17="ESCALATED",AK17="ACCEPTANCE REQUESTED"),1,0)</x:f>
        <x:v>1</x:v>
      </x:c>
    </x:row>
    <x:row r="18">
      <x:c r="A18" s="27" t="str">
        <x:v>R-PEO-004</x:v>
      </x:c>
      <x:c r="B18" s="36" t="str">
        <x:v>People &amp; Capacity</x:v>
      </x:c>
      <x:c r="C18" s="36" t="str">
        <x:v>Burnout</x:v>
      </x:c>
      <x:c r="D18" s="36" t="str">
        <x:v>Existe el riesgo de que ocurra lo siguiente: Fatiga sostenida provoca interrupción prolongada.</x:v>
      </x:c>
      <x:c r="E18" s="36" t="str">
        <x:v>Project continuity</x:v>
      </x:c>
      <x:c r="F18" s="36" t="str">
        <x:v>All</x:v>
      </x:c>
      <x:c r="G18" s="36" t="str">
        <x:v>Ausencia, degradación o incumplimiento de los controles definidos para burnout.</x:v>
      </x:c>
      <x:c r="H18" s="36" t="str">
        <x:v>Fatiga sostenida provoca interrupción prolongada</x:v>
      </x:c>
      <x:c r="I18" s="36" t="str">
        <x:v>Puede afectar a Project continuity, bloquear un gate, causar retrabajo, pérdida de datos/confianza o interrupción operativa.</x:v>
      </x:c>
      <x:c r="J18" s="38" t="n">
        <x:v>3</x:v>
      </x:c>
      <x:c r="K18" s="38" t="n">
        <x:v>5</x:v>
      </x:c>
      <x:c r="L18" s="38" t="n">
        <x:f>J18*K18</x:f>
        <x:v>15</x:v>
      </x:c>
      <x:c r="M18" s="27" t="str">
        <x:f>IF(L18&gt;=20,"CRITICAL",IF(L18&gt;=12,"HIGH",IF(L18&gt;=6,"MEDIUM","LOW")))</x:f>
        <x:v>HIGH</x:v>
      </x:c>
      <x:c r="N18" s="27" t="str">
        <x:v>SLOW</x:v>
      </x:c>
      <x:c r="O18" s="27" t="str">
        <x:v>MODERATE</x:v>
      </x:c>
      <x:c r="P18" s="36" t="str">
        <x:v>Documentación viva, commits frecuentes, handoffs y desglose por work packages.</x:v>
      </x:c>
      <x:c r="Q18" s="27" t="str">
        <x:v>PARTIAL</x:v>
      </x:c>
      <x:c r="R18" s="27" t="str">
        <x:v>MITIGATE</x:v>
      </x:c>
      <x:c r="S18" s="36" t="str">
        <x:v>Reducir WIP, documentar conocimiento, preparar sustitución y priorizar ruta crítica.</x:v>
      </x:c>
      <x:c r="T18" s="38" t="n">
        <x:v>3</x:v>
      </x:c>
      <x:c r="U18" s="38" t="n">
        <x:v>5</x:v>
      </x:c>
      <x:c r="V18" s="38" t="n">
        <x:f>T18*U18</x:f>
        <x:v>15</x:v>
      </x:c>
      <x:c r="W18" s="27" t="str">
        <x:f>IF(V18&gt;=20,"CRITICAL",IF(V18&gt;=12,"HIGH",IF(V18&gt;=6,"MEDIUM","LOW")))</x:f>
        <x:v>HIGH</x:v>
      </x:c>
      <x:c r="X18" s="27" t="str">
        <x:v>LOW</x:v>
      </x:c>
      <x:c r="Y18" s="27" t="str">
        <x:f>IF(X18="ZERO",IF(V18=0,"WITHIN TOLERANCE","OUTSIDE TOLERANCE"),IF(X18="LOW",IF(V18&lt;=4,"WITHIN TOLERANCE","OUTSIDE TOLERANCE"),IF(X18="MODERATE",IF(V18&lt;=9,"WITHIN TOLERANCE","OUTSIDE TOLERANCE"),IF(X18="HIGH",IF(V18&lt;=16,"WITHIN TOLERANCE","OUTSIDE TOLERANCE"),"REVIEW"))))</x:f>
        <x:v>OUTSIDE TOLERANCE</x:v>
      </x:c>
      <x:c r="Z18" s="36" t="str">
        <x:v>Project Owner / Production</x:v>
      </x:c>
      <x:c r="AA18" s="36" t="str">
        <x:v>External collaborator / designated alternate</x:v>
      </x:c>
      <x:c r="AB18" s="36" t="str">
        <x:v>Capacidad real cae &gt; 30%</x:v>
      </x:c>
      <x:c r="AC18" s="36" t="str">
        <x:v>Umbral: evidencia positiva, tendencia adversa o gate bloqueado.</x:v>
      </x:c>
      <x:c r="AD18" s="36" t="str">
        <x:v>Detener trabajo no esencial y activar handoff mínimo.</x:v>
      </x:c>
      <x:c r="AE18" s="36" t="str">
        <x:v>Retomar desde manual, repositorio, baseline y último build verificable.</x:v>
      </x:c>
      <x:c r="AF18" s="27" t="str">
        <x:v>BIA-02</x:v>
      </x:c>
      <x:c r="AG18" s="27" t="str">
        <x:v>PB-02</x:v>
      </x:c>
      <x:c r="AH18" s="27" t="str">
        <x:v>TA-PEO-004</x:v>
      </x:c>
      <x:c r="AI18" s="36" t="str">
        <x:v>06, 09, 13, 15, 25, 27, 31, 34</x:v>
      </x:c>
      <x:c r="AJ18" s="36" t="str">
        <x:v>Roadmaps, sprint closures, handoffs y estados actuales</x:v>
      </x:c>
      <x:c r="AK18" s="27" t="str">
        <x:v>OPEN</x:v>
      </x:c>
      <x:c r="AL18" s="27" t="str">
        <x:v>MONTHLY</x:v>
      </x:c>
      <x:c r="AM18" s="40" t="str">
        <x:v>2026-07-01</x:v>
      </x:c>
      <x:c r="AN18" s="40" t="str">
        <x:v>2026-07-31</x:v>
      </x:c>
      <x:c r="AO18" s="27" t="str">
        <x:v>UNVERIFIED</x:v>
      </x:c>
      <x:c r="AP18" s="36" t="str">
        <x:v>Registro inicial consolidado; validar owner, controles y residual.</x:v>
      </x:c>
      <x:c r="AQ18" s="27" t="n">
        <x:f>IF(OR(M18="CRITICAL",W18="CRITICAL",Y18="OUTSIDE TOLERANCE",AK18="ESCALATED",AK18="ACCEPTANCE REQUESTED"),1,0)</x:f>
        <x:v>1</x:v>
      </x:c>
    </x:row>
    <x:row r="19">
      <x:c r="A19" s="27" t="str">
        <x:v>R-PEO-005</x:v>
      </x:c>
      <x:c r="B19" s="36" t="str">
        <x:v>People &amp; Capacity</x:v>
      </x:c>
      <x:c r="C19" s="36" t="str">
        <x:v>Context switching</x:v>
      </x:c>
      <x:c r="D19" s="36" t="str">
        <x:v>Existe el riesgo de que ocurra lo siguiente: Demasiados frentes abiertos degradan foco.</x:v>
      </x:c>
      <x:c r="E19" s="36" t="str">
        <x:v>Sprint objective</x:v>
      </x:c>
      <x:c r="F19" s="36" t="str">
        <x:v>Development</x:v>
      </x:c>
      <x:c r="G19" s="36" t="str">
        <x:v>Ausencia, degradación o incumplimiento de los controles definidos para context switching.</x:v>
      </x:c>
      <x:c r="H19" s="36" t="str">
        <x:v>Demasiados frentes abiertos degradan foco</x:v>
      </x:c>
      <x:c r="I19" s="36" t="str">
        <x:v>Puede afectar a Sprint objective, bloquear un gate, causar retrabajo, pérdida de datos/confianza o interrupción operativa.</x:v>
      </x:c>
      <x:c r="J19" s="38" t="n">
        <x:v>4</x:v>
      </x:c>
      <x:c r="K19" s="38" t="n">
        <x:v>3</x:v>
      </x:c>
      <x:c r="L19" s="38" t="n">
        <x:f>J19*K19</x:f>
        <x:v>12</x:v>
      </x:c>
      <x:c r="M19" s="27" t="str">
        <x:f>IF(L19&gt;=20,"CRITICAL",IF(L19&gt;=12,"HIGH",IF(L19&gt;=6,"MEDIUM","LOW")))</x:f>
        <x:v>HIGH</x:v>
      </x:c>
      <x:c r="N19" s="27" t="str">
        <x:v>MEDIUM</x:v>
      </x:c>
      <x:c r="O19" s="27" t="str">
        <x:v>MODERATE</x:v>
      </x:c>
      <x:c r="P19" s="36" t="str">
        <x:v>Documentación viva, commits frecuentes, handoffs y desglose por work packages.</x:v>
      </x:c>
      <x:c r="Q19" s="27" t="str">
        <x:v>PARTIAL</x:v>
      </x:c>
      <x:c r="R19" s="27" t="str">
        <x:v>MITIGATE</x:v>
      </x:c>
      <x:c r="S19" s="36" t="str">
        <x:v>Reducir WIP, documentar conocimiento, preparar sustitución y priorizar ruta crítica.</x:v>
      </x:c>
      <x:c r="T19" s="38" t="n">
        <x:v>4</x:v>
      </x:c>
      <x:c r="U19" s="38" t="n">
        <x:v>3</x:v>
      </x:c>
      <x:c r="V19" s="38" t="n">
        <x:f>T19*U19</x:f>
        <x:v>12</x:v>
      </x:c>
      <x:c r="W19" s="27" t="str">
        <x:f>IF(V19&gt;=20,"CRITICAL",IF(V19&gt;=12,"HIGH",IF(V19&gt;=6,"MEDIUM","LOW")))</x:f>
        <x:v>HIGH</x:v>
      </x:c>
      <x:c r="X19" s="27" t="str">
        <x:v>LOW</x:v>
      </x:c>
      <x:c r="Y19" s="27" t="str">
        <x:f>IF(X19="ZERO",IF(V19=0,"WITHIN TOLERANCE","OUTSIDE TOLERANCE"),IF(X19="LOW",IF(V19&lt;=4,"WITHIN TOLERANCE","OUTSIDE TOLERANCE"),IF(X19="MODERATE",IF(V19&lt;=9,"WITHIN TOLERANCE","OUTSIDE TOLERANCE"),IF(X19="HIGH",IF(V19&lt;=16,"WITHIN TOLERANCE","OUTSIDE TOLERANCE"),"REVIEW"))))</x:f>
        <x:v>OUTSIDE TOLERANCE</x:v>
      </x:c>
      <x:c r="Z19" s="36" t="str">
        <x:v>Project Owner / Production</x:v>
      </x:c>
      <x:c r="AA19" s="36" t="str">
        <x:v>External collaborator / designated alternate</x:v>
      </x:c>
      <x:c r="AB19" s="36" t="str">
        <x:v>Más de 3 workstreams activos</x:v>
      </x:c>
      <x:c r="AC19" s="36" t="str">
        <x:v>Umbral: evidencia positiva, tendencia adversa o gate bloqueado.</x:v>
      </x:c>
      <x:c r="AD19" s="36" t="str">
        <x:v>Detener trabajo no esencial y activar handoff mínimo.</x:v>
      </x:c>
      <x:c r="AE19" s="36" t="str">
        <x:v>Retomar desde manual, repositorio, baseline y último build verificable.</x:v>
      </x:c>
      <x:c r="AF19" s="27" t="str">
        <x:v>BIA-02</x:v>
      </x:c>
      <x:c r="AG19" s="27" t="str">
        <x:v>PB-02</x:v>
      </x:c>
      <x:c r="AH19" s="27" t="str">
        <x:v>TA-PEO-005</x:v>
      </x:c>
      <x:c r="AI19" s="36" t="str">
        <x:v>06, 09, 13, 15, 25, 27, 31, 34</x:v>
      </x:c>
      <x:c r="AJ19" s="36" t="str">
        <x:v>Roadmaps, sprint closures, handoffs y estados actuales</x:v>
      </x:c>
      <x:c r="AK19" s="27" t="str">
        <x:v>OPEN</x:v>
      </x:c>
      <x:c r="AL19" s="27" t="str">
        <x:v>MONTHLY</x:v>
      </x:c>
      <x:c r="AM19" s="40" t="str">
        <x:v>2026-07-01</x:v>
      </x:c>
      <x:c r="AN19" s="40" t="str">
        <x:v>2026-07-31</x:v>
      </x:c>
      <x:c r="AO19" s="27" t="str">
        <x:v>UNVERIFIED</x:v>
      </x:c>
      <x:c r="AP19" s="36" t="str">
        <x:v>Registro inicial consolidado; validar owner, controles y residual.</x:v>
      </x:c>
      <x:c r="AQ19" s="27" t="n">
        <x:f>IF(OR(M19="CRITICAL",W19="CRITICAL",Y19="OUTSIDE TOLERANCE",AK19="ESCALATED",AK19="ACCEPTANCE REQUESTED"),1,0)</x:f>
        <x:v>1</x:v>
      </x:c>
    </x:row>
    <x:row r="20">
      <x:c r="A20" s="27" t="str">
        <x:v>R-PEO-006</x:v>
      </x:c>
      <x:c r="B20" s="36" t="str">
        <x:v>People &amp; Capacity</x:v>
      </x:c>
      <x:c r="C20" s="36" t="str">
        <x:v>External collaborator</x:v>
      </x:c>
      <x:c r="D20" s="36" t="str">
        <x:v>Existe el riesgo de que ocurra lo siguiente: Colaborador accede sin onboarding, límites o offboarding.</x:v>
      </x:c>
      <x:c r="E20" s="36" t="str">
        <x:v>Security / quality</x:v>
      </x:c>
      <x:c r="F20" s="36" t="str">
        <x:v>All</x:v>
      </x:c>
      <x:c r="G20" s="36" t="str">
        <x:v>Ausencia, degradación o incumplimiento de los controles definidos para external collaborator.</x:v>
      </x:c>
      <x:c r="H20" s="36" t="str">
        <x:v>Colaborador accede sin onboarding, límites o offboarding</x:v>
      </x:c>
      <x:c r="I20" s="36" t="str">
        <x:v>Puede afectar a Security / quality, bloquear un gate, causar retrabajo, pérdida de datos/confianza o interrupción operativa.</x:v>
      </x:c>
      <x:c r="J20" s="38" t="n">
        <x:v>2</x:v>
      </x:c>
      <x:c r="K20" s="38" t="n">
        <x:v>4</x:v>
      </x:c>
      <x:c r="L20" s="38" t="n">
        <x:f>J20*K20</x:f>
        <x:v>8</x:v>
      </x:c>
      <x:c r="M20" s="27" t="str">
        <x:f>IF(L20&gt;=20,"CRITICAL",IF(L20&gt;=12,"HIGH",IF(L20&gt;=6,"MEDIUM","LOW")))</x:f>
        <x:v>MEDIUM</x:v>
      </x:c>
      <x:c r="N20" s="27" t="str">
        <x:v>FAST</x:v>
      </x:c>
      <x:c r="O20" s="27" t="str">
        <x:v>HARD</x:v>
      </x:c>
      <x:c r="P20" s="36" t="str">
        <x:v>Documentación viva, commits frecuentes, handoffs y desglose por work packages.</x:v>
      </x:c>
      <x:c r="Q20" s="27" t="str">
        <x:v>PARTIAL</x:v>
      </x:c>
      <x:c r="R20" s="27" t="str">
        <x:v>MITIGATE</x:v>
      </x:c>
      <x:c r="S20" s="36" t="str">
        <x:v>Reducir WIP, documentar conocimiento, preparar sustitución y priorizar ruta crítica.</x:v>
      </x:c>
      <x:c r="T20" s="38" t="n">
        <x:v>2</x:v>
      </x:c>
      <x:c r="U20" s="38" t="n">
        <x:v>4</x:v>
      </x:c>
      <x:c r="V20" s="38" t="n">
        <x:f>T20*U20</x:f>
        <x:v>8</x:v>
      </x:c>
      <x:c r="W20" s="27" t="str">
        <x:f>IF(V20&gt;=20,"CRITICAL",IF(V20&gt;=12,"HIGH",IF(V20&gt;=6,"MEDIUM","LOW")))</x:f>
        <x:v>MEDIUM</x:v>
      </x:c>
      <x:c r="X20" s="27" t="str">
        <x:v>LOW</x:v>
      </x:c>
      <x:c r="Y20" s="27" t="str">
        <x:f>IF(X20="ZERO",IF(V20=0,"WITHIN TOLERANCE","OUTSIDE TOLERANCE"),IF(X20="LOW",IF(V20&lt;=4,"WITHIN TOLERANCE","OUTSIDE TOLERANCE"),IF(X20="MODERATE",IF(V20&lt;=9,"WITHIN TOLERANCE","OUTSIDE TOLERANCE"),IF(X20="HIGH",IF(V20&lt;=16,"WITHIN TOLERANCE","OUTSIDE TOLERANCE"),"REVIEW"))))</x:f>
        <x:v>OUTSIDE TOLERANCE</x:v>
      </x:c>
      <x:c r="Z20" s="36" t="str">
        <x:v>Project Owner / Production</x:v>
      </x:c>
      <x:c r="AA20" s="36" t="str">
        <x:v>External collaborator / designated alternate</x:v>
      </x:c>
      <x:c r="AB20" s="36" t="str">
        <x:v>Acceso antes de checklist</x:v>
      </x:c>
      <x:c r="AC20" s="36" t="str">
        <x:v>Umbral: evidencia positiva, tendencia adversa o gate bloqueado.</x:v>
      </x:c>
      <x:c r="AD20" s="36" t="str">
        <x:v>Detener trabajo no esencial y activar handoff mínimo.</x:v>
      </x:c>
      <x:c r="AE20" s="36" t="str">
        <x:v>Retomar desde manual, repositorio, baseline y último build verificable.</x:v>
      </x:c>
      <x:c r="AF20" s="27" t="str">
        <x:v>BIA-02</x:v>
      </x:c>
      <x:c r="AG20" s="27" t="str">
        <x:v>PB-02</x:v>
      </x:c>
      <x:c r="AH20" s="27" t="str">
        <x:v>TA-PEO-006</x:v>
      </x:c>
      <x:c r="AI20" s="36" t="str">
        <x:v>06, 09, 13, 15, 25, 27, 31, 34</x:v>
      </x:c>
      <x:c r="AJ20" s="36" t="str">
        <x:v>Roadmaps, sprint closures, handoffs y estados actuales</x:v>
      </x:c>
      <x:c r="AK20" s="27" t="str">
        <x:v>OPEN</x:v>
      </x:c>
      <x:c r="AL20" s="27" t="str">
        <x:v>WEEKLY</x:v>
      </x:c>
      <x:c r="AM20" s="40" t="str">
        <x:v>2026-07-01</x:v>
      </x:c>
      <x:c r="AN20" s="40" t="str">
        <x:v>2026-07-08</x:v>
      </x:c>
      <x:c r="AO20" s="27" t="str">
        <x:v>UNVERIFIED</x:v>
      </x:c>
      <x:c r="AP20" s="36" t="str">
        <x:v>Registro inicial consolidado; validar owner, controles y residual.</x:v>
      </x:c>
      <x:c r="AQ20" s="27" t="n">
        <x:f>IF(OR(M20="CRITICAL",W20="CRITICAL",Y20="OUTSIDE TOLERANCE",AK20="ESCALATED",AK20="ACCEPTANCE REQUESTED"),1,0)</x:f>
        <x:v>1</x:v>
      </x:c>
    </x:row>
    <x:row r="21">
      <x:c r="A21" s="27" t="str">
        <x:v>R-PEO-007</x:v>
      </x:c>
      <x:c r="B21" s="36" t="str">
        <x:v>People &amp; Capacity</x:v>
      </x:c>
      <x:c r="C21" s="36" t="str">
        <x:v>Skill gap</x:v>
      </x:c>
      <x:c r="D21" s="36" t="str">
        <x:v>Existe el riesgo de que ocurra lo siguiente: Falta experiencia especializada en Steam, legal o accesibilidad.</x:v>
      </x:c>
      <x:c r="E21" s="36" t="str">
        <x:v>Release readiness</x:v>
      </x:c>
      <x:c r="F21" s="36" t="str">
        <x:v>Publishing</x:v>
      </x:c>
      <x:c r="G21" s="36" t="str">
        <x:v>Ausencia, degradación o incumplimiento de los controles definidos para skill gap.</x:v>
      </x:c>
      <x:c r="H21" s="36" t="str">
        <x:v>Falta experiencia especializada en Steam, legal o accesibilidad</x:v>
      </x:c>
      <x:c r="I21" s="36" t="str">
        <x:v>Puede afectar a Release readiness, bloquear un gate, causar retrabajo, pérdida de datos/confianza o interrupción operativa.</x:v>
      </x:c>
      <x:c r="J21" s="38" t="n">
        <x:v>3</x:v>
      </x:c>
      <x:c r="K21" s="38" t="n">
        <x:v>4</x:v>
      </x:c>
      <x:c r="L21" s="38" t="n">
        <x:f>J21*K21</x:f>
        <x:v>12</x:v>
      </x:c>
      <x:c r="M21" s="27" t="str">
        <x:f>IF(L21&gt;=20,"CRITICAL",IF(L21&gt;=12,"HIGH",IF(L21&gt;=6,"MEDIUM","LOW")))</x:f>
        <x:v>HIGH</x:v>
      </x:c>
      <x:c r="N21" s="27" t="str">
        <x:v>SLOW</x:v>
      </x:c>
      <x:c r="O21" s="27" t="str">
        <x:v>MODERATE</x:v>
      </x:c>
      <x:c r="P21" s="36" t="str">
        <x:v>Documentación viva, commits frecuentes, handoffs y desglose por work packages.</x:v>
      </x:c>
      <x:c r="Q21" s="27" t="str">
        <x:v>PARTIAL</x:v>
      </x:c>
      <x:c r="R21" s="27" t="str">
        <x:v>MITIGATE</x:v>
      </x:c>
      <x:c r="S21" s="36" t="str">
        <x:v>Reducir WIP, documentar conocimiento, preparar sustitución y priorizar ruta crítica.</x:v>
      </x:c>
      <x:c r="T21" s="38" t="n">
        <x:v>3</x:v>
      </x:c>
      <x:c r="U21" s="38" t="n">
        <x:v>4</x:v>
      </x:c>
      <x:c r="V21" s="38" t="n">
        <x:f>T21*U21</x:f>
        <x:v>12</x:v>
      </x:c>
      <x:c r="W21" s="27" t="str">
        <x:f>IF(V21&gt;=20,"CRITICAL",IF(V21&gt;=12,"HIGH",IF(V21&gt;=6,"MEDIUM","LOW")))</x:f>
        <x:v>HIGH</x:v>
      </x:c>
      <x:c r="X21" s="27" t="str">
        <x:v>LOW</x:v>
      </x:c>
      <x:c r="Y21" s="27" t="str">
        <x:f>IF(X21="ZERO",IF(V21=0,"WITHIN TOLERANCE","OUTSIDE TOLERANCE"),IF(X21="LOW",IF(V21&lt;=4,"WITHIN TOLERANCE","OUTSIDE TOLERANCE"),IF(X21="MODERATE",IF(V21&lt;=9,"WITHIN TOLERANCE","OUTSIDE TOLERANCE"),IF(X21="HIGH",IF(V21&lt;=16,"WITHIN TOLERANCE","OUTSIDE TOLERANCE"),"REVIEW"))))</x:f>
        <x:v>OUTSIDE TOLERANCE</x:v>
      </x:c>
      <x:c r="Z21" s="36" t="str">
        <x:v>Project Owner / Production</x:v>
      </x:c>
      <x:c r="AA21" s="36" t="str">
        <x:v>External collaborator / designated alternate</x:v>
      </x:c>
      <x:c r="AB21" s="36" t="str">
        <x:v>Gate bloqueado por conocimiento</x:v>
      </x:c>
      <x:c r="AC21" s="36" t="str">
        <x:v>Umbral: evidencia positiva, tendencia adversa o gate bloqueado.</x:v>
      </x:c>
      <x:c r="AD21" s="36" t="str">
        <x:v>Detener trabajo no esencial y activar handoff mínimo.</x:v>
      </x:c>
      <x:c r="AE21" s="36" t="str">
        <x:v>Retomar desde manual, repositorio, baseline y último build verificable.</x:v>
      </x:c>
      <x:c r="AF21" s="27" t="str">
        <x:v>BIA-02</x:v>
      </x:c>
      <x:c r="AG21" s="27" t="str">
        <x:v>PB-02</x:v>
      </x:c>
      <x:c r="AH21" s="27" t="str">
        <x:v>TA-PEO-007</x:v>
      </x:c>
      <x:c r="AI21" s="36" t="str">
        <x:v>06, 09, 13, 15, 25, 27, 31, 34</x:v>
      </x:c>
      <x:c r="AJ21" s="36" t="str">
        <x:v>Roadmaps, sprint closures, handoffs y estados actuales</x:v>
      </x:c>
      <x:c r="AK21" s="27" t="str">
        <x:v>OPEN</x:v>
      </x:c>
      <x:c r="AL21" s="27" t="str">
        <x:v>MONTHLY</x:v>
      </x:c>
      <x:c r="AM21" s="40" t="str">
        <x:v>2026-07-01</x:v>
      </x:c>
      <x:c r="AN21" s="40" t="str">
        <x:v>2026-07-31</x:v>
      </x:c>
      <x:c r="AO21" s="27" t="str">
        <x:v>UNVERIFIED</x:v>
      </x:c>
      <x:c r="AP21" s="36" t="str">
        <x:v>Registro inicial consolidado; validar owner, controles y residual.</x:v>
      </x:c>
      <x:c r="AQ21" s="27" t="n">
        <x:f>IF(OR(M21="CRITICAL",W21="CRITICAL",Y21="OUTSIDE TOLERANCE",AK21="ESCALATED",AK21="ACCEPTANCE REQUESTED"),1,0)</x:f>
        <x:v>1</x:v>
      </x:c>
    </x:row>
    <x:row r="22">
      <x:c r="A22" s="27" t="str">
        <x:v>R-PEO-008</x:v>
      </x:c>
      <x:c r="B22" s="36" t="str">
        <x:v>People &amp; Capacity</x:v>
      </x:c>
      <x:c r="C22" s="36" t="str">
        <x:v>Succession</x:v>
      </x:c>
      <x:c r="D22" s="36" t="str">
        <x:v>Existe el riesgo de que ocurra lo siguiente: No existe sustituto capaz de ejecutar build/recovery.</x:v>
      </x:c>
      <x:c r="E22" s="36" t="str">
        <x:v>Build continuity</x:v>
      </x:c>
      <x:c r="F22" s="36" t="str">
        <x:v>All</x:v>
      </x:c>
      <x:c r="G22" s="36" t="str">
        <x:v>Ausencia, degradación o incumplimiento de los controles definidos para succession.</x:v>
      </x:c>
      <x:c r="H22" s="36" t="str">
        <x:v>No existe sustituto capaz de ejecutar build/recovery</x:v>
      </x:c>
      <x:c r="I22" s="36" t="str">
        <x:v>Puede afectar a Build continuity, bloquear un gate, causar retrabajo, pérdida de datos/confianza o interrupción operativa.</x:v>
      </x:c>
      <x:c r="J22" s="38" t="n">
        <x:v>4</x:v>
      </x:c>
      <x:c r="K22" s="38" t="n">
        <x:v>5</x:v>
      </x:c>
      <x:c r="L22" s="38" t="n">
        <x:f>J22*K22</x:f>
        <x:v>20</x:v>
      </x:c>
      <x:c r="M22" s="27" t="str">
        <x:f>IF(L22&gt;=20,"CRITICAL",IF(L22&gt;=12,"HIGH",IF(L22&gt;=6,"MEDIUM","LOW")))</x:f>
        <x:v>CRITICAL</x:v>
      </x:c>
      <x:c r="N22" s="27" t="str">
        <x:v>FAST</x:v>
      </x:c>
      <x:c r="O22" s="27" t="str">
        <x:v>HARD</x:v>
      </x:c>
      <x:c r="P22" s="36" t="str">
        <x:v>Documentación viva, commits frecuentes, handoffs y desglose por work packages.</x:v>
      </x:c>
      <x:c r="Q22" s="27" t="str">
        <x:v>PARTIAL</x:v>
      </x:c>
      <x:c r="R22" s="27" t="str">
        <x:v>MITIGATE</x:v>
      </x:c>
      <x:c r="S22" s="36" t="str">
        <x:v>Reducir WIP, documentar conocimiento, preparar sustitución y priorizar ruta crítica.</x:v>
      </x:c>
      <x:c r="T22" s="38" t="n">
        <x:v>4</x:v>
      </x:c>
      <x:c r="U22" s="38" t="n">
        <x:v>5</x:v>
      </x:c>
      <x:c r="V22" s="38" t="n">
        <x:f>T22*U22</x:f>
        <x:v>20</x:v>
      </x:c>
      <x:c r="W22" s="27" t="str">
        <x:f>IF(V22&gt;=20,"CRITICAL",IF(V22&gt;=12,"HIGH",IF(V22&gt;=6,"MEDIUM","LOW")))</x:f>
        <x:v>CRITICAL</x:v>
      </x:c>
      <x:c r="X22" s="27" t="str">
        <x:v>LOW</x:v>
      </x:c>
      <x:c r="Y22" s="27" t="str">
        <x:f>IF(X22="ZERO",IF(V22=0,"WITHIN TOLERANCE","OUTSIDE TOLERANCE"),IF(X22="LOW",IF(V22&lt;=4,"WITHIN TOLERANCE","OUTSIDE TOLERANCE"),IF(X22="MODERATE",IF(V22&lt;=9,"WITHIN TOLERANCE","OUTSIDE TOLERANCE"),IF(X22="HIGH",IF(V22&lt;=16,"WITHIN TOLERANCE","OUTSIDE TOLERANCE"),"REVIEW"))))</x:f>
        <x:v>OUTSIDE TOLERANCE</x:v>
      </x:c>
      <x:c r="Z22" s="36" t="str">
        <x:v>Project Owner / Production</x:v>
      </x:c>
      <x:c r="AA22" s="36" t="str">
        <x:v>External collaborator / designated alternate</x:v>
      </x:c>
      <x:c r="AB22" s="36" t="str">
        <x:v>Solo una persona puede publicar/restaurar</x:v>
      </x:c>
      <x:c r="AC22" s="36" t="str">
        <x:v>Umbral: evidencia positiva, tendencia adversa o gate bloqueado.</x:v>
      </x:c>
      <x:c r="AD22" s="36" t="str">
        <x:v>Detener trabajo no esencial y activar handoff mínimo.</x:v>
      </x:c>
      <x:c r="AE22" s="36" t="str">
        <x:v>Retomar desde manual, repositorio, baseline y último build verificable.</x:v>
      </x:c>
      <x:c r="AF22" s="27" t="str">
        <x:v>BIA-02</x:v>
      </x:c>
      <x:c r="AG22" s="27" t="str">
        <x:v>PB-02</x:v>
      </x:c>
      <x:c r="AH22" s="27" t="str">
        <x:v>TA-PEO-008</x:v>
      </x:c>
      <x:c r="AI22" s="36" t="str">
        <x:v>06, 09, 13, 15, 25, 27, 31, 34</x:v>
      </x:c>
      <x:c r="AJ22" s="36" t="str">
        <x:v>Roadmaps, sprint closures, handoffs y estados actuales</x:v>
      </x:c>
      <x:c r="AK22" s="27" t="str">
        <x:v>OPEN</x:v>
      </x:c>
      <x:c r="AL22" s="27" t="str">
        <x:v>WEEKLY</x:v>
      </x:c>
      <x:c r="AM22" s="40" t="str">
        <x:v>2026-07-01</x:v>
      </x:c>
      <x:c r="AN22" s="40" t="str">
        <x:v>2026-07-08</x:v>
      </x:c>
      <x:c r="AO22" s="27" t="str">
        <x:v>UNVERIFIED</x:v>
      </x:c>
      <x:c r="AP22" s="36" t="str">
        <x:v>Registro inicial consolidado; validar owner, controles y residual.</x:v>
      </x:c>
      <x:c r="AQ22" s="27" t="n">
        <x:f>IF(OR(M22="CRITICAL",W22="CRITICAL",Y22="OUTSIDE TOLERANCE",AK22="ESCALATED",AK22="ACCEPTANCE REQUESTED"),1,0)</x:f>
        <x:v>1</x:v>
      </x:c>
    </x:row>
    <x:row r="23">
      <x:c r="A23" s="27" t="str">
        <x:v>R-PEO-009</x:v>
      </x:c>
      <x:c r="B23" s="36" t="str">
        <x:v>People &amp; Capacity</x:v>
      </x:c>
      <x:c r="C23" s="36" t="str">
        <x:v>Communication loss</x:v>
      </x:c>
      <x:c r="D23" s="36" t="str">
        <x:v>Existe el riesgo de que ocurra lo siguiente: Decisiones se toman en canales no preservados.</x:v>
      </x:c>
      <x:c r="E23" s="36" t="str">
        <x:v>Traceability</x:v>
      </x:c>
      <x:c r="F23" s="36" t="str">
        <x:v>All</x:v>
      </x:c>
      <x:c r="G23" s="36" t="str">
        <x:v>Ausencia, degradación o incumplimiento de los controles definidos para communication loss.</x:v>
      </x:c>
      <x:c r="H23" s="36" t="str">
        <x:v>Decisiones se toman en canales no preservados</x:v>
      </x:c>
      <x:c r="I23" s="36" t="str">
        <x:v>Puede afectar a Traceability, bloquear un gate, causar retrabajo, pérdida de datos/confianza o interrupción operativa.</x:v>
      </x:c>
      <x:c r="J23" s="38" t="n">
        <x:v>3</x:v>
      </x:c>
      <x:c r="K23" s="38" t="n">
        <x:v>4</x:v>
      </x:c>
      <x:c r="L23" s="38" t="n">
        <x:f>J23*K23</x:f>
        <x:v>12</x:v>
      </x:c>
      <x:c r="M23" s="27" t="str">
        <x:f>IF(L23&gt;=20,"CRITICAL",IF(L23&gt;=12,"HIGH",IF(L23&gt;=6,"MEDIUM","LOW")))</x:f>
        <x:v>HIGH</x:v>
      </x:c>
      <x:c r="N23" s="27" t="str">
        <x:v>MEDIUM</x:v>
      </x:c>
      <x:c r="O23" s="27" t="str">
        <x:v>MODERATE</x:v>
      </x:c>
      <x:c r="P23" s="36" t="str">
        <x:v>Documentación viva, commits frecuentes, handoffs y desglose por work packages.</x:v>
      </x:c>
      <x:c r="Q23" s="27" t="str">
        <x:v>PARTIAL</x:v>
      </x:c>
      <x:c r="R23" s="27" t="str">
        <x:v>MITIGATE</x:v>
      </x:c>
      <x:c r="S23" s="36" t="str">
        <x:v>Reducir WIP, documentar conocimiento, preparar sustitución y priorizar ruta crítica.</x:v>
      </x:c>
      <x:c r="T23" s="38" t="n">
        <x:v>3</x:v>
      </x:c>
      <x:c r="U23" s="38" t="n">
        <x:v>4</x:v>
      </x:c>
      <x:c r="V23" s="38" t="n">
        <x:f>T23*U23</x:f>
        <x:v>12</x:v>
      </x:c>
      <x:c r="W23" s="27" t="str">
        <x:f>IF(V23&gt;=20,"CRITICAL",IF(V23&gt;=12,"HIGH",IF(V23&gt;=6,"MEDIUM","LOW")))</x:f>
        <x:v>HIGH</x:v>
      </x:c>
      <x:c r="X23" s="27" t="str">
        <x:v>LOW</x:v>
      </x:c>
      <x:c r="Y23" s="27" t="str">
        <x:f>IF(X23="ZERO",IF(V23=0,"WITHIN TOLERANCE","OUTSIDE TOLERANCE"),IF(X23="LOW",IF(V23&lt;=4,"WITHIN TOLERANCE","OUTSIDE TOLERANCE"),IF(X23="MODERATE",IF(V23&lt;=9,"WITHIN TOLERANCE","OUTSIDE TOLERANCE"),IF(X23="HIGH",IF(V23&lt;=16,"WITHIN TOLERANCE","OUTSIDE TOLERANCE"),"REVIEW"))))</x:f>
        <x:v>OUTSIDE TOLERANCE</x:v>
      </x:c>
      <x:c r="Z23" s="36" t="str">
        <x:v>Project Owner / Production</x:v>
      </x:c>
      <x:c r="AA23" s="36" t="str">
        <x:v>External collaborator / designated alternate</x:v>
      </x:c>
      <x:c r="AB23" s="36" t="str">
        <x:v>Decisión sin registro en baseline</x:v>
      </x:c>
      <x:c r="AC23" s="36" t="str">
        <x:v>Umbral: evidencia positiva, tendencia adversa o gate bloqueado.</x:v>
      </x:c>
      <x:c r="AD23" s="36" t="str">
        <x:v>Detener trabajo no esencial y activar handoff mínimo.</x:v>
      </x:c>
      <x:c r="AE23" s="36" t="str">
        <x:v>Retomar desde manual, repositorio, baseline y último build verificable.</x:v>
      </x:c>
      <x:c r="AF23" s="27" t="str">
        <x:v>BIA-02</x:v>
      </x:c>
      <x:c r="AG23" s="27" t="str">
        <x:v>PB-02</x:v>
      </x:c>
      <x:c r="AH23" s="27" t="str">
        <x:v>TA-PEO-009</x:v>
      </x:c>
      <x:c r="AI23" s="36" t="str">
        <x:v>06, 09, 13, 15, 25, 27, 31, 34</x:v>
      </x:c>
      <x:c r="AJ23" s="36" t="str">
        <x:v>Roadmaps, sprint closures, handoffs y estados actuales</x:v>
      </x:c>
      <x:c r="AK23" s="27" t="str">
        <x:v>OPEN</x:v>
      </x:c>
      <x:c r="AL23" s="27" t="str">
        <x:v>MONTHLY</x:v>
      </x:c>
      <x:c r="AM23" s="40" t="str">
        <x:v>2026-07-01</x:v>
      </x:c>
      <x:c r="AN23" s="40" t="str">
        <x:v>2026-07-31</x:v>
      </x:c>
      <x:c r="AO23" s="27" t="str">
        <x:v>UNVERIFIED</x:v>
      </x:c>
      <x:c r="AP23" s="36" t="str">
        <x:v>Registro inicial consolidado; validar owner, controles y residual.</x:v>
      </x:c>
      <x:c r="AQ23" s="27" t="n">
        <x:f>IF(OR(M23="CRITICAL",W23="CRITICAL",Y23="OUTSIDE TOLERANCE",AK23="ESCALATED",AK23="ACCEPTANCE REQUESTED"),1,0)</x:f>
        <x:v>1</x:v>
      </x:c>
    </x:row>
    <x:row r="24">
      <x:c r="A24" s="27" t="str">
        <x:v>R-PEO-010</x:v>
      </x:c>
      <x:c r="B24" s="36" t="str">
        <x:v>People &amp; Capacity</x:v>
      </x:c>
      <x:c r="C24" s="36" t="str">
        <x:v>Key-person error</x:v>
      </x:c>
      <x:c r="D24" s="36" t="str">
        <x:v>Existe el riesgo de que ocurra lo siguiente: Una acción irreversible del owner no tiene revisión.</x:v>
      </x:c>
      <x:c r="E24" s="36" t="str">
        <x:v>Critical assets</x:v>
      </x:c>
      <x:c r="F24" s="36" t="str">
        <x:v>All</x:v>
      </x:c>
      <x:c r="G24" s="36" t="str">
        <x:v>Ausencia, degradación o incumplimiento de los controles definidos para key-person error.</x:v>
      </x:c>
      <x:c r="H24" s="36" t="str">
        <x:v>Una acción irreversible del owner no tiene revisión</x:v>
      </x:c>
      <x:c r="I24" s="36" t="str">
        <x:v>Puede afectar a Critical assets, bloquear un gate, causar retrabajo, pérdida de datos/confianza o interrupción operativa.</x:v>
      </x:c>
      <x:c r="J24" s="38" t="n">
        <x:v>3</x:v>
      </x:c>
      <x:c r="K24" s="38" t="n">
        <x:v>5</x:v>
      </x:c>
      <x:c r="L24" s="38" t="n">
        <x:f>J24*K24</x:f>
        <x:v>15</x:v>
      </x:c>
      <x:c r="M24" s="27" t="str">
        <x:f>IF(L24&gt;=20,"CRITICAL",IF(L24&gt;=12,"HIGH",IF(L24&gt;=6,"MEDIUM","LOW")))</x:f>
        <x:v>HIGH</x:v>
      </x:c>
      <x:c r="N24" s="27" t="str">
        <x:v>FAST</x:v>
      </x:c>
      <x:c r="O24" s="27" t="str">
        <x:v>HARD</x:v>
      </x:c>
      <x:c r="P24" s="36" t="str">
        <x:v>Documentación viva, commits frecuentes, handoffs y desglose por work packages.</x:v>
      </x:c>
      <x:c r="Q24" s="27" t="str">
        <x:v>PARTIAL</x:v>
      </x:c>
      <x:c r="R24" s="27" t="str">
        <x:v>MITIGATE</x:v>
      </x:c>
      <x:c r="S24" s="36" t="str">
        <x:v>Reducir WIP, documentar conocimiento, preparar sustitución y priorizar ruta crítica.</x:v>
      </x:c>
      <x:c r="T24" s="38" t="n">
        <x:v>3</x:v>
      </x:c>
      <x:c r="U24" s="38" t="n">
        <x:v>5</x:v>
      </x:c>
      <x:c r="V24" s="38" t="n">
        <x:f>T24*U24</x:f>
        <x:v>15</x:v>
      </x:c>
      <x:c r="W24" s="27" t="str">
        <x:f>IF(V24&gt;=20,"CRITICAL",IF(V24&gt;=12,"HIGH",IF(V24&gt;=6,"MEDIUM","LOW")))</x:f>
        <x:v>HIGH</x:v>
      </x:c>
      <x:c r="X24" s="27" t="str">
        <x:v>LOW</x:v>
      </x:c>
      <x:c r="Y24" s="27" t="str">
        <x:f>IF(X24="ZERO",IF(V24=0,"WITHIN TOLERANCE","OUTSIDE TOLERANCE"),IF(X24="LOW",IF(V24&lt;=4,"WITHIN TOLERANCE","OUTSIDE TOLERANCE"),IF(X24="MODERATE",IF(V24&lt;=9,"WITHIN TOLERANCE","OUTSIDE TOLERANCE"),IF(X24="HIGH",IF(V24&lt;=16,"WITHIN TOLERANCE","OUTSIDE TOLERANCE"),"REVIEW"))))</x:f>
        <x:v>OUTSIDE TOLERANCE</x:v>
      </x:c>
      <x:c r="Z24" s="36" t="str">
        <x:v>Project Owner / Production</x:v>
      </x:c>
      <x:c r="AA24" s="36" t="str">
        <x:v>External collaborator / designated alternate</x:v>
      </x:c>
      <x:c r="AB24" s="36" t="str">
        <x:v>Operación destructiva sin four-eyes</x:v>
      </x:c>
      <x:c r="AC24" s="36" t="str">
        <x:v>Umbral: evidencia positiva, tendencia adversa o gate bloqueado.</x:v>
      </x:c>
      <x:c r="AD24" s="36" t="str">
        <x:v>Detener trabajo no esencial y activar handoff mínimo.</x:v>
      </x:c>
      <x:c r="AE24" s="36" t="str">
        <x:v>Retomar desde manual, repositorio, baseline y último build verificable.</x:v>
      </x:c>
      <x:c r="AF24" s="27" t="str">
        <x:v>BIA-02</x:v>
      </x:c>
      <x:c r="AG24" s="27" t="str">
        <x:v>PB-02</x:v>
      </x:c>
      <x:c r="AH24" s="27" t="str">
        <x:v>TA-PEO-010</x:v>
      </x:c>
      <x:c r="AI24" s="36" t="str">
        <x:v>06, 09, 13, 15, 25, 27, 31, 34</x:v>
      </x:c>
      <x:c r="AJ24" s="36" t="str">
        <x:v>Roadmaps, sprint closures, handoffs y estados actuales</x:v>
      </x:c>
      <x:c r="AK24" s="27" t="str">
        <x:v>OPEN</x:v>
      </x:c>
      <x:c r="AL24" s="27" t="str">
        <x:v>WEEKLY</x:v>
      </x:c>
      <x:c r="AM24" s="40" t="str">
        <x:v>2026-07-01</x:v>
      </x:c>
      <x:c r="AN24" s="40" t="str">
        <x:v>2026-07-08</x:v>
      </x:c>
      <x:c r="AO24" s="27" t="str">
        <x:v>UNVERIFIED</x:v>
      </x:c>
      <x:c r="AP24" s="36" t="str">
        <x:v>Registro inicial consolidado; validar owner, controles y residual.</x:v>
      </x:c>
      <x:c r="AQ24" s="27" t="n">
        <x:f>IF(OR(M24="CRITICAL",W24="CRITICAL",Y24="OUTSIDE TOLERANCE",AK24="ESCALATED",AK24="ACCEPTANCE REQUESTED"),1,0)</x:f>
        <x:v>1</x:v>
      </x:c>
    </x:row>
    <x:row r="25">
      <x:c r="A25" s="27" t="str">
        <x:v>R-PRD-001</x:v>
      </x:c>
      <x:c r="B25" s="36" t="str">
        <x:v>Production &amp; Schedule</x:v>
      </x:c>
      <x:c r="C25" s="36" t="str">
        <x:v>Dependency sequencing</x:v>
      </x:c>
      <x:c r="D25" s="36" t="str">
        <x:v>Existe el riesgo de que ocurra lo siguiente: Sprint inicia con dependencias no listas.</x:v>
      </x:c>
      <x:c r="E25" s="36" t="str">
        <x:v>Milestone delivery</x:v>
      </x:c>
      <x:c r="F25" s="36" t="str">
        <x:v>Development</x:v>
      </x:c>
      <x:c r="G25" s="36" t="str">
        <x:v>Ausencia, degradación o incumplimiento de los controles definidos para dependency sequencing.</x:v>
      </x:c>
      <x:c r="H25" s="36" t="str">
        <x:v>Sprint inicia con dependencias no listas</x:v>
      </x:c>
      <x:c r="I25" s="36" t="str">
        <x:v>Puede afectar a Milestone delivery, bloquear un gate, causar retrabajo, pérdida de datos/confianza o interrupción operativa.</x:v>
      </x:c>
      <x:c r="J25" s="38" t="n">
        <x:v>4</x:v>
      </x:c>
      <x:c r="K25" s="38" t="n">
        <x:v>4</x:v>
      </x:c>
      <x:c r="L25" s="38" t="n">
        <x:f>J25*K25</x:f>
        <x:v>16</x:v>
      </x:c>
      <x:c r="M25" s="27" t="str">
        <x:f>IF(L25&gt;=20,"CRITICAL",IF(L25&gt;=12,"HIGH",IF(L25&gt;=6,"MEDIUM","LOW")))</x:f>
        <x:v>HIGH</x:v>
      </x:c>
      <x:c r="N25" s="27" t="str">
        <x:v>MEDIUM</x:v>
      </x:c>
      <x:c r="O25" s="27" t="str">
        <x:v>MODERATE</x:v>
      </x:c>
      <x:c r="P25" s="36" t="str">
        <x:v>Sprints cerrados, gates, Definition of Done, dependencias y criterios de aborto.</x:v>
      </x:c>
      <x:c r="Q25" s="27" t="str">
        <x:v>PARTIAL</x:v>
      </x:c>
      <x:c r="R25" s="27" t="str">
        <x:v>MITIGATE</x:v>
      </x:c>
      <x:c r="S25" s="36" t="str">
        <x:v>Re-secuenciar por dependencias, reducir alcance no contractual y proteger H6.</x:v>
      </x:c>
      <x:c r="T25" s="38" t="n">
        <x:v>4</x:v>
      </x:c>
      <x:c r="U25" s="38" t="n">
        <x:v>4</x:v>
      </x:c>
      <x:c r="V25" s="38" t="n">
        <x:f>T25*U25</x:f>
        <x:v>16</x:v>
      </x:c>
      <x:c r="W25" s="27" t="str">
        <x:f>IF(V25&gt;=20,"CRITICAL",IF(V25&gt;=12,"HIGH",IF(V25&gt;=6,"MEDIUM","LOW")))</x:f>
        <x:v>HIGH</x:v>
      </x:c>
      <x:c r="X25" s="27" t="str">
        <x:v>MODERATE</x:v>
      </x:c>
      <x:c r="Y25" s="27" t="str">
        <x:f>IF(X25="ZERO",IF(V25=0,"WITHIN TOLERANCE","OUTSIDE TOLERANCE"),IF(X25="LOW",IF(V25&lt;=4,"WITHIN TOLERANCE","OUTSIDE TOLERANCE"),IF(X25="MODERATE",IF(V25&lt;=9,"WITHIN TOLERANCE","OUTSIDE TOLERANCE"),IF(X25="HIGH",IF(V25&lt;=16,"WITHIN TOLERANCE","OUTSIDE TOLERANCE"),"REVIEW"))))</x:f>
        <x:v>OUTSIDE TOLERANCE</x:v>
      </x:c>
      <x:c r="Z25" s="36" t="str">
        <x:v>Production</x:v>
      </x:c>
      <x:c r="AA25" s="36" t="str">
        <x:v>Project Owner</x:v>
      </x:c>
      <x:c r="AB25" s="36" t="str">
        <x:v>&gt;20% controles BLOCKED</x:v>
      </x:c>
      <x:c r="AC25" s="36" t="str">
        <x:v>Umbral: evidencia positiva, tendencia adversa o gate bloqueado.</x:v>
      </x:c>
      <x:c r="AD25" s="36" t="str">
        <x:v>Triage de ruta crítica y actualización de gate.</x:v>
      </x:c>
      <x:c r="AE25" s="36" t="str">
        <x:v>Crear plan de recuperación de sprint con objetivos verificables y buffer.</x:v>
      </x:c>
      <x:c r="AF25" s="27" t="str">
        <x:v>BIA-03</x:v>
      </x:c>
      <x:c r="AG25" s="27" t="str">
        <x:v>PB-03</x:v>
      </x:c>
      <x:c r="AH25" s="27" t="str">
        <x:v>TA-PRD-001</x:v>
      </x:c>
      <x:c r="AI25" s="36" t="str">
        <x:v>02, 06, 07, 08, 12, 13, 16, 31</x:v>
      </x:c>
      <x:c r="AJ25" s="36" t="str">
        <x:v>Roadmap/Sprint Plan, tracking y acceptance matrices v0.3–v0.6</x:v>
      </x:c>
      <x:c r="AK25" s="27" t="str">
        <x:v>OPEN</x:v>
      </x:c>
      <x:c r="AL25" s="27" t="str">
        <x:v>WEEKLY</x:v>
      </x:c>
      <x:c r="AM25" s="40" t="str">
        <x:v>2026-07-01</x:v>
      </x:c>
      <x:c r="AN25" s="40" t="str">
        <x:v>2026-07-08</x:v>
      </x:c>
      <x:c r="AO25" s="27" t="str">
        <x:v>UNVERIFIED</x:v>
      </x:c>
      <x:c r="AP25" s="36" t="str">
        <x:v>Registro inicial consolidado; validar owner, controles y residual.</x:v>
      </x:c>
      <x:c r="AQ25" s="27" t="n">
        <x:f>IF(OR(M25="CRITICAL",W25="CRITICAL",Y25="OUTSIDE TOLERANCE",AK25="ESCALATED",AK25="ACCEPTANCE REQUESTED"),1,0)</x:f>
        <x:v>1</x:v>
      </x:c>
    </x:row>
    <x:row r="26">
      <x:c r="A26" s="27" t="str">
        <x:v>R-PRD-002</x:v>
      </x:c>
      <x:c r="B26" s="36" t="str">
        <x:v>Production &amp; Schedule</x:v>
      </x:c>
      <x:c r="C26" s="36" t="str">
        <x:v>Estimate uncertainty</x:v>
      </x:c>
      <x:c r="D26" s="36" t="str">
        <x:v>Existe el riesgo de que ocurra lo siguiente: Estimaciones sin medición producen compromiso irreal.</x:v>
      </x:c>
      <x:c r="E26" s="36" t="str">
        <x:v>Roadmap</x:v>
      </x:c>
      <x:c r="F26" s="36" t="str">
        <x:v>Planning</x:v>
      </x:c>
      <x:c r="G26" s="36" t="str">
        <x:v>Ausencia, degradación o incumplimiento de los controles definidos para estimate uncertainty.</x:v>
      </x:c>
      <x:c r="H26" s="36" t="str">
        <x:v>Estimaciones sin medición producen compromiso irreal</x:v>
      </x:c>
      <x:c r="I26" s="36" t="str">
        <x:v>Puede afectar a Roadmap, bloquear un gate, causar retrabajo, pérdida de datos/confianza o interrupción operativa.</x:v>
      </x:c>
      <x:c r="J26" s="38" t="n">
        <x:v>4</x:v>
      </x:c>
      <x:c r="K26" s="38" t="n">
        <x:v>3</x:v>
      </x:c>
      <x:c r="L26" s="38" t="n">
        <x:f>J26*K26</x:f>
        <x:v>12</x:v>
      </x:c>
      <x:c r="M26" s="27" t="str">
        <x:f>IF(L26&gt;=20,"CRITICAL",IF(L26&gt;=12,"HIGH",IF(L26&gt;=6,"MEDIUM","LOW")))</x:f>
        <x:v>HIGH</x:v>
      </x:c>
      <x:c r="N26" s="27" t="str">
        <x:v>SLOW</x:v>
      </x:c>
      <x:c r="O26" s="27" t="str">
        <x:v>MODERATE</x:v>
      </x:c>
      <x:c r="P26" s="36" t="str">
        <x:v>Sprints cerrados, gates, Definition of Done, dependencias y criterios de aborto.</x:v>
      </x:c>
      <x:c r="Q26" s="27" t="str">
        <x:v>PARTIAL</x:v>
      </x:c>
      <x:c r="R26" s="27" t="str">
        <x:v>MITIGATE</x:v>
      </x:c>
      <x:c r="S26" s="36" t="str">
        <x:v>Re-secuenciar por dependencias, reducir alcance no contractual y proteger H6.</x:v>
      </x:c>
      <x:c r="T26" s="38" t="n">
        <x:v>4</x:v>
      </x:c>
      <x:c r="U26" s="38" t="n">
        <x:v>3</x:v>
      </x:c>
      <x:c r="V26" s="38" t="n">
        <x:f>T26*U26</x:f>
        <x:v>12</x:v>
      </x:c>
      <x:c r="W26" s="27" t="str">
        <x:f>IF(V26&gt;=20,"CRITICAL",IF(V26&gt;=12,"HIGH",IF(V26&gt;=6,"MEDIUM","LOW")))</x:f>
        <x:v>HIGH</x:v>
      </x:c>
      <x:c r="X26" s="27" t="str">
        <x:v>MODERATE</x:v>
      </x:c>
      <x:c r="Y26" s="27" t="str">
        <x:f>IF(X26="ZERO",IF(V26=0,"WITHIN TOLERANCE","OUTSIDE TOLERANCE"),IF(X26="LOW",IF(V26&lt;=4,"WITHIN TOLERANCE","OUTSIDE TOLERANCE"),IF(X26="MODERATE",IF(V26&lt;=9,"WITHIN TOLERANCE","OUTSIDE TOLERANCE"),IF(X26="HIGH",IF(V26&lt;=16,"WITHIN TOLERANCE","OUTSIDE TOLERANCE"),"REVIEW"))))</x:f>
        <x:v>OUTSIDE TOLERANCE</x:v>
      </x:c>
      <x:c r="Z26" s="36" t="str">
        <x:v>Production</x:v>
      </x:c>
      <x:c r="AA26" s="36" t="str">
        <x:v>Project Owner</x:v>
      </x:c>
      <x:c r="AB26" s="36" t="str">
        <x:v>Desviación &gt; 30% repetida</x:v>
      </x:c>
      <x:c r="AC26" s="36" t="str">
        <x:v>Umbral: evidencia positiva, tendencia adversa o gate bloqueado.</x:v>
      </x:c>
      <x:c r="AD26" s="36" t="str">
        <x:v>Triage de ruta crítica y actualización de gate.</x:v>
      </x:c>
      <x:c r="AE26" s="36" t="str">
        <x:v>Crear plan de recuperación de sprint con objetivos verificables y buffer.</x:v>
      </x:c>
      <x:c r="AF26" s="27" t="str">
        <x:v>BIA-03</x:v>
      </x:c>
      <x:c r="AG26" s="27" t="str">
        <x:v>PB-03</x:v>
      </x:c>
      <x:c r="AH26" s="27" t="str">
        <x:v>TA-PRD-002</x:v>
      </x:c>
      <x:c r="AI26" s="36" t="str">
        <x:v>02, 06, 07, 08, 12, 13, 16, 31</x:v>
      </x:c>
      <x:c r="AJ26" s="36" t="str">
        <x:v>Roadmap/Sprint Plan, tracking y acceptance matrices v0.3–v0.6</x:v>
      </x:c>
      <x:c r="AK26" s="27" t="str">
        <x:v>OPEN</x:v>
      </x:c>
      <x:c r="AL26" s="27" t="str">
        <x:v>MONTHLY</x:v>
      </x:c>
      <x:c r="AM26" s="40" t="str">
        <x:v>2026-07-01</x:v>
      </x:c>
      <x:c r="AN26" s="40" t="str">
        <x:v>2026-07-31</x:v>
      </x:c>
      <x:c r="AO26" s="27" t="str">
        <x:v>UNVERIFIED</x:v>
      </x:c>
      <x:c r="AP26" s="36" t="str">
        <x:v>Registro inicial consolidado; validar owner, controles y residual.</x:v>
      </x:c>
      <x:c r="AQ26" s="27" t="n">
        <x:f>IF(OR(M26="CRITICAL",W26="CRITICAL",Y26="OUTSIDE TOLERANCE",AK26="ESCALATED",AK26="ACCEPTANCE REQUESTED"),1,0)</x:f>
        <x:v>1</x:v>
      </x:c>
    </x:row>
    <x:row r="27">
      <x:c r="A27" s="27" t="str">
        <x:v>R-PRD-003</x:v>
      </x:c>
      <x:c r="B27" s="36" t="str">
        <x:v>Production &amp; Schedule</x:v>
      </x:c>
      <x:c r="C27" s="36" t="str">
        <x:v>Rework</x:v>
      </x:c>
      <x:c r="D27" s="36" t="str">
        <x:v>Existe el riesgo de que ocurra lo siguiente: Integración tardía de arte/UI/audio genera retrabajo.</x:v>
      </x:c>
      <x:c r="E27" s="36" t="str">
        <x:v>H6 scope</x:v>
      </x:c>
      <x:c r="F27" s="36" t="str">
        <x:v>Development</x:v>
      </x:c>
      <x:c r="G27" s="36" t="str">
        <x:v>Ausencia, degradación o incumplimiento de los controles definidos para rework.</x:v>
      </x:c>
      <x:c r="H27" s="36" t="str">
        <x:v>Integración tardía de arte/UI/audio genera retrabajo</x:v>
      </x:c>
      <x:c r="I27" s="36" t="str">
        <x:v>Puede afectar a H6 scope, bloquear un gate, causar retrabajo, pérdida de datos/confianza o interrupción operativa.</x:v>
      </x:c>
      <x:c r="J27" s="38" t="n">
        <x:v>4</x:v>
      </x:c>
      <x:c r="K27" s="38" t="n">
        <x:v>4</x:v>
      </x:c>
      <x:c r="L27" s="38" t="n">
        <x:f>J27*K27</x:f>
        <x:v>16</x:v>
      </x:c>
      <x:c r="M27" s="27" t="str">
        <x:f>IF(L27&gt;=20,"CRITICAL",IF(L27&gt;=12,"HIGH",IF(L27&gt;=6,"MEDIUM","LOW")))</x:f>
        <x:v>HIGH</x:v>
      </x:c>
      <x:c r="N27" s="27" t="str">
        <x:v>MEDIUM</x:v>
      </x:c>
      <x:c r="O27" s="27" t="str">
        <x:v>MODERATE</x:v>
      </x:c>
      <x:c r="P27" s="36" t="str">
        <x:v>Sprints cerrados, gates, Definition of Done, dependencias y criterios de aborto.</x:v>
      </x:c>
      <x:c r="Q27" s="27" t="str">
        <x:v>PARTIAL</x:v>
      </x:c>
      <x:c r="R27" s="27" t="str">
        <x:v>MITIGATE</x:v>
      </x:c>
      <x:c r="S27" s="36" t="str">
        <x:v>Re-secuenciar por dependencias, reducir alcance no contractual y proteger H6.</x:v>
      </x:c>
      <x:c r="T27" s="38" t="n">
        <x:v>4</x:v>
      </x:c>
      <x:c r="U27" s="38" t="n">
        <x:v>4</x:v>
      </x:c>
      <x:c r="V27" s="38" t="n">
        <x:f>T27*U27</x:f>
        <x:v>16</x:v>
      </x:c>
      <x:c r="W27" s="27" t="str">
        <x:f>IF(V27&gt;=20,"CRITICAL",IF(V27&gt;=12,"HIGH",IF(V27&gt;=6,"MEDIUM","LOW")))</x:f>
        <x:v>HIGH</x:v>
      </x:c>
      <x:c r="X27" s="27" t="str">
        <x:v>MODERATE</x:v>
      </x:c>
      <x:c r="Y27" s="27" t="str">
        <x:f>IF(X27="ZERO",IF(V27=0,"WITHIN TOLERANCE","OUTSIDE TOLERANCE"),IF(X27="LOW",IF(V27&lt;=4,"WITHIN TOLERANCE","OUTSIDE TOLERANCE"),IF(X27="MODERATE",IF(V27&lt;=9,"WITHIN TOLERANCE","OUTSIDE TOLERANCE"),IF(X27="HIGH",IF(V27&lt;=16,"WITHIN TOLERANCE","OUTSIDE TOLERANCE"),"REVIEW"))))</x:f>
        <x:v>OUTSIDE TOLERANCE</x:v>
      </x:c>
      <x:c r="Z27" s="36" t="str">
        <x:v>Production</x:v>
      </x:c>
      <x:c r="AA27" s="36" t="str">
        <x:v>Project Owner</x:v>
      </x:c>
      <x:c r="AB27" s="36" t="str">
        <x:v>Cambios de escena rompen sistemas cerrados</x:v>
      </x:c>
      <x:c r="AC27" s="36" t="str">
        <x:v>Umbral: evidencia positiva, tendencia adversa o gate bloqueado.</x:v>
      </x:c>
      <x:c r="AD27" s="36" t="str">
        <x:v>Triage de ruta crítica y actualización de gate.</x:v>
      </x:c>
      <x:c r="AE27" s="36" t="str">
        <x:v>Crear plan de recuperación de sprint con objetivos verificables y buffer.</x:v>
      </x:c>
      <x:c r="AF27" s="27" t="str">
        <x:v>BIA-03</x:v>
      </x:c>
      <x:c r="AG27" s="27" t="str">
        <x:v>PB-03</x:v>
      </x:c>
      <x:c r="AH27" s="27" t="str">
        <x:v>TA-PRD-003</x:v>
      </x:c>
      <x:c r="AI27" s="36" t="str">
        <x:v>02, 06, 07, 08, 12, 13, 16, 31</x:v>
      </x:c>
      <x:c r="AJ27" s="36" t="str">
        <x:v>Roadmap/Sprint Plan, tracking y acceptance matrices v0.3–v0.6</x:v>
      </x:c>
      <x:c r="AK27" s="27" t="str">
        <x:v>OPEN</x:v>
      </x:c>
      <x:c r="AL27" s="27" t="str">
        <x:v>WEEKLY</x:v>
      </x:c>
      <x:c r="AM27" s="40" t="str">
        <x:v>2026-07-01</x:v>
      </x:c>
      <x:c r="AN27" s="40" t="str">
        <x:v>2026-07-08</x:v>
      </x:c>
      <x:c r="AO27" s="27" t="str">
        <x:v>UNVERIFIED</x:v>
      </x:c>
      <x:c r="AP27" s="36" t="str">
        <x:v>Registro inicial consolidado; validar owner, controles y residual.</x:v>
      </x:c>
      <x:c r="AQ27" s="27" t="n">
        <x:f>IF(OR(M27="CRITICAL",W27="CRITICAL",Y27="OUTSIDE TOLERANCE",AK27="ESCALATED",AK27="ACCEPTANCE REQUESTED"),1,0)</x:f>
        <x:v>1</x:v>
      </x:c>
    </x:row>
    <x:row r="28">
      <x:c r="A28" s="27" t="str">
        <x:v>R-PRD-004</x:v>
      </x:c>
      <x:c r="B28" s="36" t="str">
        <x:v>Production &amp; Schedule</x:v>
      </x:c>
      <x:c r="C28" s="36" t="str">
        <x:v>Critical path</x:v>
      </x:c>
      <x:c r="D28" s="36" t="str">
        <x:v>Existe el riesgo de que ocurra lo siguiente: StoreInitial, Golden Path o build quedan fuera de ruta prioritaria.</x:v>
      </x:c>
      <x:c r="E28" s="36" t="str">
        <x:v>H6</x:v>
      </x:c>
      <x:c r="F28" s="36" t="str">
        <x:v>Development</x:v>
      </x:c>
      <x:c r="G28" s="36" t="str">
        <x:v>Ausencia, degradación o incumplimiento de los controles definidos para critical path.</x:v>
      </x:c>
      <x:c r="H28" s="36" t="str">
        <x:v>StoreInitial, Golden Path o build quedan fuera de ruta prioritaria</x:v>
      </x:c>
      <x:c r="I28" s="36" t="str">
        <x:v>Puede afectar a H6, bloquear un gate, causar retrabajo, pérdida de datos/confianza o interrupción operativa.</x:v>
      </x:c>
      <x:c r="J28" s="38" t="n">
        <x:v>3</x:v>
      </x:c>
      <x:c r="K28" s="38" t="n">
        <x:v>5</x:v>
      </x:c>
      <x:c r="L28" s="38" t="n">
        <x:f>J28*K28</x:f>
        <x:v>15</x:v>
      </x:c>
      <x:c r="M28" s="27" t="str">
        <x:f>IF(L28&gt;=20,"CRITICAL",IF(L28&gt;=12,"HIGH",IF(L28&gt;=6,"MEDIUM","LOW")))</x:f>
        <x:v>HIGH</x:v>
      </x:c>
      <x:c r="N28" s="27" t="str">
        <x:v>FAST</x:v>
      </x:c>
      <x:c r="O28" s="27" t="str">
        <x:v>HARD</x:v>
      </x:c>
      <x:c r="P28" s="36" t="str">
        <x:v>Sprints cerrados, gates, Definition of Done, dependencias y criterios de aborto.</x:v>
      </x:c>
      <x:c r="Q28" s="27" t="str">
        <x:v>PARTIAL</x:v>
      </x:c>
      <x:c r="R28" s="27" t="str">
        <x:v>MITIGATE</x:v>
      </x:c>
      <x:c r="S28" s="36" t="str">
        <x:v>Re-secuenciar por dependencias, reducir alcance no contractual y proteger H6.</x:v>
      </x:c>
      <x:c r="T28" s="38" t="n">
        <x:v>3</x:v>
      </x:c>
      <x:c r="U28" s="38" t="n">
        <x:v>5</x:v>
      </x:c>
      <x:c r="V28" s="38" t="n">
        <x:f>T28*U28</x:f>
        <x:v>15</x:v>
      </x:c>
      <x:c r="W28" s="27" t="str">
        <x:f>IF(V28&gt;=20,"CRITICAL",IF(V28&gt;=12,"HIGH",IF(V28&gt;=6,"MEDIUM","LOW")))</x:f>
        <x:v>HIGH</x:v>
      </x:c>
      <x:c r="X28" s="27" t="str">
        <x:v>MODERATE</x:v>
      </x:c>
      <x:c r="Y28" s="27" t="str">
        <x:f>IF(X28="ZERO",IF(V28=0,"WITHIN TOLERANCE","OUTSIDE TOLERANCE"),IF(X28="LOW",IF(V28&lt;=4,"WITHIN TOLERANCE","OUTSIDE TOLERANCE"),IF(X28="MODERATE",IF(V28&lt;=9,"WITHIN TOLERANCE","OUTSIDE TOLERANCE"),IF(X28="HIGH",IF(V28&lt;=16,"WITHIN TOLERANCE","OUTSIDE TOLERANCE"),"REVIEW"))))</x:f>
        <x:v>OUTSIDE TOLERANCE</x:v>
      </x:c>
      <x:c r="Z28" s="36" t="str">
        <x:v>Production</x:v>
      </x:c>
      <x:c r="AA28" s="36" t="str">
        <x:v>Project Owner</x:v>
      </x:c>
      <x:c r="AB28" s="36" t="str">
        <x:v>Dependencia crítica sin fecha/owner</x:v>
      </x:c>
      <x:c r="AC28" s="36" t="str">
        <x:v>Umbral: evidencia positiva, tendencia adversa o gate bloqueado.</x:v>
      </x:c>
      <x:c r="AD28" s="36" t="str">
        <x:v>Triage de ruta crítica y actualización de gate.</x:v>
      </x:c>
      <x:c r="AE28" s="36" t="str">
        <x:v>Crear plan de recuperación de sprint con objetivos verificables y buffer.</x:v>
      </x:c>
      <x:c r="AF28" s="27" t="str">
        <x:v>BIA-03</x:v>
      </x:c>
      <x:c r="AG28" s="27" t="str">
        <x:v>PB-03</x:v>
      </x:c>
      <x:c r="AH28" s="27" t="str">
        <x:v>TA-PRD-004</x:v>
      </x:c>
      <x:c r="AI28" s="36" t="str">
        <x:v>02, 06, 07, 08, 12, 13, 16, 31</x:v>
      </x:c>
      <x:c r="AJ28" s="36" t="str">
        <x:v>Roadmap/Sprint Plan, tracking y acceptance matrices v0.3–v0.6</x:v>
      </x:c>
      <x:c r="AK28" s="27" t="str">
        <x:v>OPEN</x:v>
      </x:c>
      <x:c r="AL28" s="27" t="str">
        <x:v>WEEKLY</x:v>
      </x:c>
      <x:c r="AM28" s="40" t="str">
        <x:v>2026-07-01</x:v>
      </x:c>
      <x:c r="AN28" s="40" t="str">
        <x:v>2026-07-08</x:v>
      </x:c>
      <x:c r="AO28" s="27" t="str">
        <x:v>UNVERIFIED</x:v>
      </x:c>
      <x:c r="AP28" s="36" t="str">
        <x:v>Registro inicial consolidado; validar owner, controles y residual.</x:v>
      </x:c>
      <x:c r="AQ28" s="27" t="n">
        <x:f>IF(OR(M28="CRITICAL",W28="CRITICAL",Y28="OUTSIDE TOLERANCE",AK28="ESCALATED",AK28="ACCEPTANCE REQUESTED"),1,0)</x:f>
        <x:v>1</x:v>
      </x:c>
    </x:row>
    <x:row r="29">
      <x:c r="A29" s="27" t="str">
        <x:v>R-PRD-005</x:v>
      </x:c>
      <x:c r="B29" s="36" t="str">
        <x:v>Production &amp; Schedule</x:v>
      </x:c>
      <x:c r="C29" s="36" t="str">
        <x:v>Gate compression</x:v>
      </x:c>
      <x:c r="D29" s="36" t="str">
        <x:v>Existe el riesgo de que ocurra lo siguiente: QA y correcciones se comprimen al final.</x:v>
      </x:c>
      <x:c r="E29" s="36" t="str">
        <x:v>Release quality</x:v>
      </x:c>
      <x:c r="F29" s="36" t="str">
        <x:v>H6/Release</x:v>
      </x:c>
      <x:c r="G29" s="36" t="str">
        <x:v>Ausencia, degradación o incumplimiento de los controles definidos para gate compression.</x:v>
      </x:c>
      <x:c r="H29" s="36" t="str">
        <x:v>QA y correcciones se comprimen al final</x:v>
      </x:c>
      <x:c r="I29" s="36" t="str">
        <x:v>Puede afectar a Release quality, bloquear un gate, causar retrabajo, pérdida de datos/confianza o interrupción operativa.</x:v>
      </x:c>
      <x:c r="J29" s="38" t="n">
        <x:v>4</x:v>
      </x:c>
      <x:c r="K29" s="38" t="n">
        <x:v>5</x:v>
      </x:c>
      <x:c r="L29" s="38" t="n">
        <x:f>J29*K29</x:f>
        <x:v>20</x:v>
      </x:c>
      <x:c r="M29" s="27" t="str">
        <x:f>IF(L29&gt;=20,"CRITICAL",IF(L29&gt;=12,"HIGH",IF(L29&gt;=6,"MEDIUM","LOW")))</x:f>
        <x:v>CRITICAL</x:v>
      </x:c>
      <x:c r="N29" s="27" t="str">
        <x:v>FAST</x:v>
      </x:c>
      <x:c r="O29" s="27" t="str">
        <x:v>HARD</x:v>
      </x:c>
      <x:c r="P29" s="36" t="str">
        <x:v>Sprints cerrados, gates, Definition of Done, dependencias y criterios de aborto.</x:v>
      </x:c>
      <x:c r="Q29" s="27" t="str">
        <x:v>PARTIAL</x:v>
      </x:c>
      <x:c r="R29" s="27" t="str">
        <x:v>MITIGATE</x:v>
      </x:c>
      <x:c r="S29" s="36" t="str">
        <x:v>Re-secuenciar por dependencias, reducir alcance no contractual y proteger H6.</x:v>
      </x:c>
      <x:c r="T29" s="38" t="n">
        <x:v>4</x:v>
      </x:c>
      <x:c r="U29" s="38" t="n">
        <x:v>5</x:v>
      </x:c>
      <x:c r="V29" s="38" t="n">
        <x:f>T29*U29</x:f>
        <x:v>20</x:v>
      </x:c>
      <x:c r="W29" s="27" t="str">
        <x:f>IF(V29&gt;=20,"CRITICAL",IF(V29&gt;=12,"HIGH",IF(V29&gt;=6,"MEDIUM","LOW")))</x:f>
        <x:v>CRITICAL</x:v>
      </x:c>
      <x:c r="X29" s="27" t="str">
        <x:v>MODERATE</x:v>
      </x:c>
      <x:c r="Y29" s="27" t="str">
        <x:f>IF(X29="ZERO",IF(V29=0,"WITHIN TOLERANCE","OUTSIDE TOLERANCE"),IF(X29="LOW",IF(V29&lt;=4,"WITHIN TOLERANCE","OUTSIDE TOLERANCE"),IF(X29="MODERATE",IF(V29&lt;=9,"WITHIN TOLERANCE","OUTSIDE TOLERANCE"),IF(X29="HIGH",IF(V29&lt;=16,"WITHIN TOLERANCE","OUTSIDE TOLERANCE"),"REVIEW"))))</x:f>
        <x:v>OUTSIDE TOLERANCE</x:v>
      </x:c>
      <x:c r="Z29" s="36" t="str">
        <x:v>Production</x:v>
      </x:c>
      <x:c r="AA29" s="36" t="str">
        <x:v>Project Owner</x:v>
      </x:c>
      <x:c r="AB29" s="36" t="str">
        <x:v>Tiempo restante &lt; cobertura mínima</x:v>
      </x:c>
      <x:c r="AC29" s="36" t="str">
        <x:v>Umbral: evidencia positiva, tendencia adversa o gate bloqueado.</x:v>
      </x:c>
      <x:c r="AD29" s="36" t="str">
        <x:v>Triage de ruta crítica y actualización de gate.</x:v>
      </x:c>
      <x:c r="AE29" s="36" t="str">
        <x:v>Crear plan de recuperación de sprint con objetivos verificables y buffer.</x:v>
      </x:c>
      <x:c r="AF29" s="27" t="str">
        <x:v>BIA-03</x:v>
      </x:c>
      <x:c r="AG29" s="27" t="str">
        <x:v>PB-03</x:v>
      </x:c>
      <x:c r="AH29" s="27" t="str">
        <x:v>TA-PRD-005</x:v>
      </x:c>
      <x:c r="AI29" s="36" t="str">
        <x:v>02, 06, 07, 08, 12, 13, 16, 31</x:v>
      </x:c>
      <x:c r="AJ29" s="36" t="str">
        <x:v>Roadmap/Sprint Plan, tracking y acceptance matrices v0.3–v0.6</x:v>
      </x:c>
      <x:c r="AK29" s="27" t="str">
        <x:v>OPEN</x:v>
      </x:c>
      <x:c r="AL29" s="27" t="str">
        <x:v>WEEKLY</x:v>
      </x:c>
      <x:c r="AM29" s="40" t="str">
        <x:v>2026-07-01</x:v>
      </x:c>
      <x:c r="AN29" s="40" t="str">
        <x:v>2026-07-08</x:v>
      </x:c>
      <x:c r="AO29" s="27" t="str">
        <x:v>UNVERIFIED</x:v>
      </x:c>
      <x:c r="AP29" s="36" t="str">
        <x:v>Registro inicial consolidado; validar owner, controles y residual.</x:v>
      </x:c>
      <x:c r="AQ29" s="27" t="n">
        <x:f>IF(OR(M29="CRITICAL",W29="CRITICAL",Y29="OUTSIDE TOLERANCE",AK29="ESCALATED",AK29="ACCEPTANCE REQUESTED"),1,0)</x:f>
        <x:v>1</x:v>
      </x:c>
    </x:row>
    <x:row r="30">
      <x:c r="A30" s="27" t="str">
        <x:v>R-PRD-006</x:v>
      </x:c>
      <x:c r="B30" s="36" t="str">
        <x:v>Production &amp; Schedule</x:v>
      </x:c>
      <x:c r="C30" s="36" t="str">
        <x:v>Unplanned defects</x:v>
      </x:c>
      <x:c r="D30" s="36" t="str">
        <x:v>Existe el riesgo de que ocurra lo siguiente: Regresiones reabren capacidades cerradas.</x:v>
      </x:c>
      <x:c r="E30" s="36" t="str">
        <x:v>Sprint plan</x:v>
      </x:c>
      <x:c r="F30" s="36" t="str">
        <x:v>Development</x:v>
      </x:c>
      <x:c r="G30" s="36" t="str">
        <x:v>Ausencia, degradación o incumplimiento de los controles definidos para unplanned defects.</x:v>
      </x:c>
      <x:c r="H30" s="36" t="str">
        <x:v>Regresiones reabren capacidades cerradas</x:v>
      </x:c>
      <x:c r="I30" s="36" t="str">
        <x:v>Puede afectar a Sprint plan, bloquear un gate, causar retrabajo, pérdida de datos/confianza o interrupción operativa.</x:v>
      </x:c>
      <x:c r="J30" s="38" t="n">
        <x:v>4</x:v>
      </x:c>
      <x:c r="K30" s="38" t="n">
        <x:v>4</x:v>
      </x:c>
      <x:c r="L30" s="38" t="n">
        <x:f>J30*K30</x:f>
        <x:v>16</x:v>
      </x:c>
      <x:c r="M30" s="27" t="str">
        <x:f>IF(L30&gt;=20,"CRITICAL",IF(L30&gt;=12,"HIGH",IF(L30&gt;=6,"MEDIUM","LOW")))</x:f>
        <x:v>HIGH</x:v>
      </x:c>
      <x:c r="N30" s="27" t="str">
        <x:v>FAST</x:v>
      </x:c>
      <x:c r="O30" s="27" t="str">
        <x:v>HARD</x:v>
      </x:c>
      <x:c r="P30" s="36" t="str">
        <x:v>Sprints cerrados, gates, Definition of Done, dependencias y criterios de aborto.</x:v>
      </x:c>
      <x:c r="Q30" s="27" t="str">
        <x:v>PARTIAL</x:v>
      </x:c>
      <x:c r="R30" s="27" t="str">
        <x:v>MITIGATE</x:v>
      </x:c>
      <x:c r="S30" s="36" t="str">
        <x:v>Re-secuenciar por dependencias, reducir alcance no contractual y proteger H6.</x:v>
      </x:c>
      <x:c r="T30" s="38" t="n">
        <x:v>4</x:v>
      </x:c>
      <x:c r="U30" s="38" t="n">
        <x:v>4</x:v>
      </x:c>
      <x:c r="V30" s="38" t="n">
        <x:f>T30*U30</x:f>
        <x:v>16</x:v>
      </x:c>
      <x:c r="W30" s="27" t="str">
        <x:f>IF(V30&gt;=20,"CRITICAL",IF(V30&gt;=12,"HIGH",IF(V30&gt;=6,"MEDIUM","LOW")))</x:f>
        <x:v>HIGH</x:v>
      </x:c>
      <x:c r="X30" s="27" t="str">
        <x:v>MODERATE</x:v>
      </x:c>
      <x:c r="Y30" s="27" t="str">
        <x:f>IF(X30="ZERO",IF(V30=0,"WITHIN TOLERANCE","OUTSIDE TOLERANCE"),IF(X30="LOW",IF(V30&lt;=4,"WITHIN TOLERANCE","OUTSIDE TOLERANCE"),IF(X30="MODERATE",IF(V30&lt;=9,"WITHIN TOLERANCE","OUTSIDE TOLERANCE"),IF(X30="HIGH",IF(V30&lt;=16,"WITHIN TOLERANCE","OUTSIDE TOLERANCE"),"REVIEW"))))</x:f>
        <x:v>OUTSIDE TOLERANCE</x:v>
      </x:c>
      <x:c r="Z30" s="36" t="str">
        <x:v>Production</x:v>
      </x:c>
      <x:c r="AA30" s="36" t="str">
        <x:v>Project Owner</x:v>
      </x:c>
      <x:c r="AB30" s="36" t="str">
        <x:v>S1/S2 aparece en sistema CLOSED</x:v>
      </x:c>
      <x:c r="AC30" s="36" t="str">
        <x:v>Umbral: evidencia positiva, tendencia adversa o gate bloqueado.</x:v>
      </x:c>
      <x:c r="AD30" s="36" t="str">
        <x:v>Triage de ruta crítica y actualización de gate.</x:v>
      </x:c>
      <x:c r="AE30" s="36" t="str">
        <x:v>Crear plan de recuperación de sprint con objetivos verificables y buffer.</x:v>
      </x:c>
      <x:c r="AF30" s="27" t="str">
        <x:v>BIA-03</x:v>
      </x:c>
      <x:c r="AG30" s="27" t="str">
        <x:v>PB-03</x:v>
      </x:c>
      <x:c r="AH30" s="27" t="str">
        <x:v>TA-PRD-006</x:v>
      </x:c>
      <x:c r="AI30" s="36" t="str">
        <x:v>02, 06, 07, 08, 12, 13, 16, 31</x:v>
      </x:c>
      <x:c r="AJ30" s="36" t="str">
        <x:v>Roadmap/Sprint Plan, tracking y acceptance matrices v0.3–v0.6</x:v>
      </x:c>
      <x:c r="AK30" s="27" t="str">
        <x:v>OPEN</x:v>
      </x:c>
      <x:c r="AL30" s="27" t="str">
        <x:v>WEEKLY</x:v>
      </x:c>
      <x:c r="AM30" s="40" t="str">
        <x:v>2026-07-01</x:v>
      </x:c>
      <x:c r="AN30" s="40" t="str">
        <x:v>2026-07-08</x:v>
      </x:c>
      <x:c r="AO30" s="27" t="str">
        <x:v>UNVERIFIED</x:v>
      </x:c>
      <x:c r="AP30" s="36" t="str">
        <x:v>Registro inicial consolidado; validar owner, controles y residual.</x:v>
      </x:c>
      <x:c r="AQ30" s="27" t="n">
        <x:f>IF(OR(M30="CRITICAL",W30="CRITICAL",Y30="OUTSIDE TOLERANCE",AK30="ESCALATED",AK30="ACCEPTANCE REQUESTED"),1,0)</x:f>
        <x:v>1</x:v>
      </x:c>
    </x:row>
    <x:row r="31">
      <x:c r="A31" s="27" t="str">
        <x:v>R-PRD-007</x:v>
      </x:c>
      <x:c r="B31" s="36" t="str">
        <x:v>Production &amp; Schedule</x:v>
      </x:c>
      <x:c r="C31" s="36" t="str">
        <x:v>Evidence debt</x:v>
      </x:c>
      <x:c r="D31" s="36" t="str">
        <x:v>Existe el riesgo de que ocurra lo siguiente: Trabajo completado carece de logs, capturas o resultados.</x:v>
      </x:c>
      <x:c r="E31" s="36" t="str">
        <x:v>Auditability</x:v>
      </x:c>
      <x:c r="F31" s="36" t="str">
        <x:v>All</x:v>
      </x:c>
      <x:c r="G31" s="36" t="str">
        <x:v>Ausencia, degradación o incumplimiento de los controles definidos para evidence debt.</x:v>
      </x:c>
      <x:c r="H31" s="36" t="str">
        <x:v>Trabajo completado carece de logs, capturas o resultados</x:v>
      </x:c>
      <x:c r="I31" s="36" t="str">
        <x:v>Puede afectar a Auditability, bloquear un gate, causar retrabajo, pérdida de datos/confianza o interrupción operativa.</x:v>
      </x:c>
      <x:c r="J31" s="38" t="n">
        <x:v>4</x:v>
      </x:c>
      <x:c r="K31" s="38" t="n">
        <x:v>3</x:v>
      </x:c>
      <x:c r="L31" s="38" t="n">
        <x:f>J31*K31</x:f>
        <x:v>12</x:v>
      </x:c>
      <x:c r="M31" s="27" t="str">
        <x:f>IF(L31&gt;=20,"CRITICAL",IF(L31&gt;=12,"HIGH",IF(L31&gt;=6,"MEDIUM","LOW")))</x:f>
        <x:v>HIGH</x:v>
      </x:c>
      <x:c r="N31" s="27" t="str">
        <x:v>SLOW</x:v>
      </x:c>
      <x:c r="O31" s="27" t="str">
        <x:v>MODERATE</x:v>
      </x:c>
      <x:c r="P31" s="36" t="str">
        <x:v>Sprints cerrados, gates, Definition of Done, dependencias y criterios de aborto.</x:v>
      </x:c>
      <x:c r="Q31" s="27" t="str">
        <x:v>PARTIAL</x:v>
      </x:c>
      <x:c r="R31" s="27" t="str">
        <x:v>MITIGATE</x:v>
      </x:c>
      <x:c r="S31" s="36" t="str">
        <x:v>Re-secuenciar por dependencias, reducir alcance no contractual y proteger H6.</x:v>
      </x:c>
      <x:c r="T31" s="38" t="n">
        <x:v>4</x:v>
      </x:c>
      <x:c r="U31" s="38" t="n">
        <x:v>3</x:v>
      </x:c>
      <x:c r="V31" s="38" t="n">
        <x:f>T31*U31</x:f>
        <x:v>12</x:v>
      </x:c>
      <x:c r="W31" s="27" t="str">
        <x:f>IF(V31&gt;=20,"CRITICAL",IF(V31&gt;=12,"HIGH",IF(V31&gt;=6,"MEDIUM","LOW")))</x:f>
        <x:v>HIGH</x:v>
      </x:c>
      <x:c r="X31" s="27" t="str">
        <x:v>MODERATE</x:v>
      </x:c>
      <x:c r="Y31" s="27" t="str">
        <x:f>IF(X31="ZERO",IF(V31=0,"WITHIN TOLERANCE","OUTSIDE TOLERANCE"),IF(X31="LOW",IF(V31&lt;=4,"WITHIN TOLERANCE","OUTSIDE TOLERANCE"),IF(X31="MODERATE",IF(V31&lt;=9,"WITHIN TOLERANCE","OUTSIDE TOLERANCE"),IF(X31="HIGH",IF(V31&lt;=16,"WITHIN TOLERANCE","OUTSIDE TOLERANCE"),"REVIEW"))))</x:f>
        <x:v>OUTSIDE TOLERANCE</x:v>
      </x:c>
      <x:c r="Z31" s="36" t="str">
        <x:v>Production</x:v>
      </x:c>
      <x:c r="AA31" s="36" t="str">
        <x:v>Project Owner</x:v>
      </x:c>
      <x:c r="AB31" s="36" t="str">
        <x:v>Control marcado PASS sin evidencia</x:v>
      </x:c>
      <x:c r="AC31" s="36" t="str">
        <x:v>Umbral: evidencia positiva, tendencia adversa o gate bloqueado.</x:v>
      </x:c>
      <x:c r="AD31" s="36" t="str">
        <x:v>Triage de ruta crítica y actualización de gate.</x:v>
      </x:c>
      <x:c r="AE31" s="36" t="str">
        <x:v>Crear plan de recuperación de sprint con objetivos verificables y buffer.</x:v>
      </x:c>
      <x:c r="AF31" s="27" t="str">
        <x:v>BIA-03</x:v>
      </x:c>
      <x:c r="AG31" s="27" t="str">
        <x:v>PB-03</x:v>
      </x:c>
      <x:c r="AH31" s="27" t="str">
        <x:v>TA-PRD-007</x:v>
      </x:c>
      <x:c r="AI31" s="36" t="str">
        <x:v>02, 06, 07, 08, 12, 13, 16, 31</x:v>
      </x:c>
      <x:c r="AJ31" s="36" t="str">
        <x:v>Roadmap/Sprint Plan, tracking y acceptance matrices v0.3–v0.6</x:v>
      </x:c>
      <x:c r="AK31" s="27" t="str">
        <x:v>OPEN</x:v>
      </x:c>
      <x:c r="AL31" s="27" t="str">
        <x:v>MONTHLY</x:v>
      </x:c>
      <x:c r="AM31" s="40" t="str">
        <x:v>2026-07-01</x:v>
      </x:c>
      <x:c r="AN31" s="40" t="str">
        <x:v>2026-07-31</x:v>
      </x:c>
      <x:c r="AO31" s="27" t="str">
        <x:v>UNVERIFIED</x:v>
      </x:c>
      <x:c r="AP31" s="36" t="str">
        <x:v>Registro inicial consolidado; validar owner, controles y residual.</x:v>
      </x:c>
      <x:c r="AQ31" s="27" t="n">
        <x:f>IF(OR(M31="CRITICAL",W31="CRITICAL",Y31="OUTSIDE TOLERANCE",AK31="ESCALATED",AK31="ACCEPTANCE REQUESTED"),1,0)</x:f>
        <x:v>1</x:v>
      </x:c>
    </x:row>
    <x:row r="32">
      <x:c r="A32" s="27" t="str">
        <x:v>R-PRD-008</x:v>
      </x:c>
      <x:c r="B32" s="36" t="str">
        <x:v>Production &amp; Schedule</x:v>
      </x:c>
      <x:c r="C32" s="36" t="str">
        <x:v>Schedule drift</x:v>
      </x:c>
      <x:c r="D32" s="36" t="str">
        <x:v>Existe el riesgo de que ocurra lo siguiente: H6 se desplaza sin decisión explícita de alcance.</x:v>
      </x:c>
      <x:c r="E32" s="36" t="str">
        <x:v>Milestones</x:v>
      </x:c>
      <x:c r="F32" s="36" t="str">
        <x:v>Development</x:v>
      </x:c>
      <x:c r="G32" s="36" t="str">
        <x:v>Ausencia, degradación o incumplimiento de los controles definidos para schedule drift.</x:v>
      </x:c>
      <x:c r="H32" s="36" t="str">
        <x:v>H6 se desplaza sin decisión explícita de alcance</x:v>
      </x:c>
      <x:c r="I32" s="36" t="str">
        <x:v>Puede afectar a Milestones, bloquear un gate, causar retrabajo, pérdida de datos/confianza o interrupción operativa.</x:v>
      </x:c>
      <x:c r="J32" s="38" t="n">
        <x:v>3</x:v>
      </x:c>
      <x:c r="K32" s="38" t="n">
        <x:v>4</x:v>
      </x:c>
      <x:c r="L32" s="38" t="n">
        <x:f>J32*K32</x:f>
        <x:v>12</x:v>
      </x:c>
      <x:c r="M32" s="27" t="str">
        <x:f>IF(L32&gt;=20,"CRITICAL",IF(L32&gt;=12,"HIGH",IF(L32&gt;=6,"MEDIUM","LOW")))</x:f>
        <x:v>HIGH</x:v>
      </x:c>
      <x:c r="N32" s="27" t="str">
        <x:v>SLOW</x:v>
      </x:c>
      <x:c r="O32" s="27" t="str">
        <x:v>MODERATE</x:v>
      </x:c>
      <x:c r="P32" s="36" t="str">
        <x:v>Sprints cerrados, gates, Definition of Done, dependencias y criterios de aborto.</x:v>
      </x:c>
      <x:c r="Q32" s="27" t="str">
        <x:v>PARTIAL</x:v>
      </x:c>
      <x:c r="R32" s="27" t="str">
        <x:v>MITIGATE</x:v>
      </x:c>
      <x:c r="S32" s="36" t="str">
        <x:v>Re-secuenciar por dependencias, reducir alcance no contractual y proteger H6.</x:v>
      </x:c>
      <x:c r="T32" s="38" t="n">
        <x:v>3</x:v>
      </x:c>
      <x:c r="U32" s="38" t="n">
        <x:v>4</x:v>
      </x:c>
      <x:c r="V32" s="38" t="n">
        <x:f>T32*U32</x:f>
        <x:v>12</x:v>
      </x:c>
      <x:c r="W32" s="27" t="str">
        <x:f>IF(V32&gt;=20,"CRITICAL",IF(V32&gt;=12,"HIGH",IF(V32&gt;=6,"MEDIUM","LOW")))</x:f>
        <x:v>HIGH</x:v>
      </x:c>
      <x:c r="X32" s="27" t="str">
        <x:v>MODERATE</x:v>
      </x:c>
      <x:c r="Y32" s="27" t="str">
        <x:f>IF(X32="ZERO",IF(V32=0,"WITHIN TOLERANCE","OUTSIDE TOLERANCE"),IF(X32="LOW",IF(V32&lt;=4,"WITHIN TOLERANCE","OUTSIDE TOLERANCE"),IF(X32="MODERATE",IF(V32&lt;=9,"WITHIN TOLERANCE","OUTSIDE TOLERANCE"),IF(X32="HIGH",IF(V32&lt;=16,"WITHIN TOLERANCE","OUTSIDE TOLERANCE"),"REVIEW"))))</x:f>
        <x:v>OUTSIDE TOLERANCE</x:v>
      </x:c>
      <x:c r="Z32" s="36" t="str">
        <x:v>Production</x:v>
      </x:c>
      <x:c r="AA32" s="36" t="str">
        <x:v>Project Owner</x:v>
      </x:c>
      <x:c r="AB32" s="36" t="str">
        <x:v>Gate no progresa durante 2 revisiones</x:v>
      </x:c>
      <x:c r="AC32" s="36" t="str">
        <x:v>Umbral: evidencia positiva, tendencia adversa o gate bloqueado.</x:v>
      </x:c>
      <x:c r="AD32" s="36" t="str">
        <x:v>Triage de ruta crítica y actualización de gate.</x:v>
      </x:c>
      <x:c r="AE32" s="36" t="str">
        <x:v>Crear plan de recuperación de sprint con objetivos verificables y buffer.</x:v>
      </x:c>
      <x:c r="AF32" s="27" t="str">
        <x:v>BIA-03</x:v>
      </x:c>
      <x:c r="AG32" s="27" t="str">
        <x:v>PB-03</x:v>
      </x:c>
      <x:c r="AH32" s="27" t="str">
        <x:v>TA-PRD-008</x:v>
      </x:c>
      <x:c r="AI32" s="36" t="str">
        <x:v>02, 06, 07, 08, 12, 13, 16, 31</x:v>
      </x:c>
      <x:c r="AJ32" s="36" t="str">
        <x:v>Roadmap/Sprint Plan, tracking y acceptance matrices v0.3–v0.6</x:v>
      </x:c>
      <x:c r="AK32" s="27" t="str">
        <x:v>OPEN</x:v>
      </x:c>
      <x:c r="AL32" s="27" t="str">
        <x:v>MONTHLY</x:v>
      </x:c>
      <x:c r="AM32" s="40" t="str">
        <x:v>2026-07-01</x:v>
      </x:c>
      <x:c r="AN32" s="40" t="str">
        <x:v>2026-07-31</x:v>
      </x:c>
      <x:c r="AO32" s="27" t="str">
        <x:v>UNVERIFIED</x:v>
      </x:c>
      <x:c r="AP32" s="36" t="str">
        <x:v>Registro inicial consolidado; validar owner, controles y residual.</x:v>
      </x:c>
      <x:c r="AQ32" s="27" t="n">
        <x:f>IF(OR(M32="CRITICAL",W32="CRITICAL",Y32="OUTSIDE TOLERANCE",AK32="ESCALATED",AK32="ACCEPTANCE REQUESTED"),1,0)</x:f>
        <x:v>1</x:v>
      </x:c>
    </x:row>
    <x:row r="33">
      <x:c r="A33" s="27" t="str">
        <x:v>R-PRD-009</x:v>
      </x:c>
      <x:c r="B33" s="36" t="str">
        <x:v>Production &amp; Schedule</x:v>
      </x:c>
      <x:c r="C33" s="36" t="str">
        <x:v>Release calendar</x:v>
      </x:c>
      <x:c r="D33" s="36" t="str">
        <x:v>Existe el riesgo de que ocurra lo siguiente: Se fija fecha externa antes de validar build y Store.</x:v>
      </x:c>
      <x:c r="E33" s="36" t="str">
        <x:v>Reputation</x:v>
      </x:c>
      <x:c r="F33" s="36" t="str">
        <x:v>Publishing</x:v>
      </x:c>
      <x:c r="G33" s="36" t="str">
        <x:v>Ausencia, degradación o incumplimiento de los controles definidos para release calendar.</x:v>
      </x:c>
      <x:c r="H33" s="36" t="str">
        <x:v>Se fija fecha externa antes de validar build y Store</x:v>
      </x:c>
      <x:c r="I33" s="36" t="str">
        <x:v>Puede afectar a Reputation, bloquear un gate, causar retrabajo, pérdida de datos/confianza o interrupción operativa.</x:v>
      </x:c>
      <x:c r="J33" s="38" t="n">
        <x:v>2</x:v>
      </x:c>
      <x:c r="K33" s="38" t="n">
        <x:v>5</x:v>
      </x:c>
      <x:c r="L33" s="38" t="n">
        <x:f>J33*K33</x:f>
        <x:v>10</x:v>
      </x:c>
      <x:c r="M33" s="27" t="str">
        <x:f>IF(L33&gt;=20,"CRITICAL",IF(L33&gt;=12,"HIGH",IF(L33&gt;=6,"MEDIUM","LOW")))</x:f>
        <x:v>MEDIUM</x:v>
      </x:c>
      <x:c r="N33" s="27" t="str">
        <x:v>FAST</x:v>
      </x:c>
      <x:c r="O33" s="27" t="str">
        <x:v>HARD</x:v>
      </x:c>
      <x:c r="P33" s="36" t="str">
        <x:v>Sprints cerrados, gates, Definition of Done, dependencias y criterios de aborto.</x:v>
      </x:c>
      <x:c r="Q33" s="27" t="str">
        <x:v>PARTIAL</x:v>
      </x:c>
      <x:c r="R33" s="27" t="str">
        <x:v>MITIGATE</x:v>
      </x:c>
      <x:c r="S33" s="36" t="str">
        <x:v>Re-secuenciar por dependencias, reducir alcance no contractual y proteger H6.</x:v>
      </x:c>
      <x:c r="T33" s="38" t="n">
        <x:v>2</x:v>
      </x:c>
      <x:c r="U33" s="38" t="n">
        <x:v>5</x:v>
      </x:c>
      <x:c r="V33" s="38" t="n">
        <x:f>T33*U33</x:f>
        <x:v>10</x:v>
      </x:c>
      <x:c r="W33" s="27" t="str">
        <x:f>IF(V33&gt;=20,"CRITICAL",IF(V33&gt;=12,"HIGH",IF(V33&gt;=6,"MEDIUM","LOW")))</x:f>
        <x:v>MEDIUM</x:v>
      </x:c>
      <x:c r="X33" s="27" t="str">
        <x:v>MODERATE</x:v>
      </x:c>
      <x:c r="Y33" s="27" t="str">
        <x:f>IF(X33="ZERO",IF(V33=0,"WITHIN TOLERANCE","OUTSIDE TOLERANCE"),IF(X33="LOW",IF(V33&lt;=4,"WITHIN TOLERANCE","OUTSIDE TOLERANCE"),IF(X33="MODERATE",IF(V33&lt;=9,"WITHIN TOLERANCE","OUTSIDE TOLERANCE"),IF(X33="HIGH",IF(V33&lt;=16,"WITHIN TOLERANCE","OUTSIDE TOLERANCE"),"REVIEW"))))</x:f>
        <x:v>OUTSIDE TOLERANCE</x:v>
      </x:c>
      <x:c r="Z33" s="36" t="str">
        <x:v>Production</x:v>
      </x:c>
      <x:c r="AA33" s="36" t="str">
        <x:v>Project Owner</x:v>
      </x:c>
      <x:c r="AB33" s="36" t="str">
        <x:v>Anuncio de fecha sin RC</x:v>
      </x:c>
      <x:c r="AC33" s="36" t="str">
        <x:v>Umbral: evidencia positiva, tendencia adversa o gate bloqueado.</x:v>
      </x:c>
      <x:c r="AD33" s="36" t="str">
        <x:v>Triage de ruta crítica y actualización de gate.</x:v>
      </x:c>
      <x:c r="AE33" s="36" t="str">
        <x:v>Crear plan de recuperación de sprint con objetivos verificables y buffer.</x:v>
      </x:c>
      <x:c r="AF33" s="27" t="str">
        <x:v>BIA-03</x:v>
      </x:c>
      <x:c r="AG33" s="27" t="str">
        <x:v>PB-03</x:v>
      </x:c>
      <x:c r="AH33" s="27" t="str">
        <x:v>TA-PRD-009</x:v>
      </x:c>
      <x:c r="AI33" s="36" t="str">
        <x:v>02, 06, 07, 08, 12, 13, 16, 31</x:v>
      </x:c>
      <x:c r="AJ33" s="36" t="str">
        <x:v>Roadmap/Sprint Plan, tracking y acceptance matrices v0.3–v0.6</x:v>
      </x:c>
      <x:c r="AK33" s="27" t="str">
        <x:v>OPEN</x:v>
      </x:c>
      <x:c r="AL33" s="27" t="str">
        <x:v>WEEKLY</x:v>
      </x:c>
      <x:c r="AM33" s="40" t="str">
        <x:v>2026-07-01</x:v>
      </x:c>
      <x:c r="AN33" s="40" t="str">
        <x:v>2026-07-08</x:v>
      </x:c>
      <x:c r="AO33" s="27" t="str">
        <x:v>UNVERIFIED</x:v>
      </x:c>
      <x:c r="AP33" s="36" t="str">
        <x:v>Registro inicial consolidado; validar owner, controles y residual.</x:v>
      </x:c>
      <x:c r="AQ33" s="27" t="n">
        <x:f>IF(OR(M33="CRITICAL",W33="CRITICAL",Y33="OUTSIDE TOLERANCE",AK33="ESCALATED",AK33="ACCEPTANCE REQUESTED"),1,0)</x:f>
        <x:v>1</x:v>
      </x:c>
    </x:row>
    <x:row r="34">
      <x:c r="A34" s="27" t="str">
        <x:v>R-PRD-010</x:v>
      </x:c>
      <x:c r="B34" s="36" t="str">
        <x:v>Production &amp; Schedule</x:v>
      </x:c>
      <x:c r="C34" s="36" t="str">
        <x:v>Closure debt</x:v>
      </x:c>
      <x:c r="D34" s="36" t="str">
        <x:v>Existe el riesgo de que ocurra lo siguiente: Sprints/documentos quedan abiertos indefinidamente.</x:v>
      </x:c>
      <x:c r="E34" s="36" t="str">
        <x:v>Operational state</x:v>
      </x:c>
      <x:c r="F34" s="36" t="str">
        <x:v>All</x:v>
      </x:c>
      <x:c r="G34" s="36" t="str">
        <x:v>Ausencia, degradación o incumplimiento de los controles definidos para closure debt.</x:v>
      </x:c>
      <x:c r="H34" s="36" t="str">
        <x:v>Sprints/documentos quedan abiertos indefinidamente</x:v>
      </x:c>
      <x:c r="I34" s="36" t="str">
        <x:v>Puede afectar a Operational state, bloquear un gate, causar retrabajo, pérdida de datos/confianza o interrupción operativa.</x:v>
      </x:c>
      <x:c r="J34" s="38" t="n">
        <x:v>3</x:v>
      </x:c>
      <x:c r="K34" s="38" t="n">
        <x:v>3</x:v>
      </x:c>
      <x:c r="L34" s="38" t="n">
        <x:f>J34*K34</x:f>
        <x:v>9</x:v>
      </x:c>
      <x:c r="M34" s="27" t="str">
        <x:f>IF(L34&gt;=20,"CRITICAL",IF(L34&gt;=12,"HIGH",IF(L34&gt;=6,"MEDIUM","LOW")))</x:f>
        <x:v>MEDIUM</x:v>
      </x:c>
      <x:c r="N34" s="27" t="str">
        <x:v>SLOW</x:v>
      </x:c>
      <x:c r="O34" s="27" t="str">
        <x:v>MODERATE</x:v>
      </x:c>
      <x:c r="P34" s="36" t="str">
        <x:v>Sprints cerrados, gates, Definition of Done, dependencias y criterios de aborto.</x:v>
      </x:c>
      <x:c r="Q34" s="27" t="str">
        <x:v>PARTIAL</x:v>
      </x:c>
      <x:c r="R34" s="27" t="str">
        <x:v>MITIGATE</x:v>
      </x:c>
      <x:c r="S34" s="36" t="str">
        <x:v>Re-secuenciar por dependencias, reducir alcance no contractual y proteger H6.</x:v>
      </x:c>
      <x:c r="T34" s="38" t="n">
        <x:v>3</x:v>
      </x:c>
      <x:c r="U34" s="38" t="n">
        <x:v>3</x:v>
      </x:c>
      <x:c r="V34" s="38" t="n">
        <x:f>T34*U34</x:f>
        <x:v>9</x:v>
      </x:c>
      <x:c r="W34" s="27" t="str">
        <x:f>IF(V34&gt;=20,"CRITICAL",IF(V34&gt;=12,"HIGH",IF(V34&gt;=6,"MEDIUM","LOW")))</x:f>
        <x:v>MEDIUM</x:v>
      </x:c>
      <x:c r="X34" s="27" t="str">
        <x:v>MODERATE</x:v>
      </x:c>
      <x:c r="Y34" s="27" t="str">
        <x:f>IF(X34="ZERO",IF(V34=0,"WITHIN TOLERANCE","OUTSIDE TOLERANCE"),IF(X34="LOW",IF(V34&lt;=4,"WITHIN TOLERANCE","OUTSIDE TOLERANCE"),IF(X34="MODERATE",IF(V34&lt;=9,"WITHIN TOLERANCE","OUTSIDE TOLERANCE"),IF(X34="HIGH",IF(V34&lt;=16,"WITHIN TOLERANCE","OUTSIDE TOLERANCE"),"REVIEW"))))</x:f>
        <x:v>WITHIN TOLERANCE</x:v>
      </x:c>
      <x:c r="Z34" s="36" t="str">
        <x:v>Production</x:v>
      </x:c>
      <x:c r="AA34" s="36" t="str">
        <x:v>Project Owner</x:v>
      </x:c>
      <x:c r="AB34" s="36" t="str">
        <x:v>Cierre pendiente &gt; 1 ciclo</x:v>
      </x:c>
      <x:c r="AC34" s="36" t="str">
        <x:v>Umbral: evidencia positiva, tendencia adversa o gate bloqueado.</x:v>
      </x:c>
      <x:c r="AD34" s="36" t="str">
        <x:v>Triage de ruta crítica y actualización de gate.</x:v>
      </x:c>
      <x:c r="AE34" s="36" t="str">
        <x:v>Crear plan de recuperación de sprint con objetivos verificables y buffer.</x:v>
      </x:c>
      <x:c r="AF34" s="27" t="str">
        <x:v>BIA-03</x:v>
      </x:c>
      <x:c r="AG34" s="27" t="str">
        <x:v>PB-03</x:v>
      </x:c>
      <x:c r="AH34" s="27" t="str">
        <x:v>TA-PRD-010</x:v>
      </x:c>
      <x:c r="AI34" s="36" t="str">
        <x:v>02, 06, 07, 08, 12, 13, 16, 31</x:v>
      </x:c>
      <x:c r="AJ34" s="36" t="str">
        <x:v>Roadmap/Sprint Plan, tracking y acceptance matrices v0.3–v0.6</x:v>
      </x:c>
      <x:c r="AK34" s="27" t="str">
        <x:v>OPEN</x:v>
      </x:c>
      <x:c r="AL34" s="27" t="str">
        <x:v>MONTHLY</x:v>
      </x:c>
      <x:c r="AM34" s="40" t="str">
        <x:v>2026-07-01</x:v>
      </x:c>
      <x:c r="AN34" s="40" t="str">
        <x:v>2026-07-31</x:v>
      </x:c>
      <x:c r="AO34" s="27" t="str">
        <x:v>UNVERIFIED</x:v>
      </x:c>
      <x:c r="AP34" s="36" t="str">
        <x:v>Registro inicial consolidado; validar owner, controles y residual.</x:v>
      </x:c>
      <x:c r="AQ34" s="27" t="n">
        <x:f>IF(OR(M34="CRITICAL",W34="CRITICAL",Y34="OUTSIDE TOLERANCE",AK34="ESCALATED",AK34="ACCEPTANCE REQUESTED"),1,0)</x:f>
        <x:v>0</x:v>
      </x:c>
    </x:row>
    <x:row r="35">
      <x:c r="A35" s="27" t="str">
        <x:v>R-TEC-001</x:v>
      </x:c>
      <x:c r="B35" s="36" t="str">
        <x:v>Architecture &amp; Toolchain</x:v>
      </x:c>
      <x:c r="C35" s="36" t="str">
        <x:v>Unity version</x:v>
      </x:c>
      <x:c r="D35" s="36" t="str">
        <x:v>Existe el riesgo de que ocurra lo siguiente: Upgrade de Unity cambia comportamiento o rompe build.</x:v>
      </x:c>
      <x:c r="E35" s="36" t="str">
        <x:v>Unity project</x:v>
      </x:c>
      <x:c r="F35" s="36" t="str">
        <x:v>Development</x:v>
      </x:c>
      <x:c r="G35" s="36" t="str">
        <x:v>Ausencia, degradación o incumplimiento de los controles definidos para unity version.</x:v>
      </x:c>
      <x:c r="H35" s="36" t="str">
        <x:v>Upgrade de Unity cambia comportamiento o rompe build</x:v>
      </x:c>
      <x:c r="I35" s="36" t="str">
        <x:v>Puede afectar a Unity project, bloquear un gate, causar retrabajo, pérdida de datos/confianza o interrupción operativa.</x:v>
      </x:c>
      <x:c r="J35" s="38" t="n">
        <x:v>3</x:v>
      </x:c>
      <x:c r="K35" s="38" t="n">
        <x:v>5</x:v>
      </x:c>
      <x:c r="L35" s="38" t="n">
        <x:f>J35*K35</x:f>
        <x:v>15</x:v>
      </x:c>
      <x:c r="M35" s="27" t="str">
        <x:f>IF(L35&gt;=20,"CRITICAL",IF(L35&gt;=12,"HIGH",IF(L35&gt;=6,"MEDIUM","LOW")))</x:f>
        <x:v>HIGH</x:v>
      </x:c>
      <x:c r="N35" s="27" t="str">
        <x:v>FAST</x:v>
      </x:c>
      <x:c r="O35" s="27" t="str">
        <x:v>HARD</x:v>
      </x:c>
      <x:c r="P35" s="36" t="str">
        <x:v>Arquitectura por servicios, ADR, lock de paquetes, setup reproducible y CI/build records.</x:v>
      </x:c>
      <x:c r="Q35" s="27" t="str">
        <x:v>PARTIAL</x:v>
      </x:c>
      <x:c r="R35" s="27" t="str">
        <x:v>MITIGATE</x:v>
      </x:c>
      <x:c r="S35" s="36" t="str">
        <x:v>Aislar cambio, reproducir en entorno limpio, fijar versión y revertir si rompe gate.</x:v>
      </x:c>
      <x:c r="T35" s="38" t="n">
        <x:v>3</x:v>
      </x:c>
      <x:c r="U35" s="38" t="n">
        <x:v>5</x:v>
      </x:c>
      <x:c r="V35" s="38" t="n">
        <x:f>T35*U35</x:f>
        <x:v>15</x:v>
      </x:c>
      <x:c r="W35" s="27" t="str">
        <x:f>IF(V35&gt;=20,"CRITICAL",IF(V35&gt;=12,"HIGH",IF(V35&gt;=6,"MEDIUM","LOW")))</x:f>
        <x:v>HIGH</x:v>
      </x:c>
      <x:c r="X35" s="27" t="str">
        <x:v>LOW</x:v>
      </x:c>
      <x:c r="Y35" s="27" t="str">
        <x:f>IF(X35="ZERO",IF(V35=0,"WITHIN TOLERANCE","OUTSIDE TOLERANCE"),IF(X35="LOW",IF(V35&lt;=4,"WITHIN TOLERANCE","OUTSIDE TOLERANCE"),IF(X35="MODERATE",IF(V35&lt;=9,"WITHIN TOLERANCE","OUTSIDE TOLERANCE"),IF(X35="HIGH",IF(V35&lt;=16,"WITHIN TOLERANCE","OUTSIDE TOLERANCE"),"REVIEW"))))</x:f>
        <x:v>OUTSIDE TOLERANCE</x:v>
      </x:c>
      <x:c r="Z35" s="36" t="str">
        <x:v>Engineering</x:v>
      </x:c>
      <x:c r="AA35" s="36" t="str">
        <x:v>Build / Project Owner</x:v>
      </x:c>
      <x:c r="AB35" s="36" t="str">
        <x:v>Versión distinta a 6000.3.18f1</x:v>
      </x:c>
      <x:c r="AC35" s="36" t="str">
        <x:v>Umbral: evidencia positiva, tendencia adversa o gate bloqueado.</x:v>
      </x:c>
      <x:c r="AD35" s="36" t="str">
        <x:v>Congelar upgrades y reproducir con manifest/lock conocidos.</x:v>
      </x:c>
      <x:c r="AE35" s="36" t="str">
        <x:v>Restaurar versión Unity/paquetes y commit conocido; reconstruir desde cero.</x:v>
      </x:c>
      <x:c r="AF35" s="27" t="str">
        <x:v>BIA-04</x:v>
      </x:c>
      <x:c r="AG35" s="27" t="str">
        <x:v>PB-04</x:v>
      </x:c>
      <x:c r="AH35" s="27" t="str">
        <x:v>TA-TEC-001</x:v>
      </x:c>
      <x:c r="AI35" s="36" t="str">
        <x:v>03, 09, 10, 11, 13, 27, 30, 31</x:v>
      </x:c>
      <x:c r="AJ35" s="36" t="str">
        <x:v>TDD, setup, coding/build guides, ADR y build records</x:v>
      </x:c>
      <x:c r="AK35" s="27" t="str">
        <x:v>OPEN</x:v>
      </x:c>
      <x:c r="AL35" s="27" t="str">
        <x:v>WEEKLY</x:v>
      </x:c>
      <x:c r="AM35" s="40" t="str">
        <x:v>2026-07-01</x:v>
      </x:c>
      <x:c r="AN35" s="40" t="str">
        <x:v>2026-07-08</x:v>
      </x:c>
      <x:c r="AO35" s="27" t="str">
        <x:v>UNVERIFIED</x:v>
      </x:c>
      <x:c r="AP35" s="36" t="str">
        <x:v>Registro inicial consolidado; validar owner, controles y residual.</x:v>
      </x:c>
      <x:c r="AQ35" s="27" t="n">
        <x:f>IF(OR(M35="CRITICAL",W35="CRITICAL",Y35="OUTSIDE TOLERANCE",AK35="ESCALATED",AK35="ACCEPTANCE REQUESTED"),1,0)</x:f>
        <x:v>1</x:v>
      </x:c>
    </x:row>
    <x:row r="36">
      <x:c r="A36" s="27" t="str">
        <x:v>R-TEC-002</x:v>
      </x:c>
      <x:c r="B36" s="36" t="str">
        <x:v>Architecture &amp; Toolchain</x:v>
      </x:c>
      <x:c r="C36" s="36" t="str">
        <x:v>Package drift</x:v>
      </x:c>
      <x:c r="D36" s="36" t="str">
        <x:v>Existe el riesgo de que ocurra lo siguiente: manifest/lock divergen entre entornos.</x:v>
      </x:c>
      <x:c r="E36" s="36" t="str">
        <x:v>Dependencies</x:v>
      </x:c>
      <x:c r="F36" s="36" t="str">
        <x:v>Development</x:v>
      </x:c>
      <x:c r="G36" s="36" t="str">
        <x:v>Ausencia, degradación o incumplimiento de los controles definidos para package drift.</x:v>
      </x:c>
      <x:c r="H36" s="36" t="str">
        <x:v>manifest/lock divergen entre entornos</x:v>
      </x:c>
      <x:c r="I36" s="36" t="str">
        <x:v>Puede afectar a Dependencies, bloquear un gate, causar retrabajo, pérdida de datos/confianza o interrupción operativa.</x:v>
      </x:c>
      <x:c r="J36" s="38" t="n">
        <x:v>3</x:v>
      </x:c>
      <x:c r="K36" s="38" t="n">
        <x:v>5</x:v>
      </x:c>
      <x:c r="L36" s="38" t="n">
        <x:f>J36*K36</x:f>
        <x:v>15</x:v>
      </x:c>
      <x:c r="M36" s="27" t="str">
        <x:f>IF(L36&gt;=20,"CRITICAL",IF(L36&gt;=12,"HIGH",IF(L36&gt;=6,"MEDIUM","LOW")))</x:f>
        <x:v>HIGH</x:v>
      </x:c>
      <x:c r="N36" s="27" t="str">
        <x:v>FAST</x:v>
      </x:c>
      <x:c r="O36" s="27" t="str">
        <x:v>HARD</x:v>
      </x:c>
      <x:c r="P36" s="36" t="str">
        <x:v>Arquitectura por servicios, ADR, lock de paquetes, setup reproducible y CI/build records.</x:v>
      </x:c>
      <x:c r="Q36" s="27" t="str">
        <x:v>PARTIAL</x:v>
      </x:c>
      <x:c r="R36" s="27" t="str">
        <x:v>MITIGATE</x:v>
      </x:c>
      <x:c r="S36" s="36" t="str">
        <x:v>Aislar cambio, reproducir en entorno limpio, fijar versión y revertir si rompe gate.</x:v>
      </x:c>
      <x:c r="T36" s="38" t="n">
        <x:v>3</x:v>
      </x:c>
      <x:c r="U36" s="38" t="n">
        <x:v>5</x:v>
      </x:c>
      <x:c r="V36" s="38" t="n">
        <x:f>T36*U36</x:f>
        <x:v>15</x:v>
      </x:c>
      <x:c r="W36" s="27" t="str">
        <x:f>IF(V36&gt;=20,"CRITICAL",IF(V36&gt;=12,"HIGH",IF(V36&gt;=6,"MEDIUM","LOW")))</x:f>
        <x:v>HIGH</x:v>
      </x:c>
      <x:c r="X36" s="27" t="str">
        <x:v>LOW</x:v>
      </x:c>
      <x:c r="Y36" s="27" t="str">
        <x:f>IF(X36="ZERO",IF(V36=0,"WITHIN TOLERANCE","OUTSIDE TOLERANCE"),IF(X36="LOW",IF(V36&lt;=4,"WITHIN TOLERANCE","OUTSIDE TOLERANCE"),IF(X36="MODERATE",IF(V36&lt;=9,"WITHIN TOLERANCE","OUTSIDE TOLERANCE"),IF(X36="HIGH",IF(V36&lt;=16,"WITHIN TOLERANCE","OUTSIDE TOLERANCE"),"REVIEW"))))</x:f>
        <x:v>OUTSIDE TOLERANCE</x:v>
      </x:c>
      <x:c r="Z36" s="36" t="str">
        <x:v>Engineering</x:v>
      </x:c>
      <x:c r="AA36" s="36" t="str">
        <x:v>Build / Project Owner</x:v>
      </x:c>
      <x:c r="AB36" s="36" t="str">
        <x:v>Paquete cambia sin ADR/build limpio</x:v>
      </x:c>
      <x:c r="AC36" s="36" t="str">
        <x:v>Umbral: evidencia positiva, tendencia adversa o gate bloqueado.</x:v>
      </x:c>
      <x:c r="AD36" s="36" t="str">
        <x:v>Congelar upgrades y reproducir con manifest/lock conocidos.</x:v>
      </x:c>
      <x:c r="AE36" s="36" t="str">
        <x:v>Restaurar versión Unity/paquetes y commit conocido; reconstruir desde cero.</x:v>
      </x:c>
      <x:c r="AF36" s="27" t="str">
        <x:v>BIA-04</x:v>
      </x:c>
      <x:c r="AG36" s="27" t="str">
        <x:v>PB-04</x:v>
      </x:c>
      <x:c r="AH36" s="27" t="str">
        <x:v>TA-TEC-002</x:v>
      </x:c>
      <x:c r="AI36" s="36" t="str">
        <x:v>03, 09, 10, 11, 13, 27, 30, 31</x:v>
      </x:c>
      <x:c r="AJ36" s="36" t="str">
        <x:v>TDD, setup, coding/build guides, ADR y build records</x:v>
      </x:c>
      <x:c r="AK36" s="27" t="str">
        <x:v>OPEN</x:v>
      </x:c>
      <x:c r="AL36" s="27" t="str">
        <x:v>WEEKLY</x:v>
      </x:c>
      <x:c r="AM36" s="40" t="str">
        <x:v>2026-07-01</x:v>
      </x:c>
      <x:c r="AN36" s="40" t="str">
        <x:v>2026-07-08</x:v>
      </x:c>
      <x:c r="AO36" s="27" t="str">
        <x:v>UNVERIFIED</x:v>
      </x:c>
      <x:c r="AP36" s="36" t="str">
        <x:v>Registro inicial consolidado; validar owner, controles y residual.</x:v>
      </x:c>
      <x:c r="AQ36" s="27" t="n">
        <x:f>IF(OR(M36="CRITICAL",W36="CRITICAL",Y36="OUTSIDE TOLERANCE",AK36="ESCALATED",AK36="ACCEPTANCE REQUESTED"),1,0)</x:f>
        <x:v>1</x:v>
      </x:c>
    </x:row>
    <x:row r="37">
      <x:c r="A37" s="27" t="str">
        <x:v>R-TEC-003</x:v>
      </x:c>
      <x:c r="B37" s="36" t="str">
        <x:v>Architecture &amp; Toolchain</x:v>
      </x:c>
      <x:c r="C37" s="36" t="str">
        <x:v>Repository integrity</x:v>
      </x:c>
      <x:c r="D37" s="36" t="str">
        <x:v>Existe el riesgo de que ocurra lo siguiente: Rama principal contiene estado no compilable.</x:v>
      </x:c>
      <x:c r="E37" s="36" t="str">
        <x:v>Source code</x:v>
      </x:c>
      <x:c r="F37" s="36" t="str">
        <x:v>Development</x:v>
      </x:c>
      <x:c r="G37" s="36" t="str">
        <x:v>Ausencia, degradación o incumplimiento de los controles definidos para repository integrity.</x:v>
      </x:c>
      <x:c r="H37" s="36" t="str">
        <x:v>Rama principal contiene estado no compilable</x:v>
      </x:c>
      <x:c r="I37" s="36" t="str">
        <x:v>Puede afectar a Source code, bloquear un gate, causar retrabajo, pérdida de datos/confianza o interrupción operativa.</x:v>
      </x:c>
      <x:c r="J37" s="38" t="n">
        <x:v>3</x:v>
      </x:c>
      <x:c r="K37" s="38" t="n">
        <x:v>5</x:v>
      </x:c>
      <x:c r="L37" s="38" t="n">
        <x:f>J37*K37</x:f>
        <x:v>15</x:v>
      </x:c>
      <x:c r="M37" s="27" t="str">
        <x:f>IF(L37&gt;=20,"CRITICAL",IF(L37&gt;=12,"HIGH",IF(L37&gt;=6,"MEDIUM","LOW")))</x:f>
        <x:v>HIGH</x:v>
      </x:c>
      <x:c r="N37" s="27" t="str">
        <x:v>FAST</x:v>
      </x:c>
      <x:c r="O37" s="27" t="str">
        <x:v>HARD</x:v>
      </x:c>
      <x:c r="P37" s="36" t="str">
        <x:v>Arquitectura por servicios, ADR, lock de paquetes, setup reproducible y CI/build records.</x:v>
      </x:c>
      <x:c r="Q37" s="27" t="str">
        <x:v>PARTIAL</x:v>
      </x:c>
      <x:c r="R37" s="27" t="str">
        <x:v>MITIGATE</x:v>
      </x:c>
      <x:c r="S37" s="36" t="str">
        <x:v>Aislar cambio, reproducir en entorno limpio, fijar versión y revertir si rompe gate.</x:v>
      </x:c>
      <x:c r="T37" s="38" t="n">
        <x:v>3</x:v>
      </x:c>
      <x:c r="U37" s="38" t="n">
        <x:v>5</x:v>
      </x:c>
      <x:c r="V37" s="38" t="n">
        <x:f>T37*U37</x:f>
        <x:v>15</x:v>
      </x:c>
      <x:c r="W37" s="27" t="str">
        <x:f>IF(V37&gt;=20,"CRITICAL",IF(V37&gt;=12,"HIGH",IF(V37&gt;=6,"MEDIUM","LOW")))</x:f>
        <x:v>HIGH</x:v>
      </x:c>
      <x:c r="X37" s="27" t="str">
        <x:v>LOW</x:v>
      </x:c>
      <x:c r="Y37" s="27" t="str">
        <x:f>IF(X37="ZERO",IF(V37=0,"WITHIN TOLERANCE","OUTSIDE TOLERANCE"),IF(X37="LOW",IF(V37&lt;=4,"WITHIN TOLERANCE","OUTSIDE TOLERANCE"),IF(X37="MODERATE",IF(V37&lt;=9,"WITHIN TOLERANCE","OUTSIDE TOLERANCE"),IF(X37="HIGH",IF(V37&lt;=16,"WITHIN TOLERANCE","OUTSIDE TOLERANCE"),"REVIEW"))))</x:f>
        <x:v>OUTSIDE TOLERANCE</x:v>
      </x:c>
      <x:c r="Z37" s="36" t="str">
        <x:v>Engineering</x:v>
      </x:c>
      <x:c r="AA37" s="36" t="str">
        <x:v>Build / Project Owner</x:v>
      </x:c>
      <x:c r="AB37" s="36" t="str">
        <x:v>CI/build smoke falla</x:v>
      </x:c>
      <x:c r="AC37" s="36" t="str">
        <x:v>Umbral: evidencia positiva, tendencia adversa o gate bloqueado.</x:v>
      </x:c>
      <x:c r="AD37" s="36" t="str">
        <x:v>Congelar upgrades y reproducir con manifest/lock conocidos.</x:v>
      </x:c>
      <x:c r="AE37" s="36" t="str">
        <x:v>Restaurar versión Unity/paquetes y commit conocido; reconstruir desde cero.</x:v>
      </x:c>
      <x:c r="AF37" s="27" t="str">
        <x:v>BIA-04</x:v>
      </x:c>
      <x:c r="AG37" s="27" t="str">
        <x:v>PB-04</x:v>
      </x:c>
      <x:c r="AH37" s="27" t="str">
        <x:v>TA-TEC-003</x:v>
      </x:c>
      <x:c r="AI37" s="36" t="str">
        <x:v>03, 09, 10, 11, 13, 27, 30, 31</x:v>
      </x:c>
      <x:c r="AJ37" s="36" t="str">
        <x:v>TDD, setup, coding/build guides, ADR y build records</x:v>
      </x:c>
      <x:c r="AK37" s="27" t="str">
        <x:v>OPEN</x:v>
      </x:c>
      <x:c r="AL37" s="27" t="str">
        <x:v>WEEKLY</x:v>
      </x:c>
      <x:c r="AM37" s="40" t="str">
        <x:v>2026-07-01</x:v>
      </x:c>
      <x:c r="AN37" s="40" t="str">
        <x:v>2026-07-08</x:v>
      </x:c>
      <x:c r="AO37" s="27" t="str">
        <x:v>UNVERIFIED</x:v>
      </x:c>
      <x:c r="AP37" s="36" t="str">
        <x:v>Registro inicial consolidado; validar owner, controles y residual.</x:v>
      </x:c>
      <x:c r="AQ37" s="27" t="n">
        <x:f>IF(OR(M37="CRITICAL",W37="CRITICAL",Y37="OUTSIDE TOLERANCE",AK37="ESCALATED",AK37="ACCEPTANCE REQUESTED"),1,0)</x:f>
        <x:v>1</x:v>
      </x:c>
    </x:row>
    <x:row r="38">
      <x:c r="A38" s="27" t="str">
        <x:v>R-TEC-004</x:v>
      </x:c>
      <x:c r="B38" s="36" t="str">
        <x:v>Architecture &amp; Toolchain</x:v>
      </x:c>
      <x:c r="C38" s="36" t="str">
        <x:v>Scene coupling</x:v>
      </x:c>
      <x:c r="D38" s="36" t="str">
        <x:v>Existe el riesgo de que ocurra lo siguiente: Servicios dependen de nombres/referencias frágiles.</x:v>
      </x:c>
      <x:c r="E38" s="36" t="str">
        <x:v>Runtime architecture</x:v>
      </x:c>
      <x:c r="F38" s="36" t="str">
        <x:v>Development</x:v>
      </x:c>
      <x:c r="G38" s="36" t="str">
        <x:v>Ausencia, degradación o incumplimiento de los controles definidos para scene coupling.</x:v>
      </x:c>
      <x:c r="H38" s="36" t="str">
        <x:v>Servicios dependen de nombres/referencias frágiles</x:v>
      </x:c>
      <x:c r="I38" s="36" t="str">
        <x:v>Puede afectar a Runtime architecture, bloquear un gate, causar retrabajo, pérdida de datos/confianza o interrupción operativa.</x:v>
      </x:c>
      <x:c r="J38" s="38" t="n">
        <x:v>4</x:v>
      </x:c>
      <x:c r="K38" s="38" t="n">
        <x:v>4</x:v>
      </x:c>
      <x:c r="L38" s="38" t="n">
        <x:f>J38*K38</x:f>
        <x:v>16</x:v>
      </x:c>
      <x:c r="M38" s="27" t="str">
        <x:f>IF(L38&gt;=20,"CRITICAL",IF(L38&gt;=12,"HIGH",IF(L38&gt;=6,"MEDIUM","LOW")))</x:f>
        <x:v>HIGH</x:v>
      </x:c>
      <x:c r="N38" s="27" t="str">
        <x:v>MEDIUM</x:v>
      </x:c>
      <x:c r="O38" s="27" t="str">
        <x:v>MODERATE</x:v>
      </x:c>
      <x:c r="P38" s="36" t="str">
        <x:v>Arquitectura por servicios, ADR, lock de paquetes, setup reproducible y CI/build records.</x:v>
      </x:c>
      <x:c r="Q38" s="27" t="str">
        <x:v>PARTIAL</x:v>
      </x:c>
      <x:c r="R38" s="27" t="str">
        <x:v>MITIGATE</x:v>
      </x:c>
      <x:c r="S38" s="36" t="str">
        <x:v>Aislar cambio, reproducir en entorno limpio, fijar versión y revertir si rompe gate.</x:v>
      </x:c>
      <x:c r="T38" s="38" t="n">
        <x:v>4</x:v>
      </x:c>
      <x:c r="U38" s="38" t="n">
        <x:v>4</x:v>
      </x:c>
      <x:c r="V38" s="38" t="n">
        <x:f>T38*U38</x:f>
        <x:v>16</x:v>
      </x:c>
      <x:c r="W38" s="27" t="str">
        <x:f>IF(V38&gt;=20,"CRITICAL",IF(V38&gt;=12,"HIGH",IF(V38&gt;=6,"MEDIUM","LOW")))</x:f>
        <x:v>HIGH</x:v>
      </x:c>
      <x:c r="X38" s="27" t="str">
        <x:v>LOW</x:v>
      </x:c>
      <x:c r="Y38" s="27" t="str">
        <x:f>IF(X38="ZERO",IF(V38=0,"WITHIN TOLERANCE","OUTSIDE TOLERANCE"),IF(X38="LOW",IF(V38&lt;=4,"WITHIN TOLERANCE","OUTSIDE TOLERANCE"),IF(X38="MODERATE",IF(V38&lt;=9,"WITHIN TOLERANCE","OUTSIDE TOLERANCE"),IF(X38="HIGH",IF(V38&lt;=16,"WITHIN TOLERANCE","OUTSIDE TOLERANCE"),"REVIEW"))))</x:f>
        <x:v>OUTSIDE TOLERANCE</x:v>
      </x:c>
      <x:c r="Z38" s="36" t="str">
        <x:v>Engineering</x:v>
      </x:c>
      <x:c r="AA38" s="36" t="str">
        <x:v>Build / Project Owner</x:v>
      </x:c>
      <x:c r="AB38" s="36" t="str">
        <x:v>NullReference tras escena/prefab change</x:v>
      </x:c>
      <x:c r="AC38" s="36" t="str">
        <x:v>Umbral: evidencia positiva, tendencia adversa o gate bloqueado.</x:v>
      </x:c>
      <x:c r="AD38" s="36" t="str">
        <x:v>Congelar upgrades y reproducir con manifest/lock conocidos.</x:v>
      </x:c>
      <x:c r="AE38" s="36" t="str">
        <x:v>Restaurar versión Unity/paquetes y commit conocido; reconstruir desde cero.</x:v>
      </x:c>
      <x:c r="AF38" s="27" t="str">
        <x:v>BIA-04</x:v>
      </x:c>
      <x:c r="AG38" s="27" t="str">
        <x:v>PB-04</x:v>
      </x:c>
      <x:c r="AH38" s="27" t="str">
        <x:v>TA-TEC-004</x:v>
      </x:c>
      <x:c r="AI38" s="36" t="str">
        <x:v>03, 09, 10, 11, 13, 27, 30, 31</x:v>
      </x:c>
      <x:c r="AJ38" s="36" t="str">
        <x:v>TDD, setup, coding/build guides, ADR y build records</x:v>
      </x:c>
      <x:c r="AK38" s="27" t="str">
        <x:v>OPEN</x:v>
      </x:c>
      <x:c r="AL38" s="27" t="str">
        <x:v>WEEKLY</x:v>
      </x:c>
      <x:c r="AM38" s="40" t="str">
        <x:v>2026-07-01</x:v>
      </x:c>
      <x:c r="AN38" s="40" t="str">
        <x:v>2026-07-08</x:v>
      </x:c>
      <x:c r="AO38" s="27" t="str">
        <x:v>UNVERIFIED</x:v>
      </x:c>
      <x:c r="AP38" s="36" t="str">
        <x:v>Registro inicial consolidado; validar owner, controles y residual.</x:v>
      </x:c>
      <x:c r="AQ38" s="27" t="n">
        <x:f>IF(OR(M38="CRITICAL",W38="CRITICAL",Y38="OUTSIDE TOLERANCE",AK38="ESCALATED",AK38="ACCEPTANCE REQUESTED"),1,0)</x:f>
        <x:v>1</x:v>
      </x:c>
    </x:row>
    <x:row r="39">
      <x:c r="A39" s="27" t="str">
        <x:v>R-TEC-005</x:v>
      </x:c>
      <x:c r="B39" s="36" t="str">
        <x:v>Architecture &amp; Toolchain</x:v>
      </x:c>
      <x:c r="C39" s="36" t="str">
        <x:v>Editor-only assumption</x:v>
      </x:c>
      <x:c r="D39" s="36" t="str">
        <x:v>Existe el riesgo de que ocurra lo siguiente: Función pasa en Editor y falla en Player.</x:v>
      </x:c>
      <x:c r="E39" s="36" t="str">
        <x:v>Deliverable build</x:v>
      </x:c>
      <x:c r="F39" s="36" t="str">
        <x:v>H6/Release</x:v>
      </x:c>
      <x:c r="G39" s="36" t="str">
        <x:v>Ausencia, degradación o incumplimiento de los controles definidos para editor-only assumption.</x:v>
      </x:c>
      <x:c r="H39" s="36" t="str">
        <x:v>Función pasa en Editor y falla en Player</x:v>
      </x:c>
      <x:c r="I39" s="36" t="str">
        <x:v>Puede afectar a Deliverable build, bloquear un gate, causar retrabajo, pérdida de datos/confianza o interrupción operativa.</x:v>
      </x:c>
      <x:c r="J39" s="38" t="n">
        <x:v>4</x:v>
      </x:c>
      <x:c r="K39" s="38" t="n">
        <x:v>5</x:v>
      </x:c>
      <x:c r="L39" s="38" t="n">
        <x:f>J39*K39</x:f>
        <x:v>20</x:v>
      </x:c>
      <x:c r="M39" s="27" t="str">
        <x:f>IF(L39&gt;=20,"CRITICAL",IF(L39&gt;=12,"HIGH",IF(L39&gt;=6,"MEDIUM","LOW")))</x:f>
        <x:v>CRITICAL</x:v>
      </x:c>
      <x:c r="N39" s="27" t="str">
        <x:v>FAST</x:v>
      </x:c>
      <x:c r="O39" s="27" t="str">
        <x:v>HARD</x:v>
      </x:c>
      <x:c r="P39" s="36" t="str">
        <x:v>Arquitectura por servicios, ADR, lock de paquetes, setup reproducible y CI/build records.</x:v>
      </x:c>
      <x:c r="Q39" s="27" t="str">
        <x:v>PARTIAL</x:v>
      </x:c>
      <x:c r="R39" s="27" t="str">
        <x:v>MITIGATE</x:v>
      </x:c>
      <x:c r="S39" s="36" t="str">
        <x:v>Aislar cambio, reproducir en entorno limpio, fijar versión y revertir si rompe gate.</x:v>
      </x:c>
      <x:c r="T39" s="38" t="n">
        <x:v>4</x:v>
      </x:c>
      <x:c r="U39" s="38" t="n">
        <x:v>5</x:v>
      </x:c>
      <x:c r="V39" s="38" t="n">
        <x:f>T39*U39</x:f>
        <x:v>20</x:v>
      </x:c>
      <x:c r="W39" s="27" t="str">
        <x:f>IF(V39&gt;=20,"CRITICAL",IF(V39&gt;=12,"HIGH",IF(V39&gt;=6,"MEDIUM","LOW")))</x:f>
        <x:v>CRITICAL</x:v>
      </x:c>
      <x:c r="X39" s="27" t="str">
        <x:v>LOW</x:v>
      </x:c>
      <x:c r="Y39" s="27" t="str">
        <x:f>IF(X39="ZERO",IF(V39=0,"WITHIN TOLERANCE","OUTSIDE TOLERANCE"),IF(X39="LOW",IF(V39&lt;=4,"WITHIN TOLERANCE","OUTSIDE TOLERANCE"),IF(X39="MODERATE",IF(V39&lt;=9,"WITHIN TOLERANCE","OUTSIDE TOLERANCE"),IF(X39="HIGH",IF(V39&lt;=16,"WITHIN TOLERANCE","OUTSIDE TOLERANCE"),"REVIEW"))))</x:f>
        <x:v>OUTSIDE TOLERANCE</x:v>
      </x:c>
      <x:c r="Z39" s="36" t="str">
        <x:v>Engineering</x:v>
      </x:c>
      <x:c r="AA39" s="36" t="str">
        <x:v>Build / Project Owner</x:v>
      </x:c>
      <x:c r="AB39" s="36" t="str">
        <x:v>Diferencia Editor/Player</x:v>
      </x:c>
      <x:c r="AC39" s="36" t="str">
        <x:v>Umbral: evidencia positiva, tendencia adversa o gate bloqueado.</x:v>
      </x:c>
      <x:c r="AD39" s="36" t="str">
        <x:v>Congelar upgrades y reproducir con manifest/lock conocidos.</x:v>
      </x:c>
      <x:c r="AE39" s="36" t="str">
        <x:v>Restaurar versión Unity/paquetes y commit conocido; reconstruir desde cero.</x:v>
      </x:c>
      <x:c r="AF39" s="27" t="str">
        <x:v>BIA-04</x:v>
      </x:c>
      <x:c r="AG39" s="27" t="str">
        <x:v>PB-04</x:v>
      </x:c>
      <x:c r="AH39" s="27" t="str">
        <x:v>TA-TEC-005</x:v>
      </x:c>
      <x:c r="AI39" s="36" t="str">
        <x:v>03, 09, 10, 11, 13, 27, 30, 31</x:v>
      </x:c>
      <x:c r="AJ39" s="36" t="str">
        <x:v>TDD, setup, coding/build guides, ADR y build records</x:v>
      </x:c>
      <x:c r="AK39" s="27" t="str">
        <x:v>OPEN</x:v>
      </x:c>
      <x:c r="AL39" s="27" t="str">
        <x:v>WEEKLY</x:v>
      </x:c>
      <x:c r="AM39" s="40" t="str">
        <x:v>2026-07-01</x:v>
      </x:c>
      <x:c r="AN39" s="40" t="str">
        <x:v>2026-07-08</x:v>
      </x:c>
      <x:c r="AO39" s="27" t="str">
        <x:v>UNVERIFIED</x:v>
      </x:c>
      <x:c r="AP39" s="36" t="str">
        <x:v>Registro inicial consolidado; validar owner, controles y residual.</x:v>
      </x:c>
      <x:c r="AQ39" s="27" t="n">
        <x:f>IF(OR(M39="CRITICAL",W39="CRITICAL",Y39="OUTSIDE TOLERANCE",AK39="ESCALATED",AK39="ACCEPTANCE REQUESTED"),1,0)</x:f>
        <x:v>1</x:v>
      </x:c>
    </x:row>
    <x:row r="40">
      <x:c r="A40" s="27" t="str">
        <x:v>R-TEC-006</x:v>
      </x:c>
      <x:c r="B40" s="36" t="str">
        <x:v>Architecture &amp; Toolchain</x:v>
      </x:c>
      <x:c r="C40" s="36" t="str">
        <x:v>Build profile</x:v>
      </x:c>
      <x:c r="D40" s="36" t="str">
        <x:v>Existe el riesgo de que ocurra lo siguiente: StoreInitial o escenas requeridas quedan fuera del build.</x:v>
      </x:c>
      <x:c r="E40" s="36" t="str">
        <x:v>Build configuration</x:v>
      </x:c>
      <x:c r="F40" s="36" t="str">
        <x:v>H6</x:v>
      </x:c>
      <x:c r="G40" s="36" t="str">
        <x:v>Ausencia, degradación o incumplimiento de los controles definidos para build profile.</x:v>
      </x:c>
      <x:c r="H40" s="36" t="str">
        <x:v>StoreInitial o escenas requeridas quedan fuera del build</x:v>
      </x:c>
      <x:c r="I40" s="36" t="str">
        <x:v>Puede afectar a Build configuration, bloquear un gate, causar retrabajo, pérdida de datos/confianza o interrupción operativa.</x:v>
      </x:c>
      <x:c r="J40" s="38" t="n">
        <x:v>4</x:v>
      </x:c>
      <x:c r="K40" s="38" t="n">
        <x:v>5</x:v>
      </x:c>
      <x:c r="L40" s="38" t="n">
        <x:f>J40*K40</x:f>
        <x:v>20</x:v>
      </x:c>
      <x:c r="M40" s="27" t="str">
        <x:f>IF(L40&gt;=20,"CRITICAL",IF(L40&gt;=12,"HIGH",IF(L40&gt;=6,"MEDIUM","LOW")))</x:f>
        <x:v>CRITICAL</x:v>
      </x:c>
      <x:c r="N40" s="27" t="str">
        <x:v>FAST</x:v>
      </x:c>
      <x:c r="O40" s="27" t="str">
        <x:v>HARD</x:v>
      </x:c>
      <x:c r="P40" s="36" t="str">
        <x:v>Arquitectura por servicios, ADR, lock de paquetes, setup reproducible y CI/build records.</x:v>
      </x:c>
      <x:c r="Q40" s="27" t="str">
        <x:v>PARTIAL</x:v>
      </x:c>
      <x:c r="R40" s="27" t="str">
        <x:v>MITIGATE</x:v>
      </x:c>
      <x:c r="S40" s="36" t="str">
        <x:v>Aislar cambio, reproducir en entorno limpio, fijar versión y revertir si rompe gate.</x:v>
      </x:c>
      <x:c r="T40" s="38" t="n">
        <x:v>4</x:v>
      </x:c>
      <x:c r="U40" s="38" t="n">
        <x:v>5</x:v>
      </x:c>
      <x:c r="V40" s="38" t="n">
        <x:f>T40*U40</x:f>
        <x:v>20</x:v>
      </x:c>
      <x:c r="W40" s="27" t="str">
        <x:f>IF(V40&gt;=20,"CRITICAL",IF(V40&gt;=12,"HIGH",IF(V40&gt;=6,"MEDIUM","LOW")))</x:f>
        <x:v>CRITICAL</x:v>
      </x:c>
      <x:c r="X40" s="27" t="str">
        <x:v>LOW</x:v>
      </x:c>
      <x:c r="Y40" s="27" t="str">
        <x:f>IF(X40="ZERO",IF(V40=0,"WITHIN TOLERANCE","OUTSIDE TOLERANCE"),IF(X40="LOW",IF(V40&lt;=4,"WITHIN TOLERANCE","OUTSIDE TOLERANCE"),IF(X40="MODERATE",IF(V40&lt;=9,"WITHIN TOLERANCE","OUTSIDE TOLERANCE"),IF(X40="HIGH",IF(V40&lt;=16,"WITHIN TOLERANCE","OUTSIDE TOLERANCE"),"REVIEW"))))</x:f>
        <x:v>OUTSIDE TOLERANCE</x:v>
      </x:c>
      <x:c r="Z40" s="36" t="str">
        <x:v>Engineering</x:v>
      </x:c>
      <x:c r="AA40" s="36" t="str">
        <x:v>Build / Project Owner</x:v>
      </x:c>
      <x:c r="AB40" s="36" t="str">
        <x:v>Profile no incluye escena objetivo</x:v>
      </x:c>
      <x:c r="AC40" s="36" t="str">
        <x:v>Umbral: evidencia positiva, tendencia adversa o gate bloqueado.</x:v>
      </x:c>
      <x:c r="AD40" s="36" t="str">
        <x:v>Congelar upgrades y reproducir con manifest/lock conocidos.</x:v>
      </x:c>
      <x:c r="AE40" s="36" t="str">
        <x:v>Restaurar versión Unity/paquetes y commit conocido; reconstruir desde cero.</x:v>
      </x:c>
      <x:c r="AF40" s="27" t="str">
        <x:v>BIA-04</x:v>
      </x:c>
      <x:c r="AG40" s="27" t="str">
        <x:v>PB-04</x:v>
      </x:c>
      <x:c r="AH40" s="27" t="str">
        <x:v>TA-TEC-006</x:v>
      </x:c>
      <x:c r="AI40" s="36" t="str">
        <x:v>03, 09, 10, 11, 13, 27, 30, 31</x:v>
      </x:c>
      <x:c r="AJ40" s="36" t="str">
        <x:v>TDD, setup, coding/build guides, ADR y build records</x:v>
      </x:c>
      <x:c r="AK40" s="27" t="str">
        <x:v>OPEN</x:v>
      </x:c>
      <x:c r="AL40" s="27" t="str">
        <x:v>WEEKLY</x:v>
      </x:c>
      <x:c r="AM40" s="40" t="str">
        <x:v>2026-07-01</x:v>
      </x:c>
      <x:c r="AN40" s="40" t="str">
        <x:v>2026-07-08</x:v>
      </x:c>
      <x:c r="AO40" s="27" t="str">
        <x:v>UNVERIFIED</x:v>
      </x:c>
      <x:c r="AP40" s="36" t="str">
        <x:v>Registro inicial consolidado; validar owner, controles y residual.</x:v>
      </x:c>
      <x:c r="AQ40" s="27" t="n">
        <x:f>IF(OR(M40="CRITICAL",W40="CRITICAL",Y40="OUTSIDE TOLERANCE",AK40="ESCALATED",AK40="ACCEPTANCE REQUESTED"),1,0)</x:f>
        <x:v>1</x:v>
      </x:c>
    </x:row>
    <x:row r="41">
      <x:c r="A41" s="27" t="str">
        <x:v>R-TEC-007</x:v>
      </x:c>
      <x:c r="B41" s="36" t="str">
        <x:v>Architecture &amp; Toolchain</x:v>
      </x:c>
      <x:c r="C41" s="36" t="str">
        <x:v>Configuration drift</x:v>
      </x:c>
      <x:c r="D41" s="36" t="str">
        <x:v>Existe el riesgo de que ocurra lo siguiente: ProjectSettings difieren de la guía o baseline.</x:v>
      </x:c>
      <x:c r="E41" s="36" t="str">
        <x:v>Reproducibility</x:v>
      </x:c>
      <x:c r="F41" s="36" t="str">
        <x:v>All</x:v>
      </x:c>
      <x:c r="G41" s="36" t="str">
        <x:v>Ausencia, degradación o incumplimiento de los controles definidos para configuration drift.</x:v>
      </x:c>
      <x:c r="H41" s="36" t="str">
        <x:v>ProjectSettings difieren de la guía o baseline</x:v>
      </x:c>
      <x:c r="I41" s="36" t="str">
        <x:v>Puede afectar a Reproducibility, bloquear un gate, causar retrabajo, pérdida de datos/confianza o interrupción operativa.</x:v>
      </x:c>
      <x:c r="J41" s="38" t="n">
        <x:v>3</x:v>
      </x:c>
      <x:c r="K41" s="38" t="n">
        <x:v>4</x:v>
      </x:c>
      <x:c r="L41" s="38" t="n">
        <x:f>J41*K41</x:f>
        <x:v>12</x:v>
      </x:c>
      <x:c r="M41" s="27" t="str">
        <x:f>IF(L41&gt;=20,"CRITICAL",IF(L41&gt;=12,"HIGH",IF(L41&gt;=6,"MEDIUM","LOW")))</x:f>
        <x:v>HIGH</x:v>
      </x:c>
      <x:c r="N41" s="27" t="str">
        <x:v>MEDIUM</x:v>
      </x:c>
      <x:c r="O41" s="27" t="str">
        <x:v>MODERATE</x:v>
      </x:c>
      <x:c r="P41" s="36" t="str">
        <x:v>Arquitectura por servicios, ADR, lock de paquetes, setup reproducible y CI/build records.</x:v>
      </x:c>
      <x:c r="Q41" s="27" t="str">
        <x:v>PARTIAL</x:v>
      </x:c>
      <x:c r="R41" s="27" t="str">
        <x:v>MITIGATE</x:v>
      </x:c>
      <x:c r="S41" s="36" t="str">
        <x:v>Aislar cambio, reproducir en entorno limpio, fijar versión y revertir si rompe gate.</x:v>
      </x:c>
      <x:c r="T41" s="38" t="n">
        <x:v>3</x:v>
      </x:c>
      <x:c r="U41" s="38" t="n">
        <x:v>4</x:v>
      </x:c>
      <x:c r="V41" s="38" t="n">
        <x:f>T41*U41</x:f>
        <x:v>12</x:v>
      </x:c>
      <x:c r="W41" s="27" t="str">
        <x:f>IF(V41&gt;=20,"CRITICAL",IF(V41&gt;=12,"HIGH",IF(V41&gt;=6,"MEDIUM","LOW")))</x:f>
        <x:v>HIGH</x:v>
      </x:c>
      <x:c r="X41" s="27" t="str">
        <x:v>LOW</x:v>
      </x:c>
      <x:c r="Y41" s="27" t="str">
        <x:f>IF(X41="ZERO",IF(V41=0,"WITHIN TOLERANCE","OUTSIDE TOLERANCE"),IF(X41="LOW",IF(V41&lt;=4,"WITHIN TOLERANCE","OUTSIDE TOLERANCE"),IF(X41="MODERATE",IF(V41&lt;=9,"WITHIN TOLERANCE","OUTSIDE TOLERANCE"),IF(X41="HIGH",IF(V41&lt;=16,"WITHIN TOLERANCE","OUTSIDE TOLERANCE"),"REVIEW"))))</x:f>
        <x:v>OUTSIDE TOLERANCE</x:v>
      </x:c>
      <x:c r="Z41" s="36" t="str">
        <x:v>Engineering</x:v>
      </x:c>
      <x:c r="AA41" s="36" t="str">
        <x:v>Build / Project Owner</x:v>
      </x:c>
      <x:c r="AB41" s="36" t="str">
        <x:v>Diff no registrado en configuración</x:v>
      </x:c>
      <x:c r="AC41" s="36" t="str">
        <x:v>Umbral: evidencia positiva, tendencia adversa o gate bloqueado.</x:v>
      </x:c>
      <x:c r="AD41" s="36" t="str">
        <x:v>Congelar upgrades y reproducir con manifest/lock conocidos.</x:v>
      </x:c>
      <x:c r="AE41" s="36" t="str">
        <x:v>Restaurar versión Unity/paquetes y commit conocido; reconstruir desde cero.</x:v>
      </x:c>
      <x:c r="AF41" s="27" t="str">
        <x:v>BIA-04</x:v>
      </x:c>
      <x:c r="AG41" s="27" t="str">
        <x:v>PB-04</x:v>
      </x:c>
      <x:c r="AH41" s="27" t="str">
        <x:v>TA-TEC-007</x:v>
      </x:c>
      <x:c r="AI41" s="36" t="str">
        <x:v>03, 09, 10, 11, 13, 27, 30, 31</x:v>
      </x:c>
      <x:c r="AJ41" s="36" t="str">
        <x:v>TDD, setup, coding/build guides, ADR y build records</x:v>
      </x:c>
      <x:c r="AK41" s="27" t="str">
        <x:v>OPEN</x:v>
      </x:c>
      <x:c r="AL41" s="27" t="str">
        <x:v>MONTHLY</x:v>
      </x:c>
      <x:c r="AM41" s="40" t="str">
        <x:v>2026-07-01</x:v>
      </x:c>
      <x:c r="AN41" s="40" t="str">
        <x:v>2026-07-31</x:v>
      </x:c>
      <x:c r="AO41" s="27" t="str">
        <x:v>UNVERIFIED</x:v>
      </x:c>
      <x:c r="AP41" s="36" t="str">
        <x:v>Registro inicial consolidado; validar owner, controles y residual.</x:v>
      </x:c>
      <x:c r="AQ41" s="27" t="n">
        <x:f>IF(OR(M41="CRITICAL",W41="CRITICAL",Y41="OUTSIDE TOLERANCE",AK41="ESCALATED",AK41="ACCEPTANCE REQUESTED"),1,0)</x:f>
        <x:v>1</x:v>
      </x:c>
    </x:row>
    <x:row r="42">
      <x:c r="A42" s="27" t="str">
        <x:v>R-TEC-008</x:v>
      </x:c>
      <x:c r="B42" s="36" t="str">
        <x:v>Architecture &amp; Toolchain</x:v>
      </x:c>
      <x:c r="C42" s="36" t="str">
        <x:v>Third-party code</x:v>
      </x:c>
      <x:c r="D42" s="36" t="str">
        <x:v>Existe el riesgo de que ocurra lo siguiente: Plugin introduce vulnerabilidad, incompatibilidad o licencia.</x:v>
      </x:c>
      <x:c r="E42" s="36" t="str">
        <x:v>Runtime / legal</x:v>
      </x:c>
      <x:c r="F42" s="36" t="str">
        <x:v>All</x:v>
      </x:c>
      <x:c r="G42" s="36" t="str">
        <x:v>Ausencia, degradación o incumplimiento de los controles definidos para third-party code.</x:v>
      </x:c>
      <x:c r="H42" s="36" t="str">
        <x:v>Plugin introduce vulnerabilidad, incompatibilidad o licencia</x:v>
      </x:c>
      <x:c r="I42" s="36" t="str">
        <x:v>Puede afectar a Runtime / legal, bloquear un gate, causar retrabajo, pérdida de datos/confianza o interrupción operativa.</x:v>
      </x:c>
      <x:c r="J42" s="38" t="n">
        <x:v>2</x:v>
      </x:c>
      <x:c r="K42" s="38" t="n">
        <x:v>5</x:v>
      </x:c>
      <x:c r="L42" s="38" t="n">
        <x:f>J42*K42</x:f>
        <x:v>10</x:v>
      </x:c>
      <x:c r="M42" s="27" t="str">
        <x:f>IF(L42&gt;=20,"CRITICAL",IF(L42&gt;=12,"HIGH",IF(L42&gt;=6,"MEDIUM","LOW")))</x:f>
        <x:v>MEDIUM</x:v>
      </x:c>
      <x:c r="N42" s="27" t="str">
        <x:v>MEDIUM</x:v>
      </x:c>
      <x:c r="O42" s="27" t="str">
        <x:v>MODERATE</x:v>
      </x:c>
      <x:c r="P42" s="36" t="str">
        <x:v>Arquitectura por servicios, ADR, lock de paquetes, setup reproducible y CI/build records.</x:v>
      </x:c>
      <x:c r="Q42" s="27" t="str">
        <x:v>PARTIAL</x:v>
      </x:c>
      <x:c r="R42" s="27" t="str">
        <x:v>MITIGATE</x:v>
      </x:c>
      <x:c r="S42" s="36" t="str">
        <x:v>Aislar cambio, reproducir en entorno limpio, fijar versión y revertir si rompe gate.</x:v>
      </x:c>
      <x:c r="T42" s="38" t="n">
        <x:v>2</x:v>
      </x:c>
      <x:c r="U42" s="38" t="n">
        <x:v>5</x:v>
      </x:c>
      <x:c r="V42" s="38" t="n">
        <x:f>T42*U42</x:f>
        <x:v>10</x:v>
      </x:c>
      <x:c r="W42" s="27" t="str">
        <x:f>IF(V42&gt;=20,"CRITICAL",IF(V42&gt;=12,"HIGH",IF(V42&gt;=6,"MEDIUM","LOW")))</x:f>
        <x:v>MEDIUM</x:v>
      </x:c>
      <x:c r="X42" s="27" t="str">
        <x:v>LOW</x:v>
      </x:c>
      <x:c r="Y42" s="27" t="str">
        <x:f>IF(X42="ZERO",IF(V42=0,"WITHIN TOLERANCE","OUTSIDE TOLERANCE"),IF(X42="LOW",IF(V42&lt;=4,"WITHIN TOLERANCE","OUTSIDE TOLERANCE"),IF(X42="MODERATE",IF(V42&lt;=9,"WITHIN TOLERANCE","OUTSIDE TOLERANCE"),IF(X42="HIGH",IF(V42&lt;=16,"WITHIN TOLERANCE","OUTSIDE TOLERANCE"),"REVIEW"))))</x:f>
        <x:v>OUTSIDE TOLERANCE</x:v>
      </x:c>
      <x:c r="Z42" s="36" t="str">
        <x:v>Engineering</x:v>
      </x:c>
      <x:c r="AA42" s="36" t="str">
        <x:v>Build / Project Owner</x:v>
      </x:c>
      <x:c r="AB42" s="36" t="str">
        <x:v>Nueva dependencia sin review</x:v>
      </x:c>
      <x:c r="AC42" s="36" t="str">
        <x:v>Umbral: evidencia positiva, tendencia adversa o gate bloqueado.</x:v>
      </x:c>
      <x:c r="AD42" s="36" t="str">
        <x:v>Congelar upgrades y reproducir con manifest/lock conocidos.</x:v>
      </x:c>
      <x:c r="AE42" s="36" t="str">
        <x:v>Restaurar versión Unity/paquetes y commit conocido; reconstruir desde cero.</x:v>
      </x:c>
      <x:c r="AF42" s="27" t="str">
        <x:v>BIA-04</x:v>
      </x:c>
      <x:c r="AG42" s="27" t="str">
        <x:v>PB-04</x:v>
      </x:c>
      <x:c r="AH42" s="27" t="str">
        <x:v>TA-TEC-008</x:v>
      </x:c>
      <x:c r="AI42" s="36" t="str">
        <x:v>03, 09, 10, 11, 13, 27, 30, 31</x:v>
      </x:c>
      <x:c r="AJ42" s="36" t="str">
        <x:v>TDD, setup, coding/build guides, ADR y build records</x:v>
      </x:c>
      <x:c r="AK42" s="27" t="str">
        <x:v>OPEN</x:v>
      </x:c>
      <x:c r="AL42" s="27" t="str">
        <x:v>MONTHLY</x:v>
      </x:c>
      <x:c r="AM42" s="40" t="str">
        <x:v>2026-07-01</x:v>
      </x:c>
      <x:c r="AN42" s="40" t="str">
        <x:v>2026-07-31</x:v>
      </x:c>
      <x:c r="AO42" s="27" t="str">
        <x:v>UNVERIFIED</x:v>
      </x:c>
      <x:c r="AP42" s="36" t="str">
        <x:v>Registro inicial consolidado; validar owner, controles y residual.</x:v>
      </x:c>
      <x:c r="AQ42" s="27" t="n">
        <x:f>IF(OR(M42="CRITICAL",W42="CRITICAL",Y42="OUTSIDE TOLERANCE",AK42="ESCALATED",AK42="ACCEPTANCE REQUESTED"),1,0)</x:f>
        <x:v>1</x:v>
      </x:c>
    </x:row>
    <x:row r="43">
      <x:c r="A43" s="27" t="str">
        <x:v>R-TEC-009</x:v>
      </x:c>
      <x:c r="B43" s="36" t="str">
        <x:v>Architecture &amp; Toolchain</x:v>
      </x:c>
      <x:c r="C43" s="36" t="str">
        <x:v>Technical debt</x:v>
      </x:c>
      <x:c r="D43" s="36" t="str">
        <x:v>Existe el riesgo de que ocurra lo siguiente: Solución temporal se convierte en dependencia estructural.</x:v>
      </x:c>
      <x:c r="E43" s="36" t="str">
        <x:v>Maintainability</x:v>
      </x:c>
      <x:c r="F43" s="36" t="str">
        <x:v>Development</x:v>
      </x:c>
      <x:c r="G43" s="36" t="str">
        <x:v>Ausencia, degradación o incumplimiento de los controles definidos para technical debt.</x:v>
      </x:c>
      <x:c r="H43" s="36" t="str">
        <x:v>Solución temporal se convierte en dependencia estructural</x:v>
      </x:c>
      <x:c r="I43" s="36" t="str">
        <x:v>Puede afectar a Maintainability, bloquear un gate, causar retrabajo, pérdida de datos/confianza o interrupción operativa.</x:v>
      </x:c>
      <x:c r="J43" s="38" t="n">
        <x:v>4</x:v>
      </x:c>
      <x:c r="K43" s="38" t="n">
        <x:v>3</x:v>
      </x:c>
      <x:c r="L43" s="38" t="n">
        <x:f>J43*K43</x:f>
        <x:v>12</x:v>
      </x:c>
      <x:c r="M43" s="27" t="str">
        <x:f>IF(L43&gt;=20,"CRITICAL",IF(L43&gt;=12,"HIGH",IF(L43&gt;=6,"MEDIUM","LOW")))</x:f>
        <x:v>HIGH</x:v>
      </x:c>
      <x:c r="N43" s="27" t="str">
        <x:v>SLOW</x:v>
      </x:c>
      <x:c r="O43" s="27" t="str">
        <x:v>MODERATE</x:v>
      </x:c>
      <x:c r="P43" s="36" t="str">
        <x:v>Arquitectura por servicios, ADR, lock de paquetes, setup reproducible y CI/build records.</x:v>
      </x:c>
      <x:c r="Q43" s="27" t="str">
        <x:v>PARTIAL</x:v>
      </x:c>
      <x:c r="R43" s="27" t="str">
        <x:v>MITIGATE</x:v>
      </x:c>
      <x:c r="S43" s="36" t="str">
        <x:v>Aislar cambio, reproducir en entorno limpio, fijar versión y revertir si rompe gate.</x:v>
      </x:c>
      <x:c r="T43" s="38" t="n">
        <x:v>4</x:v>
      </x:c>
      <x:c r="U43" s="38" t="n">
        <x:v>3</x:v>
      </x:c>
      <x:c r="V43" s="38" t="n">
        <x:f>T43*U43</x:f>
        <x:v>12</x:v>
      </x:c>
      <x:c r="W43" s="27" t="str">
        <x:f>IF(V43&gt;=20,"CRITICAL",IF(V43&gt;=12,"HIGH",IF(V43&gt;=6,"MEDIUM","LOW")))</x:f>
        <x:v>HIGH</x:v>
      </x:c>
      <x:c r="X43" s="27" t="str">
        <x:v>LOW</x:v>
      </x:c>
      <x:c r="Y43" s="27" t="str">
        <x:f>IF(X43="ZERO",IF(V43=0,"WITHIN TOLERANCE","OUTSIDE TOLERANCE"),IF(X43="LOW",IF(V43&lt;=4,"WITHIN TOLERANCE","OUTSIDE TOLERANCE"),IF(X43="MODERATE",IF(V43&lt;=9,"WITHIN TOLERANCE","OUTSIDE TOLERANCE"),IF(X43="HIGH",IF(V43&lt;=16,"WITHIN TOLERANCE","OUTSIDE TOLERANCE"),"REVIEW"))))</x:f>
        <x:v>OUTSIDE TOLERANCE</x:v>
      </x:c>
      <x:c r="Z43" s="36" t="str">
        <x:v>Engineering</x:v>
      </x:c>
      <x:c r="AA43" s="36" t="str">
        <x:v>Build / Project Owner</x:v>
      </x:c>
      <x:c r="AB43" s="36" t="str">
        <x:v>TODO/workaround persiste tras gate</x:v>
      </x:c>
      <x:c r="AC43" s="36" t="str">
        <x:v>Umbral: evidencia positiva, tendencia adversa o gate bloqueado.</x:v>
      </x:c>
      <x:c r="AD43" s="36" t="str">
        <x:v>Congelar upgrades y reproducir con manifest/lock conocidos.</x:v>
      </x:c>
      <x:c r="AE43" s="36" t="str">
        <x:v>Restaurar versión Unity/paquetes y commit conocido; reconstruir desde cero.</x:v>
      </x:c>
      <x:c r="AF43" s="27" t="str">
        <x:v>BIA-04</x:v>
      </x:c>
      <x:c r="AG43" s="27" t="str">
        <x:v>PB-04</x:v>
      </x:c>
      <x:c r="AH43" s="27" t="str">
        <x:v>TA-TEC-009</x:v>
      </x:c>
      <x:c r="AI43" s="36" t="str">
        <x:v>03, 09, 10, 11, 13, 27, 30, 31</x:v>
      </x:c>
      <x:c r="AJ43" s="36" t="str">
        <x:v>TDD, setup, coding/build guides, ADR y build records</x:v>
      </x:c>
      <x:c r="AK43" s="27" t="str">
        <x:v>OPEN</x:v>
      </x:c>
      <x:c r="AL43" s="27" t="str">
        <x:v>MONTHLY</x:v>
      </x:c>
      <x:c r="AM43" s="40" t="str">
        <x:v>2026-07-01</x:v>
      </x:c>
      <x:c r="AN43" s="40" t="str">
        <x:v>2026-07-31</x:v>
      </x:c>
      <x:c r="AO43" s="27" t="str">
        <x:v>UNVERIFIED</x:v>
      </x:c>
      <x:c r="AP43" s="36" t="str">
        <x:v>Registro inicial consolidado; validar owner, controles y residual.</x:v>
      </x:c>
      <x:c r="AQ43" s="27" t="n">
        <x:f>IF(OR(M43="CRITICAL",W43="CRITICAL",Y43="OUTSIDE TOLERANCE",AK43="ESCALATED",AK43="ACCEPTANCE REQUESTED"),1,0)</x:f>
        <x:v>1</x:v>
      </x:c>
    </x:row>
    <x:row r="44">
      <x:c r="A44" s="27" t="str">
        <x:v>R-TEC-010</x:v>
      </x:c>
      <x:c r="B44" s="36" t="str">
        <x:v>Architecture &amp; Toolchain</x:v>
      </x:c>
      <x:c r="C44" s="36" t="str">
        <x:v>CI absence</x:v>
      </x:c>
      <x:c r="D44" s="36" t="str">
        <x:v>Existe el riesgo de que ocurra lo siguiente: Build depende solo de estación local.</x:v>
      </x:c>
      <x:c r="E44" s="36" t="str">
        <x:v>Build continuity</x:v>
      </x:c>
      <x:c r="F44" s="36" t="str">
        <x:v>All</x:v>
      </x:c>
      <x:c r="G44" s="36" t="str">
        <x:v>Ausencia, degradación o incumplimiento de los controles definidos para ci absence.</x:v>
      </x:c>
      <x:c r="H44" s="36" t="str">
        <x:v>Build depende solo de estación local</x:v>
      </x:c>
      <x:c r="I44" s="36" t="str">
        <x:v>Puede afectar a Build continuity, bloquear un gate, causar retrabajo, pérdida de datos/confianza o interrupción operativa.</x:v>
      </x:c>
      <x:c r="J44" s="38" t="n">
        <x:v>4</x:v>
      </x:c>
      <x:c r="K44" s="38" t="n">
        <x:v>4</x:v>
      </x:c>
      <x:c r="L44" s="38" t="n">
        <x:f>J44*K44</x:f>
        <x:v>16</x:v>
      </x:c>
      <x:c r="M44" s="27" t="str">
        <x:f>IF(L44&gt;=20,"CRITICAL",IF(L44&gt;=12,"HIGH",IF(L44&gt;=6,"MEDIUM","LOW")))</x:f>
        <x:v>HIGH</x:v>
      </x:c>
      <x:c r="N44" s="27" t="str">
        <x:v>FAST</x:v>
      </x:c>
      <x:c r="O44" s="27" t="str">
        <x:v>HARD</x:v>
      </x:c>
      <x:c r="P44" s="36" t="str">
        <x:v>Arquitectura por servicios, ADR, lock de paquetes, setup reproducible y CI/build records.</x:v>
      </x:c>
      <x:c r="Q44" s="27" t="str">
        <x:v>PARTIAL</x:v>
      </x:c>
      <x:c r="R44" s="27" t="str">
        <x:v>MITIGATE</x:v>
      </x:c>
      <x:c r="S44" s="36" t="str">
        <x:v>Aislar cambio, reproducir en entorno limpio, fijar versión y revertir si rompe gate.</x:v>
      </x:c>
      <x:c r="T44" s="38" t="n">
        <x:v>4</x:v>
      </x:c>
      <x:c r="U44" s="38" t="n">
        <x:v>4</x:v>
      </x:c>
      <x:c r="V44" s="38" t="n">
        <x:f>T44*U44</x:f>
        <x:v>16</x:v>
      </x:c>
      <x:c r="W44" s="27" t="str">
        <x:f>IF(V44&gt;=20,"CRITICAL",IF(V44&gt;=12,"HIGH",IF(V44&gt;=6,"MEDIUM","LOW")))</x:f>
        <x:v>HIGH</x:v>
      </x:c>
      <x:c r="X44" s="27" t="str">
        <x:v>LOW</x:v>
      </x:c>
      <x:c r="Y44" s="27" t="str">
        <x:f>IF(X44="ZERO",IF(V44=0,"WITHIN TOLERANCE","OUTSIDE TOLERANCE"),IF(X44="LOW",IF(V44&lt;=4,"WITHIN TOLERANCE","OUTSIDE TOLERANCE"),IF(X44="MODERATE",IF(V44&lt;=9,"WITHIN TOLERANCE","OUTSIDE TOLERANCE"),IF(X44="HIGH",IF(V44&lt;=16,"WITHIN TOLERANCE","OUTSIDE TOLERANCE"),"REVIEW"))))</x:f>
        <x:v>OUTSIDE TOLERANCE</x:v>
      </x:c>
      <x:c r="Z44" s="36" t="str">
        <x:v>Engineering</x:v>
      </x:c>
      <x:c r="AA44" s="36" t="str">
        <x:v>Build / Project Owner</x:v>
      </x:c>
      <x:c r="AB44" s="36" t="str">
        <x:v>No hay build reproducible alternativo</x:v>
      </x:c>
      <x:c r="AC44" s="36" t="str">
        <x:v>Umbral: evidencia positiva, tendencia adversa o gate bloqueado.</x:v>
      </x:c>
      <x:c r="AD44" s="36" t="str">
        <x:v>Congelar upgrades y reproducir con manifest/lock conocidos.</x:v>
      </x:c>
      <x:c r="AE44" s="36" t="str">
        <x:v>Restaurar versión Unity/paquetes y commit conocido; reconstruir desde cero.</x:v>
      </x:c>
      <x:c r="AF44" s="27" t="str">
        <x:v>BIA-04</x:v>
      </x:c>
      <x:c r="AG44" s="27" t="str">
        <x:v>PB-04</x:v>
      </x:c>
      <x:c r="AH44" s="27" t="str">
        <x:v>TA-TEC-010</x:v>
      </x:c>
      <x:c r="AI44" s="36" t="str">
        <x:v>03, 09, 10, 11, 13, 27, 30, 31</x:v>
      </x:c>
      <x:c r="AJ44" s="36" t="str">
        <x:v>TDD, setup, coding/build guides, ADR y build records</x:v>
      </x:c>
      <x:c r="AK44" s="27" t="str">
        <x:v>OPEN</x:v>
      </x:c>
      <x:c r="AL44" s="27" t="str">
        <x:v>WEEKLY</x:v>
      </x:c>
      <x:c r="AM44" s="40" t="str">
        <x:v>2026-07-01</x:v>
      </x:c>
      <x:c r="AN44" s="40" t="str">
        <x:v>2026-07-08</x:v>
      </x:c>
      <x:c r="AO44" s="27" t="str">
        <x:v>UNVERIFIED</x:v>
      </x:c>
      <x:c r="AP44" s="36" t="str">
        <x:v>Registro inicial consolidado; validar owner, controles y residual.</x:v>
      </x:c>
      <x:c r="AQ44" s="27" t="n">
        <x:f>IF(OR(M44="CRITICAL",W44="CRITICAL",Y44="OUTSIDE TOLERANCE",AK44="ESCALATED",AK44="ACCEPTANCE REQUESTED"),1,0)</x:f>
        <x:v>1</x:v>
      </x:c>
    </x:row>
    <x:row r="45">
      <x:c r="A45" s="27" t="str">
        <x:v>R-TEC-011</x:v>
      </x:c>
      <x:c r="B45" s="36" t="str">
        <x:v>Architecture &amp; Toolchain</x:v>
      </x:c>
      <x:c r="C45" s="36" t="str">
        <x:v>Asset import</x:v>
      </x:c>
      <x:c r="D45" s="36" t="str">
        <x:v>Existe el riesgo de que ocurra lo siguiente: Reimport masivo cambia resultados o GUID.</x:v>
      </x:c>
      <x:c r="E45" s="36" t="str">
        <x:v>Assets / scenes</x:v>
      </x:c>
      <x:c r="F45" s="36" t="str">
        <x:v>Development</x:v>
      </x:c>
      <x:c r="G45" s="36" t="str">
        <x:v>Ausencia, degradación o incumplimiento de los controles definidos para asset import.</x:v>
      </x:c>
      <x:c r="H45" s="36" t="str">
        <x:v>Reimport masivo cambia resultados o GUID</x:v>
      </x:c>
      <x:c r="I45" s="36" t="str">
        <x:v>Puede afectar a Assets / scenes, bloquear un gate, causar retrabajo, pérdida de datos/confianza o interrupción operativa.</x:v>
      </x:c>
      <x:c r="J45" s="38" t="n">
        <x:v>3</x:v>
      </x:c>
      <x:c r="K45" s="38" t="n">
        <x:v>5</x:v>
      </x:c>
      <x:c r="L45" s="38" t="n">
        <x:f>J45*K45</x:f>
        <x:v>15</x:v>
      </x:c>
      <x:c r="M45" s="27" t="str">
        <x:f>IF(L45&gt;=20,"CRITICAL",IF(L45&gt;=12,"HIGH",IF(L45&gt;=6,"MEDIUM","LOW")))</x:f>
        <x:v>HIGH</x:v>
      </x:c>
      <x:c r="N45" s="27" t="str">
        <x:v>FAST</x:v>
      </x:c>
      <x:c r="O45" s="27" t="str">
        <x:v>HARD</x:v>
      </x:c>
      <x:c r="P45" s="36" t="str">
        <x:v>Arquitectura por servicios, ADR, lock de paquetes, setup reproducible y CI/build records.</x:v>
      </x:c>
      <x:c r="Q45" s="27" t="str">
        <x:v>PARTIAL</x:v>
      </x:c>
      <x:c r="R45" s="27" t="str">
        <x:v>MITIGATE</x:v>
      </x:c>
      <x:c r="S45" s="36" t="str">
        <x:v>Aislar cambio, reproducir en entorno limpio, fijar versión y revertir si rompe gate.</x:v>
      </x:c>
      <x:c r="T45" s="38" t="n">
        <x:v>3</x:v>
      </x:c>
      <x:c r="U45" s="38" t="n">
        <x:v>5</x:v>
      </x:c>
      <x:c r="V45" s="38" t="n">
        <x:f>T45*U45</x:f>
        <x:v>15</x:v>
      </x:c>
      <x:c r="W45" s="27" t="str">
        <x:f>IF(V45&gt;=20,"CRITICAL",IF(V45&gt;=12,"HIGH",IF(V45&gt;=6,"MEDIUM","LOW")))</x:f>
        <x:v>HIGH</x:v>
      </x:c>
      <x:c r="X45" s="27" t="str">
        <x:v>LOW</x:v>
      </x:c>
      <x:c r="Y45" s="27" t="str">
        <x:f>IF(X45="ZERO",IF(V45=0,"WITHIN TOLERANCE","OUTSIDE TOLERANCE"),IF(X45="LOW",IF(V45&lt;=4,"WITHIN TOLERANCE","OUTSIDE TOLERANCE"),IF(X45="MODERATE",IF(V45&lt;=9,"WITHIN TOLERANCE","OUTSIDE TOLERANCE"),IF(X45="HIGH",IF(V45&lt;=16,"WITHIN TOLERANCE","OUTSIDE TOLERANCE"),"REVIEW"))))</x:f>
        <x:v>OUTSIDE TOLERANCE</x:v>
      </x:c>
      <x:c r="Z45" s="36" t="str">
        <x:v>Engineering</x:v>
      </x:c>
      <x:c r="AA45" s="36" t="str">
        <x:v>Build / Project Owner</x:v>
      </x:c>
      <x:c r="AB45" s="36" t="str">
        <x:v>Meta/GUID cambia inesperadamente</x:v>
      </x:c>
      <x:c r="AC45" s="36" t="str">
        <x:v>Umbral: evidencia positiva, tendencia adversa o gate bloqueado.</x:v>
      </x:c>
      <x:c r="AD45" s="36" t="str">
        <x:v>Congelar upgrades y reproducir con manifest/lock conocidos.</x:v>
      </x:c>
      <x:c r="AE45" s="36" t="str">
        <x:v>Restaurar versión Unity/paquetes y commit conocido; reconstruir desde cero.</x:v>
      </x:c>
      <x:c r="AF45" s="27" t="str">
        <x:v>BIA-04</x:v>
      </x:c>
      <x:c r="AG45" s="27" t="str">
        <x:v>PB-04</x:v>
      </x:c>
      <x:c r="AH45" s="27" t="str">
        <x:v>TA-TEC-011</x:v>
      </x:c>
      <x:c r="AI45" s="36" t="str">
        <x:v>03, 09, 10, 11, 13, 27, 30, 31</x:v>
      </x:c>
      <x:c r="AJ45" s="36" t="str">
        <x:v>TDD, setup, coding/build guides, ADR y build records</x:v>
      </x:c>
      <x:c r="AK45" s="27" t="str">
        <x:v>OPEN</x:v>
      </x:c>
      <x:c r="AL45" s="27" t="str">
        <x:v>WEEKLY</x:v>
      </x:c>
      <x:c r="AM45" s="40" t="str">
        <x:v>2026-07-01</x:v>
      </x:c>
      <x:c r="AN45" s="40" t="str">
        <x:v>2026-07-08</x:v>
      </x:c>
      <x:c r="AO45" s="27" t="str">
        <x:v>UNVERIFIED</x:v>
      </x:c>
      <x:c r="AP45" s="36" t="str">
        <x:v>Registro inicial consolidado; validar owner, controles y residual.</x:v>
      </x:c>
      <x:c r="AQ45" s="27" t="n">
        <x:f>IF(OR(M45="CRITICAL",W45="CRITICAL",Y45="OUTSIDE TOLERANCE",AK45="ESCALATED",AK45="ACCEPTANCE REQUESTED"),1,0)</x:f>
        <x:v>1</x:v>
      </x:c>
    </x:row>
    <x:row r="46">
      <x:c r="A46" s="27" t="str">
        <x:v>R-TEC-012</x:v>
      </x:c>
      <x:c r="B46" s="36" t="str">
        <x:v>Architecture &amp; Toolchain</x:v>
      </x:c>
      <x:c r="C46" s="36" t="str">
        <x:v>Branch divergence</x:v>
      </x:c>
      <x:c r="D46" s="36" t="str">
        <x:v>Existe el riesgo de que ocurra lo siguiente: Trabajo largo diverge y provoca integración destructiva.</x:v>
      </x:c>
      <x:c r="E46" s="36" t="str">
        <x:v>Source control</x:v>
      </x:c>
      <x:c r="F46" s="36" t="str">
        <x:v>Development</x:v>
      </x:c>
      <x:c r="G46" s="36" t="str">
        <x:v>Ausencia, degradación o incumplimiento de los controles definidos para branch divergence.</x:v>
      </x:c>
      <x:c r="H46" s="36" t="str">
        <x:v>Trabajo largo diverge y provoca integración destructiva</x:v>
      </x:c>
      <x:c r="I46" s="36" t="str">
        <x:v>Puede afectar a Source control, bloquear un gate, causar retrabajo, pérdida de datos/confianza o interrupción operativa.</x:v>
      </x:c>
      <x:c r="J46" s="38" t="n">
        <x:v>3</x:v>
      </x:c>
      <x:c r="K46" s="38" t="n">
        <x:v>4</x:v>
      </x:c>
      <x:c r="L46" s="38" t="n">
        <x:f>J46*K46</x:f>
        <x:v>12</x:v>
      </x:c>
      <x:c r="M46" s="27" t="str">
        <x:f>IF(L46&gt;=20,"CRITICAL",IF(L46&gt;=12,"HIGH",IF(L46&gt;=6,"MEDIUM","LOW")))</x:f>
        <x:v>HIGH</x:v>
      </x:c>
      <x:c r="N46" s="27" t="str">
        <x:v>MEDIUM</x:v>
      </x:c>
      <x:c r="O46" s="27" t="str">
        <x:v>MODERATE</x:v>
      </x:c>
      <x:c r="P46" s="36" t="str">
        <x:v>Arquitectura por servicios, ADR, lock de paquetes, setup reproducible y CI/build records.</x:v>
      </x:c>
      <x:c r="Q46" s="27" t="str">
        <x:v>PARTIAL</x:v>
      </x:c>
      <x:c r="R46" s="27" t="str">
        <x:v>MITIGATE</x:v>
      </x:c>
      <x:c r="S46" s="36" t="str">
        <x:v>Aislar cambio, reproducir en entorno limpio, fijar versión y revertir si rompe gate.</x:v>
      </x:c>
      <x:c r="T46" s="38" t="n">
        <x:v>3</x:v>
      </x:c>
      <x:c r="U46" s="38" t="n">
        <x:v>4</x:v>
      </x:c>
      <x:c r="V46" s="38" t="n">
        <x:f>T46*U46</x:f>
        <x:v>12</x:v>
      </x:c>
      <x:c r="W46" s="27" t="str">
        <x:f>IF(V46&gt;=20,"CRITICAL",IF(V46&gt;=12,"HIGH",IF(V46&gt;=6,"MEDIUM","LOW")))</x:f>
        <x:v>HIGH</x:v>
      </x:c>
      <x:c r="X46" s="27" t="str">
        <x:v>LOW</x:v>
      </x:c>
      <x:c r="Y46" s="27" t="str">
        <x:f>IF(X46="ZERO",IF(V46=0,"WITHIN TOLERANCE","OUTSIDE TOLERANCE"),IF(X46="LOW",IF(V46&lt;=4,"WITHIN TOLERANCE","OUTSIDE TOLERANCE"),IF(X46="MODERATE",IF(V46&lt;=9,"WITHIN TOLERANCE","OUTSIDE TOLERANCE"),IF(X46="HIGH",IF(V46&lt;=16,"WITHIN TOLERANCE","OUTSIDE TOLERANCE"),"REVIEW"))))</x:f>
        <x:v>OUTSIDE TOLERANCE</x:v>
      </x:c>
      <x:c r="Z46" s="36" t="str">
        <x:v>Engineering</x:v>
      </x:c>
      <x:c r="AA46" s="36" t="str">
        <x:v>Build / Project Owner</x:v>
      </x:c>
      <x:c r="AB46" s="36" t="str">
        <x:v>Branch &gt; 1 sprint sin merge</x:v>
      </x:c>
      <x:c r="AC46" s="36" t="str">
        <x:v>Umbral: evidencia positiva, tendencia adversa o gate bloqueado.</x:v>
      </x:c>
      <x:c r="AD46" s="36" t="str">
        <x:v>Congelar upgrades y reproducir con manifest/lock conocidos.</x:v>
      </x:c>
      <x:c r="AE46" s="36" t="str">
        <x:v>Restaurar versión Unity/paquetes y commit conocido; reconstruir desde cero.</x:v>
      </x:c>
      <x:c r="AF46" s="27" t="str">
        <x:v>BIA-04</x:v>
      </x:c>
      <x:c r="AG46" s="27" t="str">
        <x:v>PB-04</x:v>
      </x:c>
      <x:c r="AH46" s="27" t="str">
        <x:v>TA-TEC-012</x:v>
      </x:c>
      <x:c r="AI46" s="36" t="str">
        <x:v>03, 09, 10, 11, 13, 27, 30, 31</x:v>
      </x:c>
      <x:c r="AJ46" s="36" t="str">
        <x:v>TDD, setup, coding/build guides, ADR y build records</x:v>
      </x:c>
      <x:c r="AK46" s="27" t="str">
        <x:v>OPEN</x:v>
      </x:c>
      <x:c r="AL46" s="27" t="str">
        <x:v>MONTHLY</x:v>
      </x:c>
      <x:c r="AM46" s="40" t="str">
        <x:v>2026-07-01</x:v>
      </x:c>
      <x:c r="AN46" s="40" t="str">
        <x:v>2026-07-31</x:v>
      </x:c>
      <x:c r="AO46" s="27" t="str">
        <x:v>UNVERIFIED</x:v>
      </x:c>
      <x:c r="AP46" s="36" t="str">
        <x:v>Registro inicial consolidado; validar owner, controles y residual.</x:v>
      </x:c>
      <x:c r="AQ46" s="27" t="n">
        <x:f>IF(OR(M46="CRITICAL",W46="CRITICAL",Y46="OUTSIDE TOLERANCE",AK46="ESCALATED",AK46="ACCEPTANCE REQUESTED"),1,0)</x:f>
        <x:v>1</x:v>
      </x:c>
    </x:row>
    <x:row r="47">
      <x:c r="A47" s="27" t="str">
        <x:v>R-DAT-001</x:v>
      </x:c>
      <x:c r="B47" s="36" t="str">
        <x:v>Data, Save &amp; Integrity</x:v>
      </x:c>
      <x:c r="C47" s="36" t="str">
        <x:v>Corruption</x:v>
      </x:c>
      <x:c r="D47" s="36" t="str">
        <x:v>Existe el riesgo de que ocurra lo siguiente: Guardado primario y backup quedan inutilizables.</x:v>
      </x:c>
      <x:c r="E47" s="36" t="str">
        <x:v>Player progress</x:v>
      </x:c>
      <x:c r="F47" s="36" t="str">
        <x:v>All</x:v>
      </x:c>
      <x:c r="G47" s="36" t="str">
        <x:v>Ausencia, degradación o incumplimiento de los controles definidos para corruption.</x:v>
      </x:c>
      <x:c r="H47" s="36" t="str">
        <x:v>Guardado primario y backup quedan inutilizables</x:v>
      </x:c>
      <x:c r="I47" s="36" t="str">
        <x:v>Puede afectar a Player progress, bloquear un gate, causar retrabajo, pérdida de datos/confianza o interrupción operativa.</x:v>
      </x:c>
      <x:c r="J47" s="38" t="n">
        <x:v>2</x:v>
      </x:c>
      <x:c r="K47" s="38" t="n">
        <x:v>5</x:v>
      </x:c>
      <x:c r="L47" s="38" t="n">
        <x:f>J47*K47</x:f>
        <x:v>10</x:v>
      </x:c>
      <x:c r="M47" s="27" t="str">
        <x:f>IF(L47&gt;=20,"CRITICAL",IF(L47&gt;=12,"HIGH",IF(L47&gt;=6,"MEDIUM","LOW")))</x:f>
        <x:v>MEDIUM</x:v>
      </x:c>
      <x:c r="N47" s="27" t="str">
        <x:v>FAST</x:v>
      </x:c>
      <x:c r="O47" s="27" t="str">
        <x:v>HARD</x:v>
      </x:c>
      <x:c r="P47" s="36" t="str">
        <x:v>Escritura temporal, checksum, promoción atómica, backup, schema y pruebas destructivas.</x:v>
      </x:c>
      <x:c r="Q47" s="27" t="str">
        <x:v>PARTIAL</x:v>
      </x:c>
      <x:c r="R47" s="27" t="str">
        <x:v>MITIGATE</x:v>
      </x:c>
      <x:c r="S47" s="36" t="str">
        <x:v>Añadir validación, migración, backup independiente y recovery probado.</x:v>
      </x:c>
      <x:c r="T47" s="38" t="n">
        <x:v>2</x:v>
      </x:c>
      <x:c r="U47" s="38" t="n">
        <x:v>5</x:v>
      </x:c>
      <x:c r="V47" s="38" t="n">
        <x:f>T47*U47</x:f>
        <x:v>10</x:v>
      </x:c>
      <x:c r="W47" s="27" t="str">
        <x:f>IF(V47&gt;=20,"CRITICAL",IF(V47&gt;=12,"HIGH",IF(V47&gt;=6,"MEDIUM","LOW")))</x:f>
        <x:v>MEDIUM</x:v>
      </x:c>
      <x:c r="X47" s="27" t="str">
        <x:v>ZERO</x:v>
      </x:c>
      <x:c r="Y47" s="27" t="str">
        <x:f>IF(X47="ZERO",IF(V47=0,"WITHIN TOLERANCE","OUTSIDE TOLERANCE"),IF(X47="LOW",IF(V47&lt;=4,"WITHIN TOLERANCE","OUTSIDE TOLERANCE"),IF(X47="MODERATE",IF(V47&lt;=9,"WITHIN TOLERANCE","OUTSIDE TOLERANCE"),IF(X47="HIGH",IF(V47&lt;=16,"WITHIN TOLERANCE","OUTSIDE TOLERANCE"),"REVIEW"))))</x:f>
        <x:v>OUTSIDE TOLERANCE</x:v>
      </x:c>
      <x:c r="Z47" s="36" t="str">
        <x:v>Engineering / Data</x:v>
      </x:c>
      <x:c r="AA47" s="36" t="str">
        <x:v>QA</x:v>
      </x:c>
      <x:c r="AB47" s="36" t="str">
        <x:v>Checksum/migración falla en ambos</x:v>
      </x:c>
      <x:c r="AC47" s="36" t="str">
        <x:v>Umbral: evidencia positiva, tendencia adversa o gate bloqueado.</x:v>
      </x:c>
      <x:c r="AD47" s="36" t="str">
        <x:v>Bloquear escritura, preservar archivos y activar recuperación.</x:v>
      </x:c>
      <x:c r="AE47" s="36" t="str">
        <x:v>Restaurar backup válido, verificar checksum y documentar posible pérdida.</x:v>
      </x:c>
      <x:c r="AF47" s="27" t="str">
        <x:v>BIA-05</x:v>
      </x:c>
      <x:c r="AG47" s="27" t="str">
        <x:v>PB-05</x:v>
      </x:c>
      <x:c r="AH47" s="27" t="str">
        <x:v>TA-DAT-001</x:v>
      </x:c>
      <x:c r="AI47" s="36" t="str">
        <x:v>03, 04, 07, 08, 11, 25, 27, 31</x:v>
      </x:c>
      <x:c r="AJ47" s="36" t="str">
        <x:v>Modelo de Datos, TDD, QA y Sprint 14 save/recovery</x:v>
      </x:c>
      <x:c r="AK47" s="27" t="str">
        <x:v>OPEN</x:v>
      </x:c>
      <x:c r="AL47" s="27" t="str">
        <x:v>WEEKLY</x:v>
      </x:c>
      <x:c r="AM47" s="40" t="str">
        <x:v>2026-07-01</x:v>
      </x:c>
      <x:c r="AN47" s="40" t="str">
        <x:v>2026-07-08</x:v>
      </x:c>
      <x:c r="AO47" s="27" t="str">
        <x:v>UNVERIFIED</x:v>
      </x:c>
      <x:c r="AP47" s="36" t="str">
        <x:v>Registro inicial consolidado; validar owner, controles y residual.</x:v>
      </x:c>
      <x:c r="AQ47" s="27" t="n">
        <x:f>IF(OR(M47="CRITICAL",W47="CRITICAL",Y47="OUTSIDE TOLERANCE",AK47="ESCALATED",AK47="ACCEPTANCE REQUESTED"),1,0)</x:f>
        <x:v>1</x:v>
      </x:c>
    </x:row>
    <x:row r="48">
      <x:c r="A48" s="27" t="str">
        <x:v>R-DAT-002</x:v>
      </x:c>
      <x:c r="B48" s="36" t="str">
        <x:v>Data, Save &amp; Integrity</x:v>
      </x:c>
      <x:c r="C48" s="36" t="str">
        <x:v>Atomicity</x:v>
      </x:c>
      <x:c r="D48" s="36" t="str">
        <x:v>Existe el riesgo de que ocurra lo siguiente: Corte durante escritura deja archivo parcial.</x:v>
      </x:c>
      <x:c r="E48" s="36" t="str">
        <x:v>Player progress</x:v>
      </x:c>
      <x:c r="F48" s="36" t="str">
        <x:v>All</x:v>
      </x:c>
      <x:c r="G48" s="36" t="str">
        <x:v>Ausencia, degradación o incumplimiento de los controles definidos para atomicity.</x:v>
      </x:c>
      <x:c r="H48" s="36" t="str">
        <x:v>Corte durante escritura deja archivo parcial</x:v>
      </x:c>
      <x:c r="I48" s="36" t="str">
        <x:v>Puede afectar a Player progress, bloquear un gate, causar retrabajo, pérdida de datos/confianza o interrupción operativa.</x:v>
      </x:c>
      <x:c r="J48" s="38" t="n">
        <x:v>3</x:v>
      </x:c>
      <x:c r="K48" s="38" t="n">
        <x:v>5</x:v>
      </x:c>
      <x:c r="L48" s="38" t="n">
        <x:f>J48*K48</x:f>
        <x:v>15</x:v>
      </x:c>
      <x:c r="M48" s="27" t="str">
        <x:f>IF(L48&gt;=20,"CRITICAL",IF(L48&gt;=12,"HIGH",IF(L48&gt;=6,"MEDIUM","LOW")))</x:f>
        <x:v>HIGH</x:v>
      </x:c>
      <x:c r="N48" s="27" t="str">
        <x:v>FAST</x:v>
      </x:c>
      <x:c r="O48" s="27" t="str">
        <x:v>HARD</x:v>
      </x:c>
      <x:c r="P48" s="36" t="str">
        <x:v>Escritura temporal, checksum, promoción atómica, backup, schema y pruebas destructivas.</x:v>
      </x:c>
      <x:c r="Q48" s="27" t="str">
        <x:v>PARTIAL</x:v>
      </x:c>
      <x:c r="R48" s="27" t="str">
        <x:v>MITIGATE</x:v>
      </x:c>
      <x:c r="S48" s="36" t="str">
        <x:v>Añadir validación, migración, backup independiente y recovery probado.</x:v>
      </x:c>
      <x:c r="T48" s="38" t="n">
        <x:v>3</x:v>
      </x:c>
      <x:c r="U48" s="38" t="n">
        <x:v>5</x:v>
      </x:c>
      <x:c r="V48" s="38" t="n">
        <x:f>T48*U48</x:f>
        <x:v>15</x:v>
      </x:c>
      <x:c r="W48" s="27" t="str">
        <x:f>IF(V48&gt;=20,"CRITICAL",IF(V48&gt;=12,"HIGH",IF(V48&gt;=6,"MEDIUM","LOW")))</x:f>
        <x:v>HIGH</x:v>
      </x:c>
      <x:c r="X48" s="27" t="str">
        <x:v>ZERO</x:v>
      </x:c>
      <x:c r="Y48" s="27" t="str">
        <x:f>IF(X48="ZERO",IF(V48=0,"WITHIN TOLERANCE","OUTSIDE TOLERANCE"),IF(X48="LOW",IF(V48&lt;=4,"WITHIN TOLERANCE","OUTSIDE TOLERANCE"),IF(X48="MODERATE",IF(V48&lt;=9,"WITHIN TOLERANCE","OUTSIDE TOLERANCE"),IF(X48="HIGH",IF(V48&lt;=16,"WITHIN TOLERANCE","OUTSIDE TOLERANCE"),"REVIEW"))))</x:f>
        <x:v>OUTSIDE TOLERANCE</x:v>
      </x:c>
      <x:c r="Z48" s="36" t="str">
        <x:v>Engineering / Data</x:v>
      </x:c>
      <x:c r="AA48" s="36" t="str">
        <x:v>QA</x:v>
      </x:c>
      <x:c r="AB48" s="36" t="str">
        <x:v>Temporal/promoción no completados</x:v>
      </x:c>
      <x:c r="AC48" s="36" t="str">
        <x:v>Umbral: evidencia positiva, tendencia adversa o gate bloqueado.</x:v>
      </x:c>
      <x:c r="AD48" s="36" t="str">
        <x:v>Bloquear escritura, preservar archivos y activar recuperación.</x:v>
      </x:c>
      <x:c r="AE48" s="36" t="str">
        <x:v>Restaurar backup válido, verificar checksum y documentar posible pérdida.</x:v>
      </x:c>
      <x:c r="AF48" s="27" t="str">
        <x:v>BIA-05</x:v>
      </x:c>
      <x:c r="AG48" s="27" t="str">
        <x:v>PB-05</x:v>
      </x:c>
      <x:c r="AH48" s="27" t="str">
        <x:v>TA-DAT-002</x:v>
      </x:c>
      <x:c r="AI48" s="36" t="str">
        <x:v>03, 04, 07, 08, 11, 25, 27, 31</x:v>
      </x:c>
      <x:c r="AJ48" s="36" t="str">
        <x:v>Modelo de Datos, TDD, QA y Sprint 14 save/recovery</x:v>
      </x:c>
      <x:c r="AK48" s="27" t="str">
        <x:v>OPEN</x:v>
      </x:c>
      <x:c r="AL48" s="27" t="str">
        <x:v>WEEKLY</x:v>
      </x:c>
      <x:c r="AM48" s="40" t="str">
        <x:v>2026-07-01</x:v>
      </x:c>
      <x:c r="AN48" s="40" t="str">
        <x:v>2026-07-08</x:v>
      </x:c>
      <x:c r="AO48" s="27" t="str">
        <x:v>UNVERIFIED</x:v>
      </x:c>
      <x:c r="AP48" s="36" t="str">
        <x:v>Registro inicial consolidado; validar owner, controles y residual.</x:v>
      </x:c>
      <x:c r="AQ48" s="27" t="n">
        <x:f>IF(OR(M48="CRITICAL",W48="CRITICAL",Y48="OUTSIDE TOLERANCE",AK48="ESCALATED",AK48="ACCEPTANCE REQUESTED"),1,0)</x:f>
        <x:v>1</x:v>
      </x:c>
    </x:row>
    <x:row r="49">
      <x:c r="A49" s="27" t="str">
        <x:v>R-DAT-003</x:v>
      </x:c>
      <x:c r="B49" s="36" t="str">
        <x:v>Data, Save &amp; Integrity</x:v>
      </x:c>
      <x:c r="C49" s="36" t="str">
        <x:v>Backup overwrite</x:v>
      </x:c>
      <x:c r="D49" s="36" t="str">
        <x:v>Existe el riesgo de que ocurra lo siguiente: Backup válido se reemplaza por estado corrupto.</x:v>
      </x:c>
      <x:c r="E49" s="36" t="str">
        <x:v>Recovery path</x:v>
      </x:c>
      <x:c r="F49" s="36" t="str">
        <x:v>All</x:v>
      </x:c>
      <x:c r="G49" s="36" t="str">
        <x:v>Ausencia, degradación o incumplimiento de los controles definidos para backup overwrite.</x:v>
      </x:c>
      <x:c r="H49" s="36" t="str">
        <x:v>Backup válido se reemplaza por estado corrupto</x:v>
      </x:c>
      <x:c r="I49" s="36" t="str">
        <x:v>Puede afectar a Recovery path, bloquear un gate, causar retrabajo, pérdida de datos/confianza o interrupción operativa.</x:v>
      </x:c>
      <x:c r="J49" s="38" t="n">
        <x:v>3</x:v>
      </x:c>
      <x:c r="K49" s="38" t="n">
        <x:v>5</x:v>
      </x:c>
      <x:c r="L49" s="38" t="n">
        <x:f>J49*K49</x:f>
        <x:v>15</x:v>
      </x:c>
      <x:c r="M49" s="27" t="str">
        <x:f>IF(L49&gt;=20,"CRITICAL",IF(L49&gt;=12,"HIGH",IF(L49&gt;=6,"MEDIUM","LOW")))</x:f>
        <x:v>HIGH</x:v>
      </x:c>
      <x:c r="N49" s="27" t="str">
        <x:v>FAST</x:v>
      </x:c>
      <x:c r="O49" s="27" t="str">
        <x:v>HARD</x:v>
      </x:c>
      <x:c r="P49" s="36" t="str">
        <x:v>Escritura temporal, checksum, promoción atómica, backup, schema y pruebas destructivas.</x:v>
      </x:c>
      <x:c r="Q49" s="27" t="str">
        <x:v>PARTIAL</x:v>
      </x:c>
      <x:c r="R49" s="27" t="str">
        <x:v>MITIGATE</x:v>
      </x:c>
      <x:c r="S49" s="36" t="str">
        <x:v>Añadir validación, migración, backup independiente y recovery probado.</x:v>
      </x:c>
      <x:c r="T49" s="38" t="n">
        <x:v>3</x:v>
      </x:c>
      <x:c r="U49" s="38" t="n">
        <x:v>5</x:v>
      </x:c>
      <x:c r="V49" s="38" t="n">
        <x:f>T49*U49</x:f>
        <x:v>15</x:v>
      </x:c>
      <x:c r="W49" s="27" t="str">
        <x:f>IF(V49&gt;=20,"CRITICAL",IF(V49&gt;=12,"HIGH",IF(V49&gt;=6,"MEDIUM","LOW")))</x:f>
        <x:v>HIGH</x:v>
      </x:c>
      <x:c r="X49" s="27" t="str">
        <x:v>ZERO</x:v>
      </x:c>
      <x:c r="Y49" s="27" t="str">
        <x:f>IF(X49="ZERO",IF(V49=0,"WITHIN TOLERANCE","OUTSIDE TOLERANCE"),IF(X49="LOW",IF(V49&lt;=4,"WITHIN TOLERANCE","OUTSIDE TOLERANCE"),IF(X49="MODERATE",IF(V49&lt;=9,"WITHIN TOLERANCE","OUTSIDE TOLERANCE"),IF(X49="HIGH",IF(V49&lt;=16,"WITHIN TOLERANCE","OUTSIDE TOLERANCE"),"REVIEW"))))</x:f>
        <x:v>OUTSIDE TOLERANCE</x:v>
      </x:c>
      <x:c r="Z49" s="36" t="str">
        <x:v>Engineering / Data</x:v>
      </x:c>
      <x:c r="AA49" s="36" t="str">
        <x:v>QA</x:v>
      </x:c>
      <x:c r="AB49" s="36" t="str">
        <x:v>Rotación ocurre antes de validar</x:v>
      </x:c>
      <x:c r="AC49" s="36" t="str">
        <x:v>Umbral: evidencia positiva, tendencia adversa o gate bloqueado.</x:v>
      </x:c>
      <x:c r="AD49" s="36" t="str">
        <x:v>Bloquear escritura, preservar archivos y activar recuperación.</x:v>
      </x:c>
      <x:c r="AE49" s="36" t="str">
        <x:v>Restaurar backup válido, verificar checksum y documentar posible pérdida.</x:v>
      </x:c>
      <x:c r="AF49" s="27" t="str">
        <x:v>BIA-05</x:v>
      </x:c>
      <x:c r="AG49" s="27" t="str">
        <x:v>PB-05</x:v>
      </x:c>
      <x:c r="AH49" s="27" t="str">
        <x:v>TA-DAT-003</x:v>
      </x:c>
      <x:c r="AI49" s="36" t="str">
        <x:v>03, 04, 07, 08, 11, 25, 27, 31</x:v>
      </x:c>
      <x:c r="AJ49" s="36" t="str">
        <x:v>Modelo de Datos, TDD, QA y Sprint 14 save/recovery</x:v>
      </x:c>
      <x:c r="AK49" s="27" t="str">
        <x:v>OPEN</x:v>
      </x:c>
      <x:c r="AL49" s="27" t="str">
        <x:v>WEEKLY</x:v>
      </x:c>
      <x:c r="AM49" s="40" t="str">
        <x:v>2026-07-01</x:v>
      </x:c>
      <x:c r="AN49" s="40" t="str">
        <x:v>2026-07-08</x:v>
      </x:c>
      <x:c r="AO49" s="27" t="str">
        <x:v>UNVERIFIED</x:v>
      </x:c>
      <x:c r="AP49" s="36" t="str">
        <x:v>Registro inicial consolidado; validar owner, controles y residual.</x:v>
      </x:c>
      <x:c r="AQ49" s="27" t="n">
        <x:f>IF(OR(M49="CRITICAL",W49="CRITICAL",Y49="OUTSIDE TOLERANCE",AK49="ESCALATED",AK49="ACCEPTANCE REQUESTED"),1,0)</x:f>
        <x:v>1</x:v>
      </x:c>
    </x:row>
    <x:row r="50">
      <x:c r="A50" s="27" t="str">
        <x:v>R-DAT-004</x:v>
      </x:c>
      <x:c r="B50" s="36" t="str">
        <x:v>Data, Save &amp; Integrity</x:v>
      </x:c>
      <x:c r="C50" s="36" t="str">
        <x:v>Schema migration</x:v>
      </x:c>
      <x:c r="D50" s="36" t="str">
        <x:v>Existe el riesgo de que ocurra lo siguiente: Nueva versión no migra saves anteriores.</x:v>
      </x:c>
      <x:c r="E50" s="36" t="str">
        <x:v>Compatibility</x:v>
      </x:c>
      <x:c r="F50" s="36" t="str">
        <x:v>Release/Post-launch</x:v>
      </x:c>
      <x:c r="G50" s="36" t="str">
        <x:v>Ausencia, degradación o incumplimiento de los controles definidos para schema migration.</x:v>
      </x:c>
      <x:c r="H50" s="36" t="str">
        <x:v>Nueva versión no migra saves anteriores</x:v>
      </x:c>
      <x:c r="I50" s="36" t="str">
        <x:v>Puede afectar a Compatibility, bloquear un gate, causar retrabajo, pérdida de datos/confianza o interrupción operativa.</x:v>
      </x:c>
      <x:c r="J50" s="38" t="n">
        <x:v>3</x:v>
      </x:c>
      <x:c r="K50" s="38" t="n">
        <x:v>5</x:v>
      </x:c>
      <x:c r="L50" s="38" t="n">
        <x:f>J50*K50</x:f>
        <x:v>15</x:v>
      </x:c>
      <x:c r="M50" s="27" t="str">
        <x:f>IF(L50&gt;=20,"CRITICAL",IF(L50&gt;=12,"HIGH",IF(L50&gt;=6,"MEDIUM","LOW")))</x:f>
        <x:v>HIGH</x:v>
      </x:c>
      <x:c r="N50" s="27" t="str">
        <x:v>MEDIUM</x:v>
      </x:c>
      <x:c r="O50" s="27" t="str">
        <x:v>MODERATE</x:v>
      </x:c>
      <x:c r="P50" s="36" t="str">
        <x:v>Escritura temporal, checksum, promoción atómica, backup, schema y pruebas destructivas.</x:v>
      </x:c>
      <x:c r="Q50" s="27" t="str">
        <x:v>PARTIAL</x:v>
      </x:c>
      <x:c r="R50" s="27" t="str">
        <x:v>MITIGATE</x:v>
      </x:c>
      <x:c r="S50" s="36" t="str">
        <x:v>Añadir validación, migración, backup independiente y recovery probado.</x:v>
      </x:c>
      <x:c r="T50" s="38" t="n">
        <x:v>3</x:v>
      </x:c>
      <x:c r="U50" s="38" t="n">
        <x:v>5</x:v>
      </x:c>
      <x:c r="V50" s="38" t="n">
        <x:f>T50*U50</x:f>
        <x:v>15</x:v>
      </x:c>
      <x:c r="W50" s="27" t="str">
        <x:f>IF(V50&gt;=20,"CRITICAL",IF(V50&gt;=12,"HIGH",IF(V50&gt;=6,"MEDIUM","LOW")))</x:f>
        <x:v>HIGH</x:v>
      </x:c>
      <x:c r="X50" s="27" t="str">
        <x:v>ZERO</x:v>
      </x:c>
      <x:c r="Y50" s="27" t="str">
        <x:f>IF(X50="ZERO",IF(V50=0,"WITHIN TOLERANCE","OUTSIDE TOLERANCE"),IF(X50="LOW",IF(V50&lt;=4,"WITHIN TOLERANCE","OUTSIDE TOLERANCE"),IF(X50="MODERATE",IF(V50&lt;=9,"WITHIN TOLERANCE","OUTSIDE TOLERANCE"),IF(X50="HIGH",IF(V50&lt;=16,"WITHIN TOLERANCE","OUTSIDE TOLERANCE"),"REVIEW"))))</x:f>
        <x:v>OUTSIDE TOLERANCE</x:v>
      </x:c>
      <x:c r="Z50" s="36" t="str">
        <x:v>Engineering / Data</x:v>
      </x:c>
      <x:c r="AA50" s="36" t="str">
        <x:v>QA</x:v>
      </x:c>
      <x:c r="AB50" s="36" t="str">
        <x:v>SchemaVersion desconocida</x:v>
      </x:c>
      <x:c r="AC50" s="36" t="str">
        <x:v>Umbral: evidencia positiva, tendencia adversa o gate bloqueado.</x:v>
      </x:c>
      <x:c r="AD50" s="36" t="str">
        <x:v>Bloquear escritura, preservar archivos y activar recuperación.</x:v>
      </x:c>
      <x:c r="AE50" s="36" t="str">
        <x:v>Restaurar backup válido, verificar checksum y documentar posible pérdida.</x:v>
      </x:c>
      <x:c r="AF50" s="27" t="str">
        <x:v>BIA-05</x:v>
      </x:c>
      <x:c r="AG50" s="27" t="str">
        <x:v>PB-05</x:v>
      </x:c>
      <x:c r="AH50" s="27" t="str">
        <x:v>TA-DAT-004</x:v>
      </x:c>
      <x:c r="AI50" s="36" t="str">
        <x:v>03, 04, 07, 08, 11, 25, 27, 31</x:v>
      </x:c>
      <x:c r="AJ50" s="36" t="str">
        <x:v>Modelo de Datos, TDD, QA y Sprint 14 save/recovery</x:v>
      </x:c>
      <x:c r="AK50" s="27" t="str">
        <x:v>OPEN</x:v>
      </x:c>
      <x:c r="AL50" s="27" t="str">
        <x:v>MONTHLY</x:v>
      </x:c>
      <x:c r="AM50" s="40" t="str">
        <x:v>2026-07-01</x:v>
      </x:c>
      <x:c r="AN50" s="40" t="str">
        <x:v>2026-07-31</x:v>
      </x:c>
      <x:c r="AO50" s="27" t="str">
        <x:v>UNVERIFIED</x:v>
      </x:c>
      <x:c r="AP50" s="36" t="str">
        <x:v>Registro inicial consolidado; validar owner, controles y residual.</x:v>
      </x:c>
      <x:c r="AQ50" s="27" t="n">
        <x:f>IF(OR(M50="CRITICAL",W50="CRITICAL",Y50="OUTSIDE TOLERANCE",AK50="ESCALATED",AK50="ACCEPTANCE REQUESTED"),1,0)</x:f>
        <x:v>1</x:v>
      </x:c>
    </x:row>
    <x:row r="51">
      <x:c r="A51" s="27" t="str">
        <x:v>R-DAT-005</x:v>
      </x:c>
      <x:c r="B51" s="36" t="str">
        <x:v>Data, Save &amp; Integrity</x:v>
      </x:c>
      <x:c r="C51" s="36" t="str">
        <x:v>Downgrade</x:v>
      </x:c>
      <x:c r="D51" s="36" t="str">
        <x:v>Existe el riesgo de que ocurra lo siguiente: Abrir save nuevo en build antigua destruye datos.</x:v>
      </x:c>
      <x:c r="E51" s="36" t="str">
        <x:v>Compatibility</x:v>
      </x:c>
      <x:c r="F51" s="36" t="str">
        <x:v>QA/Support</x:v>
      </x:c>
      <x:c r="G51" s="36" t="str">
        <x:v>Ausencia, degradación o incumplimiento de los controles definidos para downgrade.</x:v>
      </x:c>
      <x:c r="H51" s="36" t="str">
        <x:v>Abrir save nuevo en build antigua destruye datos</x:v>
      </x:c>
      <x:c r="I51" s="36" t="str">
        <x:v>Puede afectar a Compatibility, bloquear un gate, causar retrabajo, pérdida de datos/confianza o interrupción operativa.</x:v>
      </x:c>
      <x:c r="J51" s="38" t="n">
        <x:v>2</x:v>
      </x:c>
      <x:c r="K51" s="38" t="n">
        <x:v>4</x:v>
      </x:c>
      <x:c r="L51" s="38" t="n">
        <x:f>J51*K51</x:f>
        <x:v>8</x:v>
      </x:c>
      <x:c r="M51" s="27" t="str">
        <x:f>IF(L51&gt;=20,"CRITICAL",IF(L51&gt;=12,"HIGH",IF(L51&gt;=6,"MEDIUM","LOW")))</x:f>
        <x:v>MEDIUM</x:v>
      </x:c>
      <x:c r="N51" s="27" t="str">
        <x:v>FAST</x:v>
      </x:c>
      <x:c r="O51" s="27" t="str">
        <x:v>HARD</x:v>
      </x:c>
      <x:c r="P51" s="36" t="str">
        <x:v>Escritura temporal, checksum, promoción atómica, backup, schema y pruebas destructivas.</x:v>
      </x:c>
      <x:c r="Q51" s="27" t="str">
        <x:v>PARTIAL</x:v>
      </x:c>
      <x:c r="R51" s="27" t="str">
        <x:v>MITIGATE</x:v>
      </x:c>
      <x:c r="S51" s="36" t="str">
        <x:v>Añadir validación, migración, backup independiente y recovery probado.</x:v>
      </x:c>
      <x:c r="T51" s="38" t="n">
        <x:v>2</x:v>
      </x:c>
      <x:c r="U51" s="38" t="n">
        <x:v>4</x:v>
      </x:c>
      <x:c r="V51" s="38" t="n">
        <x:f>T51*U51</x:f>
        <x:v>8</x:v>
      </x:c>
      <x:c r="W51" s="27" t="str">
        <x:f>IF(V51&gt;=20,"CRITICAL",IF(V51&gt;=12,"HIGH",IF(V51&gt;=6,"MEDIUM","LOW")))</x:f>
        <x:v>MEDIUM</x:v>
      </x:c>
      <x:c r="X51" s="27" t="str">
        <x:v>ZERO</x:v>
      </x:c>
      <x:c r="Y51" s="27" t="str">
        <x:f>IF(X51="ZERO",IF(V51=0,"WITHIN TOLERANCE","OUTSIDE TOLERANCE"),IF(X51="LOW",IF(V51&lt;=4,"WITHIN TOLERANCE","OUTSIDE TOLERANCE"),IF(X51="MODERATE",IF(V51&lt;=9,"WITHIN TOLERANCE","OUTSIDE TOLERANCE"),IF(X51="HIGH",IF(V51&lt;=16,"WITHIN TOLERANCE","OUTSIDE TOLERANCE"),"REVIEW"))))</x:f>
        <x:v>OUTSIDE TOLERANCE</x:v>
      </x:c>
      <x:c r="Z51" s="36" t="str">
        <x:v>Engineering / Data</x:v>
      </x:c>
      <x:c r="AA51" s="36" t="str">
        <x:v>QA</x:v>
      </x:c>
      <x:c r="AB51" s="36" t="str">
        <x:v>Downgrade no bloqueado</x:v>
      </x:c>
      <x:c r="AC51" s="36" t="str">
        <x:v>Umbral: evidencia positiva, tendencia adversa o gate bloqueado.</x:v>
      </x:c>
      <x:c r="AD51" s="36" t="str">
        <x:v>Bloquear escritura, preservar archivos y activar recuperación.</x:v>
      </x:c>
      <x:c r="AE51" s="36" t="str">
        <x:v>Restaurar backup válido, verificar checksum y documentar posible pérdida.</x:v>
      </x:c>
      <x:c r="AF51" s="27" t="str">
        <x:v>BIA-05</x:v>
      </x:c>
      <x:c r="AG51" s="27" t="str">
        <x:v>PB-05</x:v>
      </x:c>
      <x:c r="AH51" s="27" t="str">
        <x:v>TA-DAT-005</x:v>
      </x:c>
      <x:c r="AI51" s="36" t="str">
        <x:v>03, 04, 07, 08, 11, 25, 27, 31</x:v>
      </x:c>
      <x:c r="AJ51" s="36" t="str">
        <x:v>Modelo de Datos, TDD, QA y Sprint 14 save/recovery</x:v>
      </x:c>
      <x:c r="AK51" s="27" t="str">
        <x:v>OPEN</x:v>
      </x:c>
      <x:c r="AL51" s="27" t="str">
        <x:v>WEEKLY</x:v>
      </x:c>
      <x:c r="AM51" s="40" t="str">
        <x:v>2026-07-01</x:v>
      </x:c>
      <x:c r="AN51" s="40" t="str">
        <x:v>2026-07-08</x:v>
      </x:c>
      <x:c r="AO51" s="27" t="str">
        <x:v>UNVERIFIED</x:v>
      </x:c>
      <x:c r="AP51" s="36" t="str">
        <x:v>Registro inicial consolidado; validar owner, controles y residual.</x:v>
      </x:c>
      <x:c r="AQ51" s="27" t="n">
        <x:f>IF(OR(M51="CRITICAL",W51="CRITICAL",Y51="OUTSIDE TOLERANCE",AK51="ESCALATED",AK51="ACCEPTANCE REQUESTED"),1,0)</x:f>
        <x:v>1</x:v>
      </x:c>
    </x:row>
    <x:row r="52">
      <x:c r="A52" s="27" t="str">
        <x:v>R-DAT-006</x:v>
      </x:c>
      <x:c r="B52" s="36" t="str">
        <x:v>Data, Save &amp; Integrity</x:v>
      </x:c>
      <x:c r="C52" s="36" t="str">
        <x:v>Slot isolation</x:v>
      </x:c>
      <x:c r="D52" s="36" t="str">
        <x:v>Existe el riesgo de que ocurra lo siguiente: Una operación afecta al slot equivocado.</x:v>
      </x:c>
      <x:c r="E52" s="36" t="str">
        <x:v>Save slots</x:v>
      </x:c>
      <x:c r="F52" s="36" t="str">
        <x:v>Development</x:v>
      </x:c>
      <x:c r="G52" s="36" t="str">
        <x:v>Ausencia, degradación o incumplimiento de los controles definidos para slot isolation.</x:v>
      </x:c>
      <x:c r="H52" s="36" t="str">
        <x:v>Una operación afecta al slot equivocado</x:v>
      </x:c>
      <x:c r="I52" s="36" t="str">
        <x:v>Puede afectar a Save slots, bloquear un gate, causar retrabajo, pérdida de datos/confianza o interrupción operativa.</x:v>
      </x:c>
      <x:c r="J52" s="38" t="n">
        <x:v>2</x:v>
      </x:c>
      <x:c r="K52" s="38" t="n">
        <x:v>5</x:v>
      </x:c>
      <x:c r="L52" s="38" t="n">
        <x:f>J52*K52</x:f>
        <x:v>10</x:v>
      </x:c>
      <x:c r="M52" s="27" t="str">
        <x:f>IF(L52&gt;=20,"CRITICAL",IF(L52&gt;=12,"HIGH",IF(L52&gt;=6,"MEDIUM","LOW")))</x:f>
        <x:v>MEDIUM</x:v>
      </x:c>
      <x:c r="N52" s="27" t="str">
        <x:v>FAST</x:v>
      </x:c>
      <x:c r="O52" s="27" t="str">
        <x:v>HARD</x:v>
      </x:c>
      <x:c r="P52" s="36" t="str">
        <x:v>Escritura temporal, checksum, promoción atómica, backup, schema y pruebas destructivas.</x:v>
      </x:c>
      <x:c r="Q52" s="27" t="str">
        <x:v>PARTIAL</x:v>
      </x:c>
      <x:c r="R52" s="27" t="str">
        <x:v>MITIGATE</x:v>
      </x:c>
      <x:c r="S52" s="36" t="str">
        <x:v>Añadir validación, migración, backup independiente y recovery probado.</x:v>
      </x:c>
      <x:c r="T52" s="38" t="n">
        <x:v>2</x:v>
      </x:c>
      <x:c r="U52" s="38" t="n">
        <x:v>5</x:v>
      </x:c>
      <x:c r="V52" s="38" t="n">
        <x:f>T52*U52</x:f>
        <x:v>10</x:v>
      </x:c>
      <x:c r="W52" s="27" t="str">
        <x:f>IF(V52&gt;=20,"CRITICAL",IF(V52&gt;=12,"HIGH",IF(V52&gt;=6,"MEDIUM","LOW")))</x:f>
        <x:v>MEDIUM</x:v>
      </x:c>
      <x:c r="X52" s="27" t="str">
        <x:v>ZERO</x:v>
      </x:c>
      <x:c r="Y52" s="27" t="str">
        <x:f>IF(X52="ZERO",IF(V52=0,"WITHIN TOLERANCE","OUTSIDE TOLERANCE"),IF(X52="LOW",IF(V52&lt;=4,"WITHIN TOLERANCE","OUTSIDE TOLERANCE"),IF(X52="MODERATE",IF(V52&lt;=9,"WITHIN TOLERANCE","OUTSIDE TOLERANCE"),IF(X52="HIGH",IF(V52&lt;=16,"WITHIN TOLERANCE","OUTSIDE TOLERANCE"),"REVIEW"))))</x:f>
        <x:v>OUTSIDE TOLERANCE</x:v>
      </x:c>
      <x:c r="Z52" s="36" t="str">
        <x:v>Engineering / Data</x:v>
      </x:c>
      <x:c r="AA52" s="36" t="str">
        <x:v>QA</x:v>
      </x:c>
      <x:c r="AB52" s="36" t="str">
        <x:v>IDs/path de slot se cruzan</x:v>
      </x:c>
      <x:c r="AC52" s="36" t="str">
        <x:v>Umbral: evidencia positiva, tendencia adversa o gate bloqueado.</x:v>
      </x:c>
      <x:c r="AD52" s="36" t="str">
        <x:v>Bloquear escritura, preservar archivos y activar recuperación.</x:v>
      </x:c>
      <x:c r="AE52" s="36" t="str">
        <x:v>Restaurar backup válido, verificar checksum y documentar posible pérdida.</x:v>
      </x:c>
      <x:c r="AF52" s="27" t="str">
        <x:v>BIA-05</x:v>
      </x:c>
      <x:c r="AG52" s="27" t="str">
        <x:v>PB-05</x:v>
      </x:c>
      <x:c r="AH52" s="27" t="str">
        <x:v>TA-DAT-006</x:v>
      </x:c>
      <x:c r="AI52" s="36" t="str">
        <x:v>03, 04, 07, 08, 11, 25, 27, 31</x:v>
      </x:c>
      <x:c r="AJ52" s="36" t="str">
        <x:v>Modelo de Datos, TDD, QA y Sprint 14 save/recovery</x:v>
      </x:c>
      <x:c r="AK52" s="27" t="str">
        <x:v>OPEN</x:v>
      </x:c>
      <x:c r="AL52" s="27" t="str">
        <x:v>WEEKLY</x:v>
      </x:c>
      <x:c r="AM52" s="40" t="str">
        <x:v>2026-07-01</x:v>
      </x:c>
      <x:c r="AN52" s="40" t="str">
        <x:v>2026-07-08</x:v>
      </x:c>
      <x:c r="AO52" s="27" t="str">
        <x:v>UNVERIFIED</x:v>
      </x:c>
      <x:c r="AP52" s="36" t="str">
        <x:v>Registro inicial consolidado; validar owner, controles y residual.</x:v>
      </x:c>
      <x:c r="AQ52" s="27" t="n">
        <x:f>IF(OR(M52="CRITICAL",W52="CRITICAL",Y52="OUTSIDE TOLERANCE",AK52="ESCALATED",AK52="ACCEPTANCE REQUESTED"),1,0)</x:f>
        <x:v>1</x:v>
      </x:c>
    </x:row>
    <x:row r="53">
      <x:c r="A53" s="27" t="str">
        <x:v>R-DAT-007</x:v>
      </x:c>
      <x:c r="B53" s="36" t="str">
        <x:v>Data, Save &amp; Integrity</x:v>
      </x:c>
      <x:c r="C53" s="36" t="str">
        <x:v>Settings separation</x:v>
      </x:c>
      <x:c r="D53" s="36" t="str">
        <x:v>Existe el riesgo de que ocurra lo siguiente: Preferencias globales se pierden o contaminan save.</x:v>
      </x:c>
      <x:c r="E53" s="36" t="str">
        <x:v>Player settings</x:v>
      </x:c>
      <x:c r="F53" s="36" t="str">
        <x:v>All</x:v>
      </x:c>
      <x:c r="G53" s="36" t="str">
        <x:v>Ausencia, degradación o incumplimiento de los controles definidos para settings separation.</x:v>
      </x:c>
      <x:c r="H53" s="36" t="str">
        <x:v>Preferencias globales se pierden o contaminan save</x:v>
      </x:c>
      <x:c r="I53" s="36" t="str">
        <x:v>Puede afectar a Player settings, bloquear un gate, causar retrabajo, pérdida de datos/confianza o interrupción operativa.</x:v>
      </x:c>
      <x:c r="J53" s="38" t="n">
        <x:v>3</x:v>
      </x:c>
      <x:c r="K53" s="38" t="n">
        <x:v>3</x:v>
      </x:c>
      <x:c r="L53" s="38" t="n">
        <x:f>J53*K53</x:f>
        <x:v>9</x:v>
      </x:c>
      <x:c r="M53" s="27" t="str">
        <x:f>IF(L53&gt;=20,"CRITICAL",IF(L53&gt;=12,"HIGH",IF(L53&gt;=6,"MEDIUM","LOW")))</x:f>
        <x:v>MEDIUM</x:v>
      </x:c>
      <x:c r="N53" s="27" t="str">
        <x:v>MEDIUM</x:v>
      </x:c>
      <x:c r="O53" s="27" t="str">
        <x:v>MODERATE</x:v>
      </x:c>
      <x:c r="P53" s="36" t="str">
        <x:v>Escritura temporal, checksum, promoción atómica, backup, schema y pruebas destructivas.</x:v>
      </x:c>
      <x:c r="Q53" s="27" t="str">
        <x:v>PARTIAL</x:v>
      </x:c>
      <x:c r="R53" s="27" t="str">
        <x:v>MITIGATE</x:v>
      </x:c>
      <x:c r="S53" s="36" t="str">
        <x:v>Añadir validación, migración, backup independiente y recovery probado.</x:v>
      </x:c>
      <x:c r="T53" s="38" t="n">
        <x:v>3</x:v>
      </x:c>
      <x:c r="U53" s="38" t="n">
        <x:v>3</x:v>
      </x:c>
      <x:c r="V53" s="38" t="n">
        <x:f>T53*U53</x:f>
        <x:v>9</x:v>
      </x:c>
      <x:c r="W53" s="27" t="str">
        <x:f>IF(V53&gt;=20,"CRITICAL",IF(V53&gt;=12,"HIGH",IF(V53&gt;=6,"MEDIUM","LOW")))</x:f>
        <x:v>MEDIUM</x:v>
      </x:c>
      <x:c r="X53" s="27" t="str">
        <x:v>ZERO</x:v>
      </x:c>
      <x:c r="Y53" s="27" t="str">
        <x:f>IF(X53="ZERO",IF(V53=0,"WITHIN TOLERANCE","OUTSIDE TOLERANCE"),IF(X53="LOW",IF(V53&lt;=4,"WITHIN TOLERANCE","OUTSIDE TOLERANCE"),IF(X53="MODERATE",IF(V53&lt;=9,"WITHIN TOLERANCE","OUTSIDE TOLERANCE"),IF(X53="HIGH",IF(V53&lt;=16,"WITHIN TOLERANCE","OUTSIDE TOLERANCE"),"REVIEW"))))</x:f>
        <x:v>OUTSIDE TOLERANCE</x:v>
      </x:c>
      <x:c r="Z53" s="36" t="str">
        <x:v>Engineering / Data</x:v>
      </x:c>
      <x:c r="AA53" s="36" t="str">
        <x:v>QA</x:v>
      </x:c>
      <x:c r="AB53" s="36" t="str">
        <x:v>Configuración ligada a slot</x:v>
      </x:c>
      <x:c r="AC53" s="36" t="str">
        <x:v>Umbral: evidencia positiva, tendencia adversa o gate bloqueado.</x:v>
      </x:c>
      <x:c r="AD53" s="36" t="str">
        <x:v>Bloquear escritura, preservar archivos y activar recuperación.</x:v>
      </x:c>
      <x:c r="AE53" s="36" t="str">
        <x:v>Restaurar backup válido, verificar checksum y documentar posible pérdida.</x:v>
      </x:c>
      <x:c r="AF53" s="27" t="str">
        <x:v>BIA-05</x:v>
      </x:c>
      <x:c r="AG53" s="27" t="str">
        <x:v>PB-05</x:v>
      </x:c>
      <x:c r="AH53" s="27" t="str">
        <x:v>TA-DAT-007</x:v>
      </x:c>
      <x:c r="AI53" s="36" t="str">
        <x:v>03, 04, 07, 08, 11, 25, 27, 31</x:v>
      </x:c>
      <x:c r="AJ53" s="36" t="str">
        <x:v>Modelo de Datos, TDD, QA y Sprint 14 save/recovery</x:v>
      </x:c>
      <x:c r="AK53" s="27" t="str">
        <x:v>OPEN</x:v>
      </x:c>
      <x:c r="AL53" s="27" t="str">
        <x:v>MONTHLY</x:v>
      </x:c>
      <x:c r="AM53" s="40" t="str">
        <x:v>2026-07-01</x:v>
      </x:c>
      <x:c r="AN53" s="40" t="str">
        <x:v>2026-07-31</x:v>
      </x:c>
      <x:c r="AO53" s="27" t="str">
        <x:v>UNVERIFIED</x:v>
      </x:c>
      <x:c r="AP53" s="36" t="str">
        <x:v>Registro inicial consolidado; validar owner, controles y residual.</x:v>
      </x:c>
      <x:c r="AQ53" s="27" t="n">
        <x:f>IF(OR(M53="CRITICAL",W53="CRITICAL",Y53="OUTSIDE TOLERANCE",AK53="ESCALATED",AK53="ACCEPTANCE REQUESTED"),1,0)</x:f>
        <x:v>1</x:v>
      </x:c>
    </x:row>
    <x:row r="54">
      <x:c r="A54" s="27" t="str">
        <x:v>R-DAT-008</x:v>
      </x:c>
      <x:c r="B54" s="36" t="str">
        <x:v>Data, Save &amp; Integrity</x:v>
      </x:c>
      <x:c r="C54" s="36" t="str">
        <x:v>Catalog identity</x:v>
      </x:c>
      <x:c r="D54" s="36" t="str">
        <x:v>Existe el riesgo de que ocurra lo siguiente: IDs de contenido cambian sin migración.</x:v>
      </x:c>
      <x:c r="E54" s="36" t="str">
        <x:v>World state</x:v>
      </x:c>
      <x:c r="F54" s="36" t="str">
        <x:v>Development</x:v>
      </x:c>
      <x:c r="G54" s="36" t="str">
        <x:v>Ausencia, degradación o incumplimiento de los controles definidos para catalog identity.</x:v>
      </x:c>
      <x:c r="H54" s="36" t="str">
        <x:v>IDs de contenido cambian sin migración</x:v>
      </x:c>
      <x:c r="I54" s="36" t="str">
        <x:v>Puede afectar a World state, bloquear un gate, causar retrabajo, pérdida de datos/confianza o interrupción operativa.</x:v>
      </x:c>
      <x:c r="J54" s="38" t="n">
        <x:v>3</x:v>
      </x:c>
      <x:c r="K54" s="38" t="n">
        <x:v>5</x:v>
      </x:c>
      <x:c r="L54" s="38" t="n">
        <x:f>J54*K54</x:f>
        <x:v>15</x:v>
      </x:c>
      <x:c r="M54" s="27" t="str">
        <x:f>IF(L54&gt;=20,"CRITICAL",IF(L54&gt;=12,"HIGH",IF(L54&gt;=6,"MEDIUM","LOW")))</x:f>
        <x:v>HIGH</x:v>
      </x:c>
      <x:c r="N54" s="27" t="str">
        <x:v>MEDIUM</x:v>
      </x:c>
      <x:c r="O54" s="27" t="str">
        <x:v>MODERATE</x:v>
      </x:c>
      <x:c r="P54" s="36" t="str">
        <x:v>Escritura temporal, checksum, promoción atómica, backup, schema y pruebas destructivas.</x:v>
      </x:c>
      <x:c r="Q54" s="27" t="str">
        <x:v>PARTIAL</x:v>
      </x:c>
      <x:c r="R54" s="27" t="str">
        <x:v>MITIGATE</x:v>
      </x:c>
      <x:c r="S54" s="36" t="str">
        <x:v>Añadir validación, migración, backup independiente y recovery probado.</x:v>
      </x:c>
      <x:c r="T54" s="38" t="n">
        <x:v>3</x:v>
      </x:c>
      <x:c r="U54" s="38" t="n">
        <x:v>5</x:v>
      </x:c>
      <x:c r="V54" s="38" t="n">
        <x:f>T54*U54</x:f>
        <x:v>15</x:v>
      </x:c>
      <x:c r="W54" s="27" t="str">
        <x:f>IF(V54&gt;=20,"CRITICAL",IF(V54&gt;=12,"HIGH",IF(V54&gt;=6,"MEDIUM","LOW")))</x:f>
        <x:v>HIGH</x:v>
      </x:c>
      <x:c r="X54" s="27" t="str">
        <x:v>ZERO</x:v>
      </x:c>
      <x:c r="Y54" s="27" t="str">
        <x:f>IF(X54="ZERO",IF(V54=0,"WITHIN TOLERANCE","OUTSIDE TOLERANCE"),IF(X54="LOW",IF(V54&lt;=4,"WITHIN TOLERANCE","OUTSIDE TOLERANCE"),IF(X54="MODERATE",IF(V54&lt;=9,"WITHIN TOLERANCE","OUTSIDE TOLERANCE"),IF(X54="HIGH",IF(V54&lt;=16,"WITHIN TOLERANCE","OUTSIDE TOLERANCE"),"REVIEW"))))</x:f>
        <x:v>OUTSIDE TOLERANCE</x:v>
      </x:c>
      <x:c r="Z54" s="36" t="str">
        <x:v>Engineering / Data</x:v>
      </x:c>
      <x:c r="AA54" s="36" t="str">
        <x:v>QA</x:v>
      </x:c>
      <x:c r="AB54" s="36" t="str">
        <x:v>Catálogo renombra IDs persistidos</x:v>
      </x:c>
      <x:c r="AC54" s="36" t="str">
        <x:v>Umbral: evidencia positiva, tendencia adversa o gate bloqueado.</x:v>
      </x:c>
      <x:c r="AD54" s="36" t="str">
        <x:v>Bloquear escritura, preservar archivos y activar recuperación.</x:v>
      </x:c>
      <x:c r="AE54" s="36" t="str">
        <x:v>Restaurar backup válido, verificar checksum y documentar posible pérdida.</x:v>
      </x:c>
      <x:c r="AF54" s="27" t="str">
        <x:v>BIA-05</x:v>
      </x:c>
      <x:c r="AG54" s="27" t="str">
        <x:v>PB-05</x:v>
      </x:c>
      <x:c r="AH54" s="27" t="str">
        <x:v>TA-DAT-008</x:v>
      </x:c>
      <x:c r="AI54" s="36" t="str">
        <x:v>03, 04, 07, 08, 11, 25, 27, 31</x:v>
      </x:c>
      <x:c r="AJ54" s="36" t="str">
        <x:v>Modelo de Datos, TDD, QA y Sprint 14 save/recovery</x:v>
      </x:c>
      <x:c r="AK54" s="27" t="str">
        <x:v>OPEN</x:v>
      </x:c>
      <x:c r="AL54" s="27" t="str">
        <x:v>MONTHLY</x:v>
      </x:c>
      <x:c r="AM54" s="40" t="str">
        <x:v>2026-07-01</x:v>
      </x:c>
      <x:c r="AN54" s="40" t="str">
        <x:v>2026-07-31</x:v>
      </x:c>
      <x:c r="AO54" s="27" t="str">
        <x:v>UNVERIFIED</x:v>
      </x:c>
      <x:c r="AP54" s="36" t="str">
        <x:v>Registro inicial consolidado; validar owner, controles y residual.</x:v>
      </x:c>
      <x:c r="AQ54" s="27" t="n">
        <x:f>IF(OR(M54="CRITICAL",W54="CRITICAL",Y54="OUTSIDE TOLERANCE",AK54="ESCALATED",AK54="ACCEPTANCE REQUESTED"),1,0)</x:f>
        <x:v>1</x:v>
      </x:c>
    </x:row>
    <x:row r="55">
      <x:c r="A55" s="27" t="str">
        <x:v>R-DAT-009</x:v>
      </x:c>
      <x:c r="B55" s="36" t="str">
        <x:v>Data, Save &amp; Integrity</x:v>
      </x:c>
      <x:c r="C55" s="36" t="str">
        <x:v>Recovery messaging</x:v>
      </x:c>
      <x:c r="D55" s="36" t="str">
        <x:v>Existe el riesgo de que ocurra lo siguiente: Recovery ocurre sin informar pérdida potencial.</x:v>
      </x:c>
      <x:c r="E55" s="36" t="str">
        <x:v>Trust / UX</x:v>
      </x:c>
      <x:c r="F55" s="36" t="str">
        <x:v>All</x:v>
      </x:c>
      <x:c r="G55" s="36" t="str">
        <x:v>Ausencia, degradación o incumplimiento de los controles definidos para recovery messaging.</x:v>
      </x:c>
      <x:c r="H55" s="36" t="str">
        <x:v>Recovery ocurre sin informar pérdida potencial</x:v>
      </x:c>
      <x:c r="I55" s="36" t="str">
        <x:v>Puede afectar a Trust / UX, bloquear un gate, causar retrabajo, pérdida de datos/confianza o interrupción operativa.</x:v>
      </x:c>
      <x:c r="J55" s="38" t="n">
        <x:v>3</x:v>
      </x:c>
      <x:c r="K55" s="38" t="n">
        <x:v>4</x:v>
      </x:c>
      <x:c r="L55" s="38" t="n">
        <x:f>J55*K55</x:f>
        <x:v>12</x:v>
      </x:c>
      <x:c r="M55" s="27" t="str">
        <x:f>IF(L55&gt;=20,"CRITICAL",IF(L55&gt;=12,"HIGH",IF(L55&gt;=6,"MEDIUM","LOW")))</x:f>
        <x:v>HIGH</x:v>
      </x:c>
      <x:c r="N55" s="27" t="str">
        <x:v>MEDIUM</x:v>
      </x:c>
      <x:c r="O55" s="27" t="str">
        <x:v>MODERATE</x:v>
      </x:c>
      <x:c r="P55" s="36" t="str">
        <x:v>Escritura temporal, checksum, promoción atómica, backup, schema y pruebas destructivas.</x:v>
      </x:c>
      <x:c r="Q55" s="27" t="str">
        <x:v>PARTIAL</x:v>
      </x:c>
      <x:c r="R55" s="27" t="str">
        <x:v>MITIGATE</x:v>
      </x:c>
      <x:c r="S55" s="36" t="str">
        <x:v>Añadir validación, migración, backup independiente y recovery probado.</x:v>
      </x:c>
      <x:c r="T55" s="38" t="n">
        <x:v>3</x:v>
      </x:c>
      <x:c r="U55" s="38" t="n">
        <x:v>4</x:v>
      </x:c>
      <x:c r="V55" s="38" t="n">
        <x:f>T55*U55</x:f>
        <x:v>12</x:v>
      </x:c>
      <x:c r="W55" s="27" t="str">
        <x:f>IF(V55&gt;=20,"CRITICAL",IF(V55&gt;=12,"HIGH",IF(V55&gt;=6,"MEDIUM","LOW")))</x:f>
        <x:v>HIGH</x:v>
      </x:c>
      <x:c r="X55" s="27" t="str">
        <x:v>ZERO</x:v>
      </x:c>
      <x:c r="Y55" s="27" t="str">
        <x:f>IF(X55="ZERO",IF(V55=0,"WITHIN TOLERANCE","OUTSIDE TOLERANCE"),IF(X55="LOW",IF(V55&lt;=4,"WITHIN TOLERANCE","OUTSIDE TOLERANCE"),IF(X55="MODERATE",IF(V55&lt;=9,"WITHIN TOLERANCE","OUTSIDE TOLERANCE"),IF(X55="HIGH",IF(V55&lt;=16,"WITHIN TOLERANCE","OUTSIDE TOLERANCE"),"REVIEW"))))</x:f>
        <x:v>OUTSIDE TOLERANCE</x:v>
      </x:c>
      <x:c r="Z55" s="36" t="str">
        <x:v>Engineering / Data</x:v>
      </x:c>
      <x:c r="AA55" s="36" t="str">
        <x:v>QA</x:v>
      </x:c>
      <x:c r="AB55" s="36" t="str">
        <x:v>Fallback silencioso</x:v>
      </x:c>
      <x:c r="AC55" s="36" t="str">
        <x:v>Umbral: evidencia positiva, tendencia adversa o gate bloqueado.</x:v>
      </x:c>
      <x:c r="AD55" s="36" t="str">
        <x:v>Bloquear escritura, preservar archivos y activar recuperación.</x:v>
      </x:c>
      <x:c r="AE55" s="36" t="str">
        <x:v>Restaurar backup válido, verificar checksum y documentar posible pérdida.</x:v>
      </x:c>
      <x:c r="AF55" s="27" t="str">
        <x:v>BIA-05</x:v>
      </x:c>
      <x:c r="AG55" s="27" t="str">
        <x:v>PB-05</x:v>
      </x:c>
      <x:c r="AH55" s="27" t="str">
        <x:v>TA-DAT-009</x:v>
      </x:c>
      <x:c r="AI55" s="36" t="str">
        <x:v>03, 04, 07, 08, 11, 25, 27, 31</x:v>
      </x:c>
      <x:c r="AJ55" s="36" t="str">
        <x:v>Modelo de Datos, TDD, QA y Sprint 14 save/recovery</x:v>
      </x:c>
      <x:c r="AK55" s="27" t="str">
        <x:v>OPEN</x:v>
      </x:c>
      <x:c r="AL55" s="27" t="str">
        <x:v>MONTHLY</x:v>
      </x:c>
      <x:c r="AM55" s="40" t="str">
        <x:v>2026-07-01</x:v>
      </x:c>
      <x:c r="AN55" s="40" t="str">
        <x:v>2026-07-31</x:v>
      </x:c>
      <x:c r="AO55" s="27" t="str">
        <x:v>UNVERIFIED</x:v>
      </x:c>
      <x:c r="AP55" s="36" t="str">
        <x:v>Registro inicial consolidado; validar owner, controles y residual.</x:v>
      </x:c>
      <x:c r="AQ55" s="27" t="n">
        <x:f>IF(OR(M55="CRITICAL",W55="CRITICAL",Y55="OUTSIDE TOLERANCE",AK55="ESCALATED",AK55="ACCEPTANCE REQUESTED"),1,0)</x:f>
        <x:v>1</x:v>
      </x:c>
    </x:row>
    <x:row r="56">
      <x:c r="A56" s="27" t="str">
        <x:v>R-DAT-010</x:v>
      </x:c>
      <x:c r="B56" s="36" t="str">
        <x:v>Data, Save &amp; Integrity</x:v>
      </x:c>
      <x:c r="C56" s="36" t="str">
        <x:v>Restore testing</x:v>
      </x:c>
      <x:c r="D56" s="36" t="str">
        <x:v>Existe el riesgo de que ocurra lo siguiente: Backups existen pero nunca se restauran.</x:v>
      </x:c>
      <x:c r="E56" s="36" t="str">
        <x:v>Continuity evidence</x:v>
      </x:c>
      <x:c r="F56" s="36" t="str">
        <x:v>All</x:v>
      </x:c>
      <x:c r="G56" s="36" t="str">
        <x:v>Ausencia, degradación o incumplimiento de los controles definidos para restore testing.</x:v>
      </x:c>
      <x:c r="H56" s="36" t="str">
        <x:v>Backups existen pero nunca se restauran</x:v>
      </x:c>
      <x:c r="I56" s="36" t="str">
        <x:v>Puede afectar a Continuity evidence, bloquear un gate, causar retrabajo, pérdida de datos/confianza o interrupción operativa.</x:v>
      </x:c>
      <x:c r="J56" s="38" t="n">
        <x:v>4</x:v>
      </x:c>
      <x:c r="K56" s="38" t="n">
        <x:v>5</x:v>
      </x:c>
      <x:c r="L56" s="38" t="n">
        <x:f>J56*K56</x:f>
        <x:v>20</x:v>
      </x:c>
      <x:c r="M56" s="27" t="str">
        <x:f>IF(L56&gt;=20,"CRITICAL",IF(L56&gt;=12,"HIGH",IF(L56&gt;=6,"MEDIUM","LOW")))</x:f>
        <x:v>CRITICAL</x:v>
      </x:c>
      <x:c r="N56" s="27" t="str">
        <x:v>SLOW</x:v>
      </x:c>
      <x:c r="O56" s="27" t="str">
        <x:v>MODERATE</x:v>
      </x:c>
      <x:c r="P56" s="36" t="str">
        <x:v>Escritura temporal, checksum, promoción atómica, backup, schema y pruebas destructivas.</x:v>
      </x:c>
      <x:c r="Q56" s="27" t="str">
        <x:v>PARTIAL</x:v>
      </x:c>
      <x:c r="R56" s="27" t="str">
        <x:v>MITIGATE</x:v>
      </x:c>
      <x:c r="S56" s="36" t="str">
        <x:v>Añadir validación, migración, backup independiente y recovery probado.</x:v>
      </x:c>
      <x:c r="T56" s="38" t="n">
        <x:v>4</x:v>
      </x:c>
      <x:c r="U56" s="38" t="n">
        <x:v>5</x:v>
      </x:c>
      <x:c r="V56" s="38" t="n">
        <x:f>T56*U56</x:f>
        <x:v>20</x:v>
      </x:c>
      <x:c r="W56" s="27" t="str">
        <x:f>IF(V56&gt;=20,"CRITICAL",IF(V56&gt;=12,"HIGH",IF(V56&gt;=6,"MEDIUM","LOW")))</x:f>
        <x:v>CRITICAL</x:v>
      </x:c>
      <x:c r="X56" s="27" t="str">
        <x:v>ZERO</x:v>
      </x:c>
      <x:c r="Y56" s="27" t="str">
        <x:f>IF(X56="ZERO",IF(V56=0,"WITHIN TOLERANCE","OUTSIDE TOLERANCE"),IF(X56="LOW",IF(V56&lt;=4,"WITHIN TOLERANCE","OUTSIDE TOLERANCE"),IF(X56="MODERATE",IF(V56&lt;=9,"WITHIN TOLERANCE","OUTSIDE TOLERANCE"),IF(X56="HIGH",IF(V56&lt;=16,"WITHIN TOLERANCE","OUTSIDE TOLERANCE"),"REVIEW"))))</x:f>
        <x:v>OUTSIDE TOLERANCE</x:v>
      </x:c>
      <x:c r="Z56" s="36" t="str">
        <x:v>Engineering / Data</x:v>
      </x:c>
      <x:c r="AA56" s="36" t="str">
        <x:v>QA</x:v>
      </x:c>
      <x:c r="AB56" s="36" t="str">
        <x:v>Último restore test &gt; 90 días</x:v>
      </x:c>
      <x:c r="AC56" s="36" t="str">
        <x:v>Umbral: evidencia positiva, tendencia adversa o gate bloqueado.</x:v>
      </x:c>
      <x:c r="AD56" s="36" t="str">
        <x:v>Bloquear escritura, preservar archivos y activar recuperación.</x:v>
      </x:c>
      <x:c r="AE56" s="36" t="str">
        <x:v>Restaurar backup válido, verificar checksum y documentar posible pérdida.</x:v>
      </x:c>
      <x:c r="AF56" s="27" t="str">
        <x:v>BIA-05</x:v>
      </x:c>
      <x:c r="AG56" s="27" t="str">
        <x:v>PB-05</x:v>
      </x:c>
      <x:c r="AH56" s="27" t="str">
        <x:v>TA-DAT-010</x:v>
      </x:c>
      <x:c r="AI56" s="36" t="str">
        <x:v>03, 04, 07, 08, 11, 25, 27, 31</x:v>
      </x:c>
      <x:c r="AJ56" s="36" t="str">
        <x:v>Modelo de Datos, TDD, QA y Sprint 14 save/recovery</x:v>
      </x:c>
      <x:c r="AK56" s="27" t="str">
        <x:v>OPEN</x:v>
      </x:c>
      <x:c r="AL56" s="27" t="str">
        <x:v>WEEKLY</x:v>
      </x:c>
      <x:c r="AM56" s="40" t="str">
        <x:v>2026-07-01</x:v>
      </x:c>
      <x:c r="AN56" s="40" t="str">
        <x:v>2026-07-08</x:v>
      </x:c>
      <x:c r="AO56" s="27" t="str">
        <x:v>UNVERIFIED</x:v>
      </x:c>
      <x:c r="AP56" s="36" t="str">
        <x:v>Registro inicial consolidado; validar owner, controles y residual.</x:v>
      </x:c>
      <x:c r="AQ56" s="27" t="n">
        <x:f>IF(OR(M56="CRITICAL",W56="CRITICAL",Y56="OUTSIDE TOLERANCE",AK56="ESCALATED",AK56="ACCEPTANCE REQUESTED"),1,0)</x:f>
        <x:v>1</x:v>
      </x:c>
    </x:row>
    <x:row r="57">
      <x:c r="A57" s="27" t="str">
        <x:v>R-QUA-001</x:v>
      </x:c>
      <x:c r="B57" s="36" t="str">
        <x:v>Quality &amp; Acceptance</x:v>
      </x:c>
      <x:c r="C57" s="36" t="str">
        <x:v>S0/S1 escape</x:v>
      </x:c>
      <x:c r="D57" s="36" t="str">
        <x:v>Existe el riesgo de que ocurra lo siguiente: Defecto bloqueante llega a candidato.</x:v>
      </x:c>
      <x:c r="E57" s="36" t="str">
        <x:v>Release candidate</x:v>
      </x:c>
      <x:c r="F57" s="36" t="str">
        <x:v>H6/Release</x:v>
      </x:c>
      <x:c r="G57" s="36" t="str">
        <x:v>Ausencia, degradación o incumplimiento de los controles definidos para s0/s1 escape.</x:v>
      </x:c>
      <x:c r="H57" s="36" t="str">
        <x:v>Defecto bloqueante llega a candidato</x:v>
      </x:c>
      <x:c r="I57" s="36" t="str">
        <x:v>Puede afectar a Release candidate, bloquear un gate, causar retrabajo, pérdida de datos/confianza o interrupción operativa.</x:v>
      </x:c>
      <x:c r="J57" s="38" t="n">
        <x:v>3</x:v>
      </x:c>
      <x:c r="K57" s="38" t="n">
        <x:v>5</x:v>
      </x:c>
      <x:c r="L57" s="38" t="n">
        <x:f>J57*K57</x:f>
        <x:v>15</x:v>
      </x:c>
      <x:c r="M57" s="27" t="str">
        <x:f>IF(L57&gt;=20,"CRITICAL",IF(L57&gt;=12,"HIGH",IF(L57&gt;=6,"MEDIUM","LOW")))</x:f>
        <x:v>HIGH</x:v>
      </x:c>
      <x:c r="N57" s="27" t="str">
        <x:v>FAST</x:v>
      </x:c>
      <x:c r="O57" s="27" t="str">
        <x:v>HARD</x:v>
      </x:c>
      <x:c r="P57" s="36" t="str">
        <x:v>Severidades, coverage por riesgo, Golden Path, builds externas y evidencia.</x:v>
      </x:c>
      <x:c r="Q57" s="27" t="str">
        <x:v>PARTIAL</x:v>
      </x:c>
      <x:c r="R57" s="27" t="str">
        <x:v>MITIGATE</x:v>
      </x:c>
      <x:c r="S57" s="36" t="str">
        <x:v>Aumentar cobertura, reproducir, fijar owner y bloquear gate según severidad.</x:v>
      </x:c>
      <x:c r="T57" s="38" t="n">
        <x:v>3</x:v>
      </x:c>
      <x:c r="U57" s="38" t="n">
        <x:v>5</x:v>
      </x:c>
      <x:c r="V57" s="38" t="n">
        <x:f>T57*U57</x:f>
        <x:v>15</x:v>
      </x:c>
      <x:c r="W57" s="27" t="str">
        <x:f>IF(V57&gt;=20,"CRITICAL",IF(V57&gt;=12,"HIGH",IF(V57&gt;=6,"MEDIUM","LOW")))</x:f>
        <x:v>HIGH</x:v>
      </x:c>
      <x:c r="X57" s="27" t="str">
        <x:v>LOW</x:v>
      </x:c>
      <x:c r="Y57" s="27" t="str">
        <x:f>IF(X57="ZERO",IF(V57=0,"WITHIN TOLERANCE","OUTSIDE TOLERANCE"),IF(X57="LOW",IF(V57&lt;=4,"WITHIN TOLERANCE","OUTSIDE TOLERANCE"),IF(X57="MODERATE",IF(V57&lt;=9,"WITHIN TOLERANCE","OUTSIDE TOLERANCE"),IF(X57="HIGH",IF(V57&lt;=16,"WITHIN TOLERANCE","OUTSIDE TOLERANCE"),"REVIEW"))))</x:f>
        <x:v>OUTSIDE TOLERANCE</x:v>
      </x:c>
      <x:c r="Z57" s="36" t="str">
        <x:v>QA</x:v>
      </x:c>
      <x:c r="AA57" s="36" t="str">
        <x:v>Production</x:v>
      </x:c>
      <x:c r="AB57" s="36" t="str">
        <x:v>S0/S1 abierto o no detectado</x:v>
      </x:c>
      <x:c r="AC57" s="36" t="str">
        <x:v>Umbral: evidencia positiva, tendencia adversa o gate bloqueado.</x:v>
      </x:c>
      <x:c r="AD57" s="36" t="str">
        <x:v>Triage, cuarentena del build y apertura de defecto.</x:v>
      </x:c>
      <x:c r="AE57" s="36" t="str">
        <x:v>Corregir, ejecutar regresión proporcional y reemitir evidencia.</x:v>
      </x:c>
      <x:c r="AF57" s="27" t="str">
        <x:v>BIA-06</x:v>
      </x:c>
      <x:c r="AG57" s="27" t="str">
        <x:v>PB-06</x:v>
      </x:c>
      <x:c r="AH57" s="27" t="str">
        <x:v>TA-QUA-001</x:v>
      </x:c>
      <x:c r="AI57" s="36" t="str">
        <x:v>02, 07, 08, 11, 16, 29, 30, 31</x:v>
      </x:c>
      <x:c r="AJ57" s="36" t="str">
        <x:v>QA Plan/Matrix, validation checklists y execution records v0.3–v0.6</x:v>
      </x:c>
      <x:c r="AK57" s="27" t="str">
        <x:v>OPEN</x:v>
      </x:c>
      <x:c r="AL57" s="27" t="str">
        <x:v>WEEKLY</x:v>
      </x:c>
      <x:c r="AM57" s="40" t="str">
        <x:v>2026-07-01</x:v>
      </x:c>
      <x:c r="AN57" s="40" t="str">
        <x:v>2026-07-08</x:v>
      </x:c>
      <x:c r="AO57" s="27" t="str">
        <x:v>UNVERIFIED</x:v>
      </x:c>
      <x:c r="AP57" s="36" t="str">
        <x:v>Registro inicial consolidado; validar owner, controles y residual.</x:v>
      </x:c>
      <x:c r="AQ57" s="27" t="n">
        <x:f>IF(OR(M57="CRITICAL",W57="CRITICAL",Y57="OUTSIDE TOLERANCE",AK57="ESCALATED",AK57="ACCEPTANCE REQUESTED"),1,0)</x:f>
        <x:v>1</x:v>
      </x:c>
    </x:row>
    <x:row r="58">
      <x:c r="A58" s="27" t="str">
        <x:v>R-QUA-002</x:v>
      </x:c>
      <x:c r="B58" s="36" t="str">
        <x:v>Quality &amp; Acceptance</x:v>
      </x:c>
      <x:c r="C58" s="36" t="str">
        <x:v>Golden Path gap</x:v>
      </x:c>
      <x:c r="D58" s="36" t="str">
        <x:v>Existe el riesgo de que ocurra lo siguiente: Golden Path no se ejecuta de extremo a extremo.</x:v>
      </x:c>
      <x:c r="E58" s="36" t="str">
        <x:v>Vertical slice</x:v>
      </x:c>
      <x:c r="F58" s="36" t="str">
        <x:v>H6</x:v>
      </x:c>
      <x:c r="G58" s="36" t="str">
        <x:v>Ausencia, degradación o incumplimiento de los controles definidos para golden path gap.</x:v>
      </x:c>
      <x:c r="H58" s="36" t="str">
        <x:v>Golden Path no se ejecuta de extremo a extremo</x:v>
      </x:c>
      <x:c r="I58" s="36" t="str">
        <x:v>Puede afectar a Vertical slice, bloquear un gate, causar retrabajo, pérdida de datos/confianza o interrupción operativa.</x:v>
      </x:c>
      <x:c r="J58" s="38" t="n">
        <x:v>4</x:v>
      </x:c>
      <x:c r="K58" s="38" t="n">
        <x:v>5</x:v>
      </x:c>
      <x:c r="L58" s="38" t="n">
        <x:f>J58*K58</x:f>
        <x:v>20</x:v>
      </x:c>
      <x:c r="M58" s="27" t="str">
        <x:f>IF(L58&gt;=20,"CRITICAL",IF(L58&gt;=12,"HIGH",IF(L58&gt;=6,"MEDIUM","LOW")))</x:f>
        <x:v>CRITICAL</x:v>
      </x:c>
      <x:c r="N58" s="27" t="str">
        <x:v>FAST</x:v>
      </x:c>
      <x:c r="O58" s="27" t="str">
        <x:v>HARD</x:v>
      </x:c>
      <x:c r="P58" s="36" t="str">
        <x:v>Severidades, coverage por riesgo, Golden Path, builds externas y evidencia.</x:v>
      </x:c>
      <x:c r="Q58" s="27" t="str">
        <x:v>PARTIAL</x:v>
      </x:c>
      <x:c r="R58" s="27" t="str">
        <x:v>MITIGATE</x:v>
      </x:c>
      <x:c r="S58" s="36" t="str">
        <x:v>Aumentar cobertura, reproducir, fijar owner y bloquear gate según severidad.</x:v>
      </x:c>
      <x:c r="T58" s="38" t="n">
        <x:v>4</x:v>
      </x:c>
      <x:c r="U58" s="38" t="n">
        <x:v>5</x:v>
      </x:c>
      <x:c r="V58" s="38" t="n">
        <x:f>T58*U58</x:f>
        <x:v>20</x:v>
      </x:c>
      <x:c r="W58" s="27" t="str">
        <x:f>IF(V58&gt;=20,"CRITICAL",IF(V58&gt;=12,"HIGH",IF(V58&gt;=6,"MEDIUM","LOW")))</x:f>
        <x:v>CRITICAL</x:v>
      </x:c>
      <x:c r="X58" s="27" t="str">
        <x:v>LOW</x:v>
      </x:c>
      <x:c r="Y58" s="27" t="str">
        <x:f>IF(X58="ZERO",IF(V58=0,"WITHIN TOLERANCE","OUTSIDE TOLERANCE"),IF(X58="LOW",IF(V58&lt;=4,"WITHIN TOLERANCE","OUTSIDE TOLERANCE"),IF(X58="MODERATE",IF(V58&lt;=9,"WITHIN TOLERANCE","OUTSIDE TOLERANCE"),IF(X58="HIGH",IF(V58&lt;=16,"WITHIN TOLERANCE","OUTSIDE TOLERANCE"),"REVIEW"))))</x:f>
        <x:v>OUTSIDE TOLERANCE</x:v>
      </x:c>
      <x:c r="Z58" s="36" t="str">
        <x:v>QA</x:v>
      </x:c>
      <x:c r="AA58" s="36" t="str">
        <x:v>Production</x:v>
      </x:c>
      <x:c r="AB58" s="36" t="str">
        <x:v>Escenarios contractuales NOT RUN</x:v>
      </x:c>
      <x:c r="AC58" s="36" t="str">
        <x:v>Umbral: evidencia positiva, tendencia adversa o gate bloqueado.</x:v>
      </x:c>
      <x:c r="AD58" s="36" t="str">
        <x:v>Triage, cuarentena del build y apertura de defecto.</x:v>
      </x:c>
      <x:c r="AE58" s="36" t="str">
        <x:v>Corregir, ejecutar regresión proporcional y reemitir evidencia.</x:v>
      </x:c>
      <x:c r="AF58" s="27" t="str">
        <x:v>BIA-06</x:v>
      </x:c>
      <x:c r="AG58" s="27" t="str">
        <x:v>PB-06</x:v>
      </x:c>
      <x:c r="AH58" s="27" t="str">
        <x:v>TA-QUA-002</x:v>
      </x:c>
      <x:c r="AI58" s="36" t="str">
        <x:v>02, 07, 08, 11, 16, 29, 30, 31</x:v>
      </x:c>
      <x:c r="AJ58" s="36" t="str">
        <x:v>QA Plan/Matrix, validation checklists y execution records v0.3–v0.6</x:v>
      </x:c>
      <x:c r="AK58" s="27" t="str">
        <x:v>OPEN</x:v>
      </x:c>
      <x:c r="AL58" s="27" t="str">
        <x:v>WEEKLY</x:v>
      </x:c>
      <x:c r="AM58" s="40" t="str">
        <x:v>2026-07-01</x:v>
      </x:c>
      <x:c r="AN58" s="40" t="str">
        <x:v>2026-07-08</x:v>
      </x:c>
      <x:c r="AO58" s="27" t="str">
        <x:v>UNVERIFIED</x:v>
      </x:c>
      <x:c r="AP58" s="36" t="str">
        <x:v>Registro inicial consolidado; validar owner, controles y residual.</x:v>
      </x:c>
      <x:c r="AQ58" s="27" t="n">
        <x:f>IF(OR(M58="CRITICAL",W58="CRITICAL",Y58="OUTSIDE TOLERANCE",AK58="ESCALATED",AK58="ACCEPTANCE REQUESTED"),1,0)</x:f>
        <x:v>1</x:v>
      </x:c>
    </x:row>
    <x:row r="59">
      <x:c r="A59" s="27" t="str">
        <x:v>R-QUA-003</x:v>
      </x:c>
      <x:c r="B59" s="36" t="str">
        <x:v>Quality &amp; Acceptance</x:v>
      </x:c>
      <x:c r="C59" s="36" t="str">
        <x:v>Regression gap</x:v>
      </x:c>
      <x:c r="D59" s="36" t="str">
        <x:v>Existe el riesgo de que ocurra lo siguiente: Capacidad cerrada no entra en regresión.</x:v>
      </x:c>
      <x:c r="E59" s="36" t="str">
        <x:v>Product stability</x:v>
      </x:c>
      <x:c r="F59" s="36" t="str">
        <x:v>Development</x:v>
      </x:c>
      <x:c r="G59" s="36" t="str">
        <x:v>Ausencia, degradación o incumplimiento de los controles definidos para regression gap.</x:v>
      </x:c>
      <x:c r="H59" s="36" t="str">
        <x:v>Capacidad cerrada no entra en regresión</x:v>
      </x:c>
      <x:c r="I59" s="36" t="str">
        <x:v>Puede afectar a Product stability, bloquear un gate, causar retrabajo, pérdida de datos/confianza o interrupción operativa.</x:v>
      </x:c>
      <x:c r="J59" s="38" t="n">
        <x:v>4</x:v>
      </x:c>
      <x:c r="K59" s="38" t="n">
        <x:v>4</x:v>
      </x:c>
      <x:c r="L59" s="38" t="n">
        <x:f>J59*K59</x:f>
        <x:v>16</x:v>
      </x:c>
      <x:c r="M59" s="27" t="str">
        <x:f>IF(L59&gt;=20,"CRITICAL",IF(L59&gt;=12,"HIGH",IF(L59&gt;=6,"MEDIUM","LOW")))</x:f>
        <x:v>HIGH</x:v>
      </x:c>
      <x:c r="N59" s="27" t="str">
        <x:v>MEDIUM</x:v>
      </x:c>
      <x:c r="O59" s="27" t="str">
        <x:v>MODERATE</x:v>
      </x:c>
      <x:c r="P59" s="36" t="str">
        <x:v>Severidades, coverage por riesgo, Golden Path, builds externas y evidencia.</x:v>
      </x:c>
      <x:c r="Q59" s="27" t="str">
        <x:v>PARTIAL</x:v>
      </x:c>
      <x:c r="R59" s="27" t="str">
        <x:v>MITIGATE</x:v>
      </x:c>
      <x:c r="S59" s="36" t="str">
        <x:v>Aumentar cobertura, reproducir, fijar owner y bloquear gate según severidad.</x:v>
      </x:c>
      <x:c r="T59" s="38" t="n">
        <x:v>4</x:v>
      </x:c>
      <x:c r="U59" s="38" t="n">
        <x:v>4</x:v>
      </x:c>
      <x:c r="V59" s="38" t="n">
        <x:f>T59*U59</x:f>
        <x:v>16</x:v>
      </x:c>
      <x:c r="W59" s="27" t="str">
        <x:f>IF(V59&gt;=20,"CRITICAL",IF(V59&gt;=12,"HIGH",IF(V59&gt;=6,"MEDIUM","LOW")))</x:f>
        <x:v>HIGH</x:v>
      </x:c>
      <x:c r="X59" s="27" t="str">
        <x:v>LOW</x:v>
      </x:c>
      <x:c r="Y59" s="27" t="str">
        <x:f>IF(X59="ZERO",IF(V59=0,"WITHIN TOLERANCE","OUTSIDE TOLERANCE"),IF(X59="LOW",IF(V59&lt;=4,"WITHIN TOLERANCE","OUTSIDE TOLERANCE"),IF(X59="MODERATE",IF(V59&lt;=9,"WITHIN TOLERANCE","OUTSIDE TOLERANCE"),IF(X59="HIGH",IF(V59&lt;=16,"WITHIN TOLERANCE","OUTSIDE TOLERANCE"),"REVIEW"))))</x:f>
        <x:v>OUTSIDE TOLERANCE</x:v>
      </x:c>
      <x:c r="Z59" s="36" t="str">
        <x:v>QA</x:v>
      </x:c>
      <x:c r="AA59" s="36" t="str">
        <x:v>Production</x:v>
      </x:c>
      <x:c r="AB59" s="36" t="str">
        <x:v>Cambio toca sistema sin tests asociados</x:v>
      </x:c>
      <x:c r="AC59" s="36" t="str">
        <x:v>Umbral: evidencia positiva, tendencia adversa o gate bloqueado.</x:v>
      </x:c>
      <x:c r="AD59" s="36" t="str">
        <x:v>Triage, cuarentena del build y apertura de defecto.</x:v>
      </x:c>
      <x:c r="AE59" s="36" t="str">
        <x:v>Corregir, ejecutar regresión proporcional y reemitir evidencia.</x:v>
      </x:c>
      <x:c r="AF59" s="27" t="str">
        <x:v>BIA-06</x:v>
      </x:c>
      <x:c r="AG59" s="27" t="str">
        <x:v>PB-06</x:v>
      </x:c>
      <x:c r="AH59" s="27" t="str">
        <x:v>TA-QUA-003</x:v>
      </x:c>
      <x:c r="AI59" s="36" t="str">
        <x:v>02, 07, 08, 11, 16, 29, 30, 31</x:v>
      </x:c>
      <x:c r="AJ59" s="36" t="str">
        <x:v>QA Plan/Matrix, validation checklists y execution records v0.3–v0.6</x:v>
      </x:c>
      <x:c r="AK59" s="27" t="str">
        <x:v>OPEN</x:v>
      </x:c>
      <x:c r="AL59" s="27" t="str">
        <x:v>WEEKLY</x:v>
      </x:c>
      <x:c r="AM59" s="40" t="str">
        <x:v>2026-07-01</x:v>
      </x:c>
      <x:c r="AN59" s="40" t="str">
        <x:v>2026-07-08</x:v>
      </x:c>
      <x:c r="AO59" s="27" t="str">
        <x:v>UNVERIFIED</x:v>
      </x:c>
      <x:c r="AP59" s="36" t="str">
        <x:v>Registro inicial consolidado; validar owner, controles y residual.</x:v>
      </x:c>
      <x:c r="AQ59" s="27" t="n">
        <x:f>IF(OR(M59="CRITICAL",W59="CRITICAL",Y59="OUTSIDE TOLERANCE",AK59="ESCALATED",AK59="ACCEPTANCE REQUESTED"),1,0)</x:f>
        <x:v>1</x:v>
      </x:c>
    </x:row>
    <x:row r="60">
      <x:c r="A60" s="27" t="str">
        <x:v>R-QUA-004</x:v>
      </x:c>
      <x:c r="B60" s="36" t="str">
        <x:v>Quality &amp; Acceptance</x:v>
      </x:c>
      <x:c r="C60" s="36" t="str">
        <x:v>False PASS</x:v>
      </x:c>
      <x:c r="D60" s="36" t="str">
        <x:v>Existe el riesgo de que ocurra lo siguiente: Control se marca PASS sin evidencia verificable.</x:v>
      </x:c>
      <x:c r="E60" s="36" t="str">
        <x:v>Auditability</x:v>
      </x:c>
      <x:c r="F60" s="36" t="str">
        <x:v>All</x:v>
      </x:c>
      <x:c r="G60" s="36" t="str">
        <x:v>Ausencia, degradación o incumplimiento de los controles definidos para false pass.</x:v>
      </x:c>
      <x:c r="H60" s="36" t="str">
        <x:v>Control se marca PASS sin evidencia verificable</x:v>
      </x:c>
      <x:c r="I60" s="36" t="str">
        <x:v>Puede afectar a Auditability, bloquear un gate, causar retrabajo, pérdida de datos/confianza o interrupción operativa.</x:v>
      </x:c>
      <x:c r="J60" s="38" t="n">
        <x:v>3</x:v>
      </x:c>
      <x:c r="K60" s="38" t="n">
        <x:v>5</x:v>
      </x:c>
      <x:c r="L60" s="38" t="n">
        <x:f>J60*K60</x:f>
        <x:v>15</x:v>
      </x:c>
      <x:c r="M60" s="27" t="str">
        <x:f>IF(L60&gt;=20,"CRITICAL",IF(L60&gt;=12,"HIGH",IF(L60&gt;=6,"MEDIUM","LOW")))</x:f>
        <x:v>HIGH</x:v>
      </x:c>
      <x:c r="N60" s="27" t="str">
        <x:v>FAST</x:v>
      </x:c>
      <x:c r="O60" s="27" t="str">
        <x:v>HARD</x:v>
      </x:c>
      <x:c r="P60" s="36" t="str">
        <x:v>Severidades, coverage por riesgo, Golden Path, builds externas y evidencia.</x:v>
      </x:c>
      <x:c r="Q60" s="27" t="str">
        <x:v>PARTIAL</x:v>
      </x:c>
      <x:c r="R60" s="27" t="str">
        <x:v>MITIGATE</x:v>
      </x:c>
      <x:c r="S60" s="36" t="str">
        <x:v>Aumentar cobertura, reproducir, fijar owner y bloquear gate según severidad.</x:v>
      </x:c>
      <x:c r="T60" s="38" t="n">
        <x:v>3</x:v>
      </x:c>
      <x:c r="U60" s="38" t="n">
        <x:v>5</x:v>
      </x:c>
      <x:c r="V60" s="38" t="n">
        <x:f>T60*U60</x:f>
        <x:v>15</x:v>
      </x:c>
      <x:c r="W60" s="27" t="str">
        <x:f>IF(V60&gt;=20,"CRITICAL",IF(V60&gt;=12,"HIGH",IF(V60&gt;=6,"MEDIUM","LOW")))</x:f>
        <x:v>HIGH</x:v>
      </x:c>
      <x:c r="X60" s="27" t="str">
        <x:v>LOW</x:v>
      </x:c>
      <x:c r="Y60" s="27" t="str">
        <x:f>IF(X60="ZERO",IF(V60=0,"WITHIN TOLERANCE","OUTSIDE TOLERANCE"),IF(X60="LOW",IF(V60&lt;=4,"WITHIN TOLERANCE","OUTSIDE TOLERANCE"),IF(X60="MODERATE",IF(V60&lt;=9,"WITHIN TOLERANCE","OUTSIDE TOLERANCE"),IF(X60="HIGH",IF(V60&lt;=16,"WITHIN TOLERANCE","OUTSIDE TOLERANCE"),"REVIEW"))))</x:f>
        <x:v>OUTSIDE TOLERANCE</x:v>
      </x:c>
      <x:c r="Z60" s="36" t="str">
        <x:v>QA</x:v>
      </x:c>
      <x:c r="AA60" s="36" t="str">
        <x:v>Production</x:v>
      </x:c>
      <x:c r="AB60" s="36" t="str">
        <x:v>Evidence ID vacío</x:v>
      </x:c>
      <x:c r="AC60" s="36" t="str">
        <x:v>Umbral: evidencia positiva, tendencia adversa o gate bloqueado.</x:v>
      </x:c>
      <x:c r="AD60" s="36" t="str">
        <x:v>Triage, cuarentena del build y apertura de defecto.</x:v>
      </x:c>
      <x:c r="AE60" s="36" t="str">
        <x:v>Corregir, ejecutar regresión proporcional y reemitir evidencia.</x:v>
      </x:c>
      <x:c r="AF60" s="27" t="str">
        <x:v>BIA-06</x:v>
      </x:c>
      <x:c r="AG60" s="27" t="str">
        <x:v>PB-06</x:v>
      </x:c>
      <x:c r="AH60" s="27" t="str">
        <x:v>TA-QUA-004</x:v>
      </x:c>
      <x:c r="AI60" s="36" t="str">
        <x:v>02, 07, 08, 11, 16, 29, 30, 31</x:v>
      </x:c>
      <x:c r="AJ60" s="36" t="str">
        <x:v>QA Plan/Matrix, validation checklists y execution records v0.3–v0.6</x:v>
      </x:c>
      <x:c r="AK60" s="27" t="str">
        <x:v>OPEN</x:v>
      </x:c>
      <x:c r="AL60" s="27" t="str">
        <x:v>WEEKLY</x:v>
      </x:c>
      <x:c r="AM60" s="40" t="str">
        <x:v>2026-07-01</x:v>
      </x:c>
      <x:c r="AN60" s="40" t="str">
        <x:v>2026-07-08</x:v>
      </x:c>
      <x:c r="AO60" s="27" t="str">
        <x:v>UNVERIFIED</x:v>
      </x:c>
      <x:c r="AP60" s="36" t="str">
        <x:v>Registro inicial consolidado; validar owner, controles y residual.</x:v>
      </x:c>
      <x:c r="AQ60" s="27" t="n">
        <x:f>IF(OR(M60="CRITICAL",W60="CRITICAL",Y60="OUTSIDE TOLERANCE",AK60="ESCALATED",AK60="ACCEPTANCE REQUESTED"),1,0)</x:f>
        <x:v>1</x:v>
      </x:c>
    </x:row>
    <x:row r="61">
      <x:c r="A61" s="27" t="str">
        <x:v>R-QUA-005</x:v>
      </x:c>
      <x:c r="B61" s="36" t="str">
        <x:v>Quality &amp; Acceptance</x:v>
      </x:c>
      <x:c r="C61" s="36" t="str">
        <x:v>Environment mismatch</x:v>
      </x:c>
      <x:c r="D61" s="36" t="str">
        <x:v>Existe el riesgo de que ocurra lo siguiente: QA usa entorno distinto al candidato.</x:v>
      </x:c>
      <x:c r="E61" s="36" t="str">
        <x:v>Test validity</x:v>
      </x:c>
      <x:c r="F61" s="36" t="str">
        <x:v>H6/Release</x:v>
      </x:c>
      <x:c r="G61" s="36" t="str">
        <x:v>Ausencia, degradación o incumplimiento de los controles definidos para environment mismatch.</x:v>
      </x:c>
      <x:c r="H61" s="36" t="str">
        <x:v>QA usa entorno distinto al candidato</x:v>
      </x:c>
      <x:c r="I61" s="36" t="str">
        <x:v>Puede afectar a Test validity, bloquear un gate, causar retrabajo, pérdida de datos/confianza o interrupción operativa.</x:v>
      </x:c>
      <x:c r="J61" s="38" t="n">
        <x:v>3</x:v>
      </x:c>
      <x:c r="K61" s="38" t="n">
        <x:v>4</x:v>
      </x:c>
      <x:c r="L61" s="38" t="n">
        <x:f>J61*K61</x:f>
        <x:v>12</x:v>
      </x:c>
      <x:c r="M61" s="27" t="str">
        <x:f>IF(L61&gt;=20,"CRITICAL",IF(L61&gt;=12,"HIGH",IF(L61&gt;=6,"MEDIUM","LOW")))</x:f>
        <x:v>HIGH</x:v>
      </x:c>
      <x:c r="N61" s="27" t="str">
        <x:v>MEDIUM</x:v>
      </x:c>
      <x:c r="O61" s="27" t="str">
        <x:v>MODERATE</x:v>
      </x:c>
      <x:c r="P61" s="36" t="str">
        <x:v>Severidades, coverage por riesgo, Golden Path, builds externas y evidencia.</x:v>
      </x:c>
      <x:c r="Q61" s="27" t="str">
        <x:v>PARTIAL</x:v>
      </x:c>
      <x:c r="R61" s="27" t="str">
        <x:v>MITIGATE</x:v>
      </x:c>
      <x:c r="S61" s="36" t="str">
        <x:v>Aumentar cobertura, reproducir, fijar owner y bloquear gate según severidad.</x:v>
      </x:c>
      <x:c r="T61" s="38" t="n">
        <x:v>3</x:v>
      </x:c>
      <x:c r="U61" s="38" t="n">
        <x:v>4</x:v>
      </x:c>
      <x:c r="V61" s="38" t="n">
        <x:f>T61*U61</x:f>
        <x:v>12</x:v>
      </x:c>
      <x:c r="W61" s="27" t="str">
        <x:f>IF(V61&gt;=20,"CRITICAL",IF(V61&gt;=12,"HIGH",IF(V61&gt;=6,"MEDIUM","LOW")))</x:f>
        <x:v>HIGH</x:v>
      </x:c>
      <x:c r="X61" s="27" t="str">
        <x:v>LOW</x:v>
      </x:c>
      <x:c r="Y61" s="27" t="str">
        <x:f>IF(X61="ZERO",IF(V61=0,"WITHIN TOLERANCE","OUTSIDE TOLERANCE"),IF(X61="LOW",IF(V61&lt;=4,"WITHIN TOLERANCE","OUTSIDE TOLERANCE"),IF(X61="MODERATE",IF(V61&lt;=9,"WITHIN TOLERANCE","OUTSIDE TOLERANCE"),IF(X61="HIGH",IF(V61&lt;=16,"WITHIN TOLERANCE","OUTSIDE TOLERANCE"),"REVIEW"))))</x:f>
        <x:v>OUTSIDE TOLERANCE</x:v>
      </x:c>
      <x:c r="Z61" s="36" t="str">
        <x:v>QA</x:v>
      </x:c>
      <x:c r="AA61" s="36" t="str">
        <x:v>Production</x:v>
      </x:c>
      <x:c r="AB61" s="36" t="str">
        <x:v>Build/hash no coincide</x:v>
      </x:c>
      <x:c r="AC61" s="36" t="str">
        <x:v>Umbral: evidencia positiva, tendencia adversa o gate bloqueado.</x:v>
      </x:c>
      <x:c r="AD61" s="36" t="str">
        <x:v>Triage, cuarentena del build y apertura de defecto.</x:v>
      </x:c>
      <x:c r="AE61" s="36" t="str">
        <x:v>Corregir, ejecutar regresión proporcional y reemitir evidencia.</x:v>
      </x:c>
      <x:c r="AF61" s="27" t="str">
        <x:v>BIA-06</x:v>
      </x:c>
      <x:c r="AG61" s="27" t="str">
        <x:v>PB-06</x:v>
      </x:c>
      <x:c r="AH61" s="27" t="str">
        <x:v>TA-QUA-005</x:v>
      </x:c>
      <x:c r="AI61" s="36" t="str">
        <x:v>02, 07, 08, 11, 16, 29, 30, 31</x:v>
      </x:c>
      <x:c r="AJ61" s="36" t="str">
        <x:v>QA Plan/Matrix, validation checklists y execution records v0.3–v0.6</x:v>
      </x:c>
      <x:c r="AK61" s="27" t="str">
        <x:v>OPEN</x:v>
      </x:c>
      <x:c r="AL61" s="27" t="str">
        <x:v>MONTHLY</x:v>
      </x:c>
      <x:c r="AM61" s="40" t="str">
        <x:v>2026-07-01</x:v>
      </x:c>
      <x:c r="AN61" s="40" t="str">
        <x:v>2026-07-31</x:v>
      </x:c>
      <x:c r="AO61" s="27" t="str">
        <x:v>UNVERIFIED</x:v>
      </x:c>
      <x:c r="AP61" s="36" t="str">
        <x:v>Registro inicial consolidado; validar owner, controles y residual.</x:v>
      </x:c>
      <x:c r="AQ61" s="27" t="n">
        <x:f>IF(OR(M61="CRITICAL",W61="CRITICAL",Y61="OUTSIDE TOLERANCE",AK61="ESCALATED",AK61="ACCEPTANCE REQUESTED"),1,0)</x:f>
        <x:v>1</x:v>
      </x:c>
    </x:row>
    <x:row r="62">
      <x:c r="A62" s="27" t="str">
        <x:v>R-QUA-006</x:v>
      </x:c>
      <x:c r="B62" s="36" t="str">
        <x:v>Quality &amp; Acceptance</x:v>
      </x:c>
      <x:c r="C62" s="36" t="str">
        <x:v>Exploratory deficit</x:v>
      </x:c>
      <x:c r="D62" s="36" t="str">
        <x:v>Existe el riesgo de que ocurra lo siguiente: Solo tests previstos y no exploratorios.</x:v>
      </x:c>
      <x:c r="E62" s="36" t="str">
        <x:v>Unknown defects</x:v>
      </x:c>
      <x:c r="F62" s="36" t="str">
        <x:v>Development</x:v>
      </x:c>
      <x:c r="G62" s="36" t="str">
        <x:v>Ausencia, degradación o incumplimiento de los controles definidos para exploratory deficit.</x:v>
      </x:c>
      <x:c r="H62" s="36" t="str">
        <x:v>Solo tests previstos y no exploratorios</x:v>
      </x:c>
      <x:c r="I62" s="36" t="str">
        <x:v>Puede afectar a Unknown defects, bloquear un gate, causar retrabajo, pérdida de datos/confianza o interrupción operativa.</x:v>
      </x:c>
      <x:c r="J62" s="38" t="n">
        <x:v>3</x:v>
      </x:c>
      <x:c r="K62" s="38" t="n">
        <x:v>3</x:v>
      </x:c>
      <x:c r="L62" s="38" t="n">
        <x:f>J62*K62</x:f>
        <x:v>9</x:v>
      </x:c>
      <x:c r="M62" s="27" t="str">
        <x:f>IF(L62&gt;=20,"CRITICAL",IF(L62&gt;=12,"HIGH",IF(L62&gt;=6,"MEDIUM","LOW")))</x:f>
        <x:v>MEDIUM</x:v>
      </x:c>
      <x:c r="N62" s="27" t="str">
        <x:v>SLOW</x:v>
      </x:c>
      <x:c r="O62" s="27" t="str">
        <x:v>MODERATE</x:v>
      </x:c>
      <x:c r="P62" s="36" t="str">
        <x:v>Severidades, coverage por riesgo, Golden Path, builds externas y evidencia.</x:v>
      </x:c>
      <x:c r="Q62" s="27" t="str">
        <x:v>PARTIAL</x:v>
      </x:c>
      <x:c r="R62" s="27" t="str">
        <x:v>MITIGATE</x:v>
      </x:c>
      <x:c r="S62" s="36" t="str">
        <x:v>Aumentar cobertura, reproducir, fijar owner y bloquear gate según severidad.</x:v>
      </x:c>
      <x:c r="T62" s="38" t="n">
        <x:v>3</x:v>
      </x:c>
      <x:c r="U62" s="38" t="n">
        <x:v>3</x:v>
      </x:c>
      <x:c r="V62" s="38" t="n">
        <x:f>T62*U62</x:f>
        <x:v>9</x:v>
      </x:c>
      <x:c r="W62" s="27" t="str">
        <x:f>IF(V62&gt;=20,"CRITICAL",IF(V62&gt;=12,"HIGH",IF(V62&gt;=6,"MEDIUM","LOW")))</x:f>
        <x:v>MEDIUM</x:v>
      </x:c>
      <x:c r="X62" s="27" t="str">
        <x:v>LOW</x:v>
      </x:c>
      <x:c r="Y62" s="27" t="str">
        <x:f>IF(X62="ZERO",IF(V62=0,"WITHIN TOLERANCE","OUTSIDE TOLERANCE"),IF(X62="LOW",IF(V62&lt;=4,"WITHIN TOLERANCE","OUTSIDE TOLERANCE"),IF(X62="MODERATE",IF(V62&lt;=9,"WITHIN TOLERANCE","OUTSIDE TOLERANCE"),IF(X62="HIGH",IF(V62&lt;=16,"WITHIN TOLERANCE","OUTSIDE TOLERANCE"),"REVIEW"))))</x:f>
        <x:v>OUTSIDE TOLERANCE</x:v>
      </x:c>
      <x:c r="Z62" s="36" t="str">
        <x:v>QA</x:v>
      </x:c>
      <x:c r="AA62" s="36" t="str">
        <x:v>Production</x:v>
      </x:c>
      <x:c r="AB62" s="36" t="str">
        <x:v>Cero sesiones exploratorias</x:v>
      </x:c>
      <x:c r="AC62" s="36" t="str">
        <x:v>Umbral: evidencia positiva, tendencia adversa o gate bloqueado.</x:v>
      </x:c>
      <x:c r="AD62" s="36" t="str">
        <x:v>Triage, cuarentena del build y apertura de defecto.</x:v>
      </x:c>
      <x:c r="AE62" s="36" t="str">
        <x:v>Corregir, ejecutar regresión proporcional y reemitir evidencia.</x:v>
      </x:c>
      <x:c r="AF62" s="27" t="str">
        <x:v>BIA-06</x:v>
      </x:c>
      <x:c r="AG62" s="27" t="str">
        <x:v>PB-06</x:v>
      </x:c>
      <x:c r="AH62" s="27" t="str">
        <x:v>TA-QUA-006</x:v>
      </x:c>
      <x:c r="AI62" s="36" t="str">
        <x:v>02, 07, 08, 11, 16, 29, 30, 31</x:v>
      </x:c>
      <x:c r="AJ62" s="36" t="str">
        <x:v>QA Plan/Matrix, validation checklists y execution records v0.3–v0.6</x:v>
      </x:c>
      <x:c r="AK62" s="27" t="str">
        <x:v>OPEN</x:v>
      </x:c>
      <x:c r="AL62" s="27" t="str">
        <x:v>MONTHLY</x:v>
      </x:c>
      <x:c r="AM62" s="40" t="str">
        <x:v>2026-07-01</x:v>
      </x:c>
      <x:c r="AN62" s="40" t="str">
        <x:v>2026-07-31</x:v>
      </x:c>
      <x:c r="AO62" s="27" t="str">
        <x:v>UNVERIFIED</x:v>
      </x:c>
      <x:c r="AP62" s="36" t="str">
        <x:v>Registro inicial consolidado; validar owner, controles y residual.</x:v>
      </x:c>
      <x:c r="AQ62" s="27" t="n">
        <x:f>IF(OR(M62="CRITICAL",W62="CRITICAL",Y62="OUTSIDE TOLERANCE",AK62="ESCALATED",AK62="ACCEPTANCE REQUESTED"),1,0)</x:f>
        <x:v>1</x:v>
      </x:c>
    </x:row>
    <x:row r="63">
      <x:c r="A63" s="27" t="str">
        <x:v>R-QUA-007</x:v>
      </x:c>
      <x:c r="B63" s="36" t="str">
        <x:v>Quality &amp; Acceptance</x:v>
      </x:c>
      <x:c r="C63" s="36" t="str">
        <x:v>Intermittent defect</x:v>
      </x:c>
      <x:c r="D63" s="36" t="str">
        <x:v>Existe el riesgo de que ocurra lo siguiente: Fallo no reproducible se cierra prematuramente.</x:v>
      </x:c>
      <x:c r="E63" s="36" t="str">
        <x:v>Stability</x:v>
      </x:c>
      <x:c r="F63" s="36" t="str">
        <x:v>All</x:v>
      </x:c>
      <x:c r="G63" s="36" t="str">
        <x:v>Ausencia, degradación o incumplimiento de los controles definidos para intermittent defect.</x:v>
      </x:c>
      <x:c r="H63" s="36" t="str">
        <x:v>Fallo no reproducible se cierra prematuramente</x:v>
      </x:c>
      <x:c r="I63" s="36" t="str">
        <x:v>Puede afectar a Stability, bloquear un gate, causar retrabajo, pérdida de datos/confianza o interrupción operativa.</x:v>
      </x:c>
      <x:c r="J63" s="38" t="n">
        <x:v>3</x:v>
      </x:c>
      <x:c r="K63" s="38" t="n">
        <x:v>4</x:v>
      </x:c>
      <x:c r="L63" s="38" t="n">
        <x:f>J63*K63</x:f>
        <x:v>12</x:v>
      </x:c>
      <x:c r="M63" s="27" t="str">
        <x:f>IF(L63&gt;=20,"CRITICAL",IF(L63&gt;=12,"HIGH",IF(L63&gt;=6,"MEDIUM","LOW")))</x:f>
        <x:v>HIGH</x:v>
      </x:c>
      <x:c r="N63" s="27" t="str">
        <x:v>MEDIUM</x:v>
      </x:c>
      <x:c r="O63" s="27" t="str">
        <x:v>MODERATE</x:v>
      </x:c>
      <x:c r="P63" s="36" t="str">
        <x:v>Severidades, coverage por riesgo, Golden Path, builds externas y evidencia.</x:v>
      </x:c>
      <x:c r="Q63" s="27" t="str">
        <x:v>PARTIAL</x:v>
      </x:c>
      <x:c r="R63" s="27" t="str">
        <x:v>MITIGATE</x:v>
      </x:c>
      <x:c r="S63" s="36" t="str">
        <x:v>Aumentar cobertura, reproducir, fijar owner y bloquear gate según severidad.</x:v>
      </x:c>
      <x:c r="T63" s="38" t="n">
        <x:v>3</x:v>
      </x:c>
      <x:c r="U63" s="38" t="n">
        <x:v>4</x:v>
      </x:c>
      <x:c r="V63" s="38" t="n">
        <x:f>T63*U63</x:f>
        <x:v>12</x:v>
      </x:c>
      <x:c r="W63" s="27" t="str">
        <x:f>IF(V63&gt;=20,"CRITICAL",IF(V63&gt;=12,"HIGH",IF(V63&gt;=6,"MEDIUM","LOW")))</x:f>
        <x:v>HIGH</x:v>
      </x:c>
      <x:c r="X63" s="27" t="str">
        <x:v>LOW</x:v>
      </x:c>
      <x:c r="Y63" s="27" t="str">
        <x:f>IF(X63="ZERO",IF(V63=0,"WITHIN TOLERANCE","OUTSIDE TOLERANCE"),IF(X63="LOW",IF(V63&lt;=4,"WITHIN TOLERANCE","OUTSIDE TOLERANCE"),IF(X63="MODERATE",IF(V63&lt;=9,"WITHIN TOLERANCE","OUTSIDE TOLERANCE"),IF(X63="HIGH",IF(V63&lt;=16,"WITHIN TOLERANCE","OUTSIDE TOLERANCE"),"REVIEW"))))</x:f>
        <x:v>OUTSIDE TOLERANCE</x:v>
      </x:c>
      <x:c r="Z63" s="36" t="str">
        <x:v>QA</x:v>
      </x:c>
      <x:c r="AA63" s="36" t="str">
        <x:v>Production</x:v>
      </x:c>
      <x:c r="AB63" s="36" t="str">
        <x:v>No repetición/telemetría diagnóstica</x:v>
      </x:c>
      <x:c r="AC63" s="36" t="str">
        <x:v>Umbral: evidencia positiva, tendencia adversa o gate bloqueado.</x:v>
      </x:c>
      <x:c r="AD63" s="36" t="str">
        <x:v>Triage, cuarentena del build y apertura de defecto.</x:v>
      </x:c>
      <x:c r="AE63" s="36" t="str">
        <x:v>Corregir, ejecutar regresión proporcional y reemitir evidencia.</x:v>
      </x:c>
      <x:c r="AF63" s="27" t="str">
        <x:v>BIA-06</x:v>
      </x:c>
      <x:c r="AG63" s="27" t="str">
        <x:v>PB-06</x:v>
      </x:c>
      <x:c r="AH63" s="27" t="str">
        <x:v>TA-QUA-007</x:v>
      </x:c>
      <x:c r="AI63" s="36" t="str">
        <x:v>02, 07, 08, 11, 16, 29, 30, 31</x:v>
      </x:c>
      <x:c r="AJ63" s="36" t="str">
        <x:v>QA Plan/Matrix, validation checklists y execution records v0.3–v0.6</x:v>
      </x:c>
      <x:c r="AK63" s="27" t="str">
        <x:v>OPEN</x:v>
      </x:c>
      <x:c r="AL63" s="27" t="str">
        <x:v>MONTHLY</x:v>
      </x:c>
      <x:c r="AM63" s="40" t="str">
        <x:v>2026-07-01</x:v>
      </x:c>
      <x:c r="AN63" s="40" t="str">
        <x:v>2026-07-31</x:v>
      </x:c>
      <x:c r="AO63" s="27" t="str">
        <x:v>UNVERIFIED</x:v>
      </x:c>
      <x:c r="AP63" s="36" t="str">
        <x:v>Registro inicial consolidado; validar owner, controles y residual.</x:v>
      </x:c>
      <x:c r="AQ63" s="27" t="n">
        <x:f>IF(OR(M63="CRITICAL",W63="CRITICAL",Y63="OUTSIDE TOLERANCE",AK63="ESCALATED",AK63="ACCEPTANCE REQUESTED"),1,0)</x:f>
        <x:v>1</x:v>
      </x:c>
    </x:row>
    <x:row r="64">
      <x:c r="A64" s="27" t="str">
        <x:v>R-QUA-008</x:v>
      </x:c>
      <x:c r="B64" s="36" t="str">
        <x:v>Quality &amp; Acceptance</x:v>
      </x:c>
      <x:c r="C64" s="36" t="str">
        <x:v>Visual acceptance</x:v>
      </x:c>
      <x:c r="D64" s="36" t="str">
        <x:v>Existe el riesgo de que ocurra lo siguiente: Arte representativo no recibe aceptación formal.</x:v>
      </x:c>
      <x:c r="E64" s="36" t="str">
        <x:v>H6 visual quality</x:v>
      </x:c>
      <x:c r="F64" s="36" t="str">
        <x:v>H6</x:v>
      </x:c>
      <x:c r="G64" s="36" t="str">
        <x:v>Ausencia, degradación o incumplimiento de los controles definidos para visual acceptance.</x:v>
      </x:c>
      <x:c r="H64" s="36" t="str">
        <x:v>Arte representativo no recibe aceptación formal</x:v>
      </x:c>
      <x:c r="I64" s="36" t="str">
        <x:v>Puede afectar a H6 visual quality, bloquear un gate, causar retrabajo, pérdida de datos/confianza o interrupción operativa.</x:v>
      </x:c>
      <x:c r="J64" s="38" t="n">
        <x:v>4</x:v>
      </x:c>
      <x:c r="K64" s="38" t="n">
        <x:v>4</x:v>
      </x:c>
      <x:c r="L64" s="38" t="n">
        <x:f>J64*K64</x:f>
        <x:v>16</x:v>
      </x:c>
      <x:c r="M64" s="27" t="str">
        <x:f>IF(L64&gt;=20,"CRITICAL",IF(L64&gt;=12,"HIGH",IF(L64&gt;=6,"MEDIUM","LOW")))</x:f>
        <x:v>HIGH</x:v>
      </x:c>
      <x:c r="N64" s="27" t="str">
        <x:v>MEDIUM</x:v>
      </x:c>
      <x:c r="O64" s="27" t="str">
        <x:v>MODERATE</x:v>
      </x:c>
      <x:c r="P64" s="36" t="str">
        <x:v>Severidades, coverage por riesgo, Golden Path, builds externas y evidencia.</x:v>
      </x:c>
      <x:c r="Q64" s="27" t="str">
        <x:v>PARTIAL</x:v>
      </x:c>
      <x:c r="R64" s="27" t="str">
        <x:v>MITIGATE</x:v>
      </x:c>
      <x:c r="S64" s="36" t="str">
        <x:v>Aumentar cobertura, reproducir, fijar owner y bloquear gate según severidad.</x:v>
      </x:c>
      <x:c r="T64" s="38" t="n">
        <x:v>4</x:v>
      </x:c>
      <x:c r="U64" s="38" t="n">
        <x:v>4</x:v>
      </x:c>
      <x:c r="V64" s="38" t="n">
        <x:f>T64*U64</x:f>
        <x:v>16</x:v>
      </x:c>
      <x:c r="W64" s="27" t="str">
        <x:f>IF(V64&gt;=20,"CRITICAL",IF(V64&gt;=12,"HIGH",IF(V64&gt;=6,"MEDIUM","LOW")))</x:f>
        <x:v>HIGH</x:v>
      </x:c>
      <x:c r="X64" s="27" t="str">
        <x:v>LOW</x:v>
      </x:c>
      <x:c r="Y64" s="27" t="str">
        <x:f>IF(X64="ZERO",IF(V64=0,"WITHIN TOLERANCE","OUTSIDE TOLERANCE"),IF(X64="LOW",IF(V64&lt;=4,"WITHIN TOLERANCE","OUTSIDE TOLERANCE"),IF(X64="MODERATE",IF(V64&lt;=9,"WITHIN TOLERANCE","OUTSIDE TOLERANCE"),IF(X64="HIGH",IF(V64&lt;=16,"WITHIN TOLERANCE","OUTSIDE TOLERANCE"),"REVIEW"))))</x:f>
        <x:v>OUTSIDE TOLERANCE</x:v>
      </x:c>
      <x:c r="Z64" s="36" t="str">
        <x:v>QA</x:v>
      </x:c>
      <x:c r="AA64" s="36" t="str">
        <x:v>Production</x:v>
      </x:c>
      <x:c r="AB64" s="36" t="str">
        <x:v>Aprobación visual pendiente</x:v>
      </x:c>
      <x:c r="AC64" s="36" t="str">
        <x:v>Umbral: evidencia positiva, tendencia adversa o gate bloqueado.</x:v>
      </x:c>
      <x:c r="AD64" s="36" t="str">
        <x:v>Triage, cuarentena del build y apertura de defecto.</x:v>
      </x:c>
      <x:c r="AE64" s="36" t="str">
        <x:v>Corregir, ejecutar regresión proporcional y reemitir evidencia.</x:v>
      </x:c>
      <x:c r="AF64" s="27" t="str">
        <x:v>BIA-06</x:v>
      </x:c>
      <x:c r="AG64" s="27" t="str">
        <x:v>PB-06</x:v>
      </x:c>
      <x:c r="AH64" s="27" t="str">
        <x:v>TA-QUA-008</x:v>
      </x:c>
      <x:c r="AI64" s="36" t="str">
        <x:v>02, 07, 08, 11, 16, 29, 30, 31</x:v>
      </x:c>
      <x:c r="AJ64" s="36" t="str">
        <x:v>QA Plan/Matrix, validation checklists y execution records v0.3–v0.6</x:v>
      </x:c>
      <x:c r="AK64" s="27" t="str">
        <x:v>OPEN</x:v>
      </x:c>
      <x:c r="AL64" s="27" t="str">
        <x:v>WEEKLY</x:v>
      </x:c>
      <x:c r="AM64" s="40" t="str">
        <x:v>2026-07-01</x:v>
      </x:c>
      <x:c r="AN64" s="40" t="str">
        <x:v>2026-07-08</x:v>
      </x:c>
      <x:c r="AO64" s="27" t="str">
        <x:v>UNVERIFIED</x:v>
      </x:c>
      <x:c r="AP64" s="36" t="str">
        <x:v>Registro inicial consolidado; validar owner, controles y residual.</x:v>
      </x:c>
      <x:c r="AQ64" s="27" t="n">
        <x:f>IF(OR(M64="CRITICAL",W64="CRITICAL",Y64="OUTSIDE TOLERANCE",AK64="ESCALATED",AK64="ACCEPTANCE REQUESTED"),1,0)</x:f>
        <x:v>1</x:v>
      </x:c>
    </x:row>
    <x:row r="65">
      <x:c r="A65" s="27" t="str">
        <x:v>R-QUA-009</x:v>
      </x:c>
      <x:c r="B65" s="36" t="str">
        <x:v>Quality &amp; Acceptance</x:v>
      </x:c>
      <x:c r="C65" s="36" t="str">
        <x:v>Hardware coverage</x:v>
      </x:c>
      <x:c r="D65" s="36" t="str">
        <x:v>Existe el riesgo de que ocurra lo siguiente: No se prueba hardware objetivo.</x:v>
      </x:c>
      <x:c r="E65" s="36" t="str">
        <x:v>Performance / compatibility</x:v>
      </x:c>
      <x:c r="F65" s="36" t="str">
        <x:v>H6/Release</x:v>
      </x:c>
      <x:c r="G65" s="36" t="str">
        <x:v>Ausencia, degradación o incumplimiento de los controles definidos para hardware coverage.</x:v>
      </x:c>
      <x:c r="H65" s="36" t="str">
        <x:v>No se prueba hardware objetivo</x:v>
      </x:c>
      <x:c r="I65" s="36" t="str">
        <x:v>Puede afectar a Performance / compatibility, bloquear un gate, causar retrabajo, pérdida de datos/confianza o interrupción operativa.</x:v>
      </x:c>
      <x:c r="J65" s="38" t="n">
        <x:v>4</x:v>
      </x:c>
      <x:c r="K65" s="38" t="n">
        <x:v>4</x:v>
      </x:c>
      <x:c r="L65" s="38" t="n">
        <x:f>J65*K65</x:f>
        <x:v>16</x:v>
      </x:c>
      <x:c r="M65" s="27" t="str">
        <x:f>IF(L65&gt;=20,"CRITICAL",IF(L65&gt;=12,"HIGH",IF(L65&gt;=6,"MEDIUM","LOW")))</x:f>
        <x:v>HIGH</x:v>
      </x:c>
      <x:c r="N65" s="27" t="str">
        <x:v>MEDIUM</x:v>
      </x:c>
      <x:c r="O65" s="27" t="str">
        <x:v>MODERATE</x:v>
      </x:c>
      <x:c r="P65" s="36" t="str">
        <x:v>Severidades, coverage por riesgo, Golden Path, builds externas y evidencia.</x:v>
      </x:c>
      <x:c r="Q65" s="27" t="str">
        <x:v>PARTIAL</x:v>
      </x:c>
      <x:c r="R65" s="27" t="str">
        <x:v>MITIGATE</x:v>
      </x:c>
      <x:c r="S65" s="36" t="str">
        <x:v>Aumentar cobertura, reproducir, fijar owner y bloquear gate según severidad.</x:v>
      </x:c>
      <x:c r="T65" s="38" t="n">
        <x:v>4</x:v>
      </x:c>
      <x:c r="U65" s="38" t="n">
        <x:v>4</x:v>
      </x:c>
      <x:c r="V65" s="38" t="n">
        <x:f>T65*U65</x:f>
        <x:v>16</x:v>
      </x:c>
      <x:c r="W65" s="27" t="str">
        <x:f>IF(V65&gt;=20,"CRITICAL",IF(V65&gt;=12,"HIGH",IF(V65&gt;=6,"MEDIUM","LOW")))</x:f>
        <x:v>HIGH</x:v>
      </x:c>
      <x:c r="X65" s="27" t="str">
        <x:v>LOW</x:v>
      </x:c>
      <x:c r="Y65" s="27" t="str">
        <x:f>IF(X65="ZERO",IF(V65=0,"WITHIN TOLERANCE","OUTSIDE TOLERANCE"),IF(X65="LOW",IF(V65&lt;=4,"WITHIN TOLERANCE","OUTSIDE TOLERANCE"),IF(X65="MODERATE",IF(V65&lt;=9,"WITHIN TOLERANCE","OUTSIDE TOLERANCE"),IF(X65="HIGH",IF(V65&lt;=16,"WITHIN TOLERANCE","OUTSIDE TOLERANCE"),"REVIEW"))))</x:f>
        <x:v>OUTSIDE TOLERANCE</x:v>
      </x:c>
      <x:c r="Z65" s="36" t="str">
        <x:v>QA</x:v>
      </x:c>
      <x:c r="AA65" s="36" t="str">
        <x:v>Production</x:v>
      </x:c>
      <x:c r="AB65" s="36" t="str">
        <x:v>Solo estación de desarrollo</x:v>
      </x:c>
      <x:c r="AC65" s="36" t="str">
        <x:v>Umbral: evidencia positiva, tendencia adversa o gate bloqueado.</x:v>
      </x:c>
      <x:c r="AD65" s="36" t="str">
        <x:v>Triage, cuarentena del build y apertura de defecto.</x:v>
      </x:c>
      <x:c r="AE65" s="36" t="str">
        <x:v>Corregir, ejecutar regresión proporcional y reemitir evidencia.</x:v>
      </x:c>
      <x:c r="AF65" s="27" t="str">
        <x:v>BIA-06</x:v>
      </x:c>
      <x:c r="AG65" s="27" t="str">
        <x:v>PB-06</x:v>
      </x:c>
      <x:c r="AH65" s="27" t="str">
        <x:v>TA-QUA-009</x:v>
      </x:c>
      <x:c r="AI65" s="36" t="str">
        <x:v>02, 07, 08, 11, 16, 29, 30, 31</x:v>
      </x:c>
      <x:c r="AJ65" s="36" t="str">
        <x:v>QA Plan/Matrix, validation checklists y execution records v0.3–v0.6</x:v>
      </x:c>
      <x:c r="AK65" s="27" t="str">
        <x:v>OPEN</x:v>
      </x:c>
      <x:c r="AL65" s="27" t="str">
        <x:v>WEEKLY</x:v>
      </x:c>
      <x:c r="AM65" s="40" t="str">
        <x:v>2026-07-01</x:v>
      </x:c>
      <x:c r="AN65" s="40" t="str">
        <x:v>2026-07-08</x:v>
      </x:c>
      <x:c r="AO65" s="27" t="str">
        <x:v>UNVERIFIED</x:v>
      </x:c>
      <x:c r="AP65" s="36" t="str">
        <x:v>Registro inicial consolidado; validar owner, controles y residual.</x:v>
      </x:c>
      <x:c r="AQ65" s="27" t="n">
        <x:f>IF(OR(M65="CRITICAL",W65="CRITICAL",Y65="OUTSIDE TOLERANCE",AK65="ESCALATED",AK65="ACCEPTANCE REQUESTED"),1,0)</x:f>
        <x:v>1</x:v>
      </x:c>
    </x:row>
    <x:row r="66">
      <x:c r="A66" s="27" t="str">
        <x:v>R-QUA-010</x:v>
      </x:c>
      <x:c r="B66" s="36" t="str">
        <x:v>Quality &amp; Acceptance</x:v>
      </x:c>
      <x:c r="C66" s="36" t="str">
        <x:v>Exception abuse</x:v>
      </x:c>
      <x:c r="D66" s="36" t="str">
        <x:v>Existe el riesgo de que ocurra lo siguiente: Excepciones sustituyen correcciones sin límite.</x:v>
      </x:c>
      <x:c r="E66" s="36" t="str">
        <x:v>Risk acceptance</x:v>
      </x:c>
      <x:c r="F66" s="36" t="str">
        <x:v>All</x:v>
      </x:c>
      <x:c r="G66" s="36" t="str">
        <x:v>Ausencia, degradación o incumplimiento de los controles definidos para exception abuse.</x:v>
      </x:c>
      <x:c r="H66" s="36" t="str">
        <x:v>Excepciones sustituyen correcciones sin límite</x:v>
      </x:c>
      <x:c r="I66" s="36" t="str">
        <x:v>Puede afectar a Risk acceptance, bloquear un gate, causar retrabajo, pérdida de datos/confianza o interrupción operativa.</x:v>
      </x:c>
      <x:c r="J66" s="38" t="n">
        <x:v>3</x:v>
      </x:c>
      <x:c r="K66" s="38" t="n">
        <x:v>4</x:v>
      </x:c>
      <x:c r="L66" s="38" t="n">
        <x:f>J66*K66</x:f>
        <x:v>12</x:v>
      </x:c>
      <x:c r="M66" s="27" t="str">
        <x:f>IF(L66&gt;=20,"CRITICAL",IF(L66&gt;=12,"HIGH",IF(L66&gt;=6,"MEDIUM","LOW")))</x:f>
        <x:v>HIGH</x:v>
      </x:c>
      <x:c r="N66" s="27" t="str">
        <x:v>SLOW</x:v>
      </x:c>
      <x:c r="O66" s="27" t="str">
        <x:v>MODERATE</x:v>
      </x:c>
      <x:c r="P66" s="36" t="str">
        <x:v>Severidades, coverage por riesgo, Golden Path, builds externas y evidencia.</x:v>
      </x:c>
      <x:c r="Q66" s="27" t="str">
        <x:v>PARTIAL</x:v>
      </x:c>
      <x:c r="R66" s="27" t="str">
        <x:v>MITIGATE</x:v>
      </x:c>
      <x:c r="S66" s="36" t="str">
        <x:v>Aumentar cobertura, reproducir, fijar owner y bloquear gate según severidad.</x:v>
      </x:c>
      <x:c r="T66" s="38" t="n">
        <x:v>3</x:v>
      </x:c>
      <x:c r="U66" s="38" t="n">
        <x:v>4</x:v>
      </x:c>
      <x:c r="V66" s="38" t="n">
        <x:f>T66*U66</x:f>
        <x:v>12</x:v>
      </x:c>
      <x:c r="W66" s="27" t="str">
        <x:f>IF(V66&gt;=20,"CRITICAL",IF(V66&gt;=12,"HIGH",IF(V66&gt;=6,"MEDIUM","LOW")))</x:f>
        <x:v>HIGH</x:v>
      </x:c>
      <x:c r="X66" s="27" t="str">
        <x:v>LOW</x:v>
      </x:c>
      <x:c r="Y66" s="27" t="str">
        <x:f>IF(X66="ZERO",IF(V66=0,"WITHIN TOLERANCE","OUTSIDE TOLERANCE"),IF(X66="LOW",IF(V66&lt;=4,"WITHIN TOLERANCE","OUTSIDE TOLERANCE"),IF(X66="MODERATE",IF(V66&lt;=9,"WITHIN TOLERANCE","OUTSIDE TOLERANCE"),IF(X66="HIGH",IF(V66&lt;=16,"WITHIN TOLERANCE","OUTSIDE TOLERANCE"),"REVIEW"))))</x:f>
        <x:v>OUTSIDE TOLERANCE</x:v>
      </x:c>
      <x:c r="Z66" s="36" t="str">
        <x:v>QA</x:v>
      </x:c>
      <x:c r="AA66" s="36" t="str">
        <x:v>Production</x:v>
      </x:c>
      <x:c r="AB66" s="36" t="str">
        <x:v>Excepciones abiertas sin expiry</x:v>
      </x:c>
      <x:c r="AC66" s="36" t="str">
        <x:v>Umbral: evidencia positiva, tendencia adversa o gate bloqueado.</x:v>
      </x:c>
      <x:c r="AD66" s="36" t="str">
        <x:v>Triage, cuarentena del build y apertura de defecto.</x:v>
      </x:c>
      <x:c r="AE66" s="36" t="str">
        <x:v>Corregir, ejecutar regresión proporcional y reemitir evidencia.</x:v>
      </x:c>
      <x:c r="AF66" s="27" t="str">
        <x:v>BIA-06</x:v>
      </x:c>
      <x:c r="AG66" s="27" t="str">
        <x:v>PB-06</x:v>
      </x:c>
      <x:c r="AH66" s="27" t="str">
        <x:v>TA-QUA-010</x:v>
      </x:c>
      <x:c r="AI66" s="36" t="str">
        <x:v>02, 07, 08, 11, 16, 29, 30, 31</x:v>
      </x:c>
      <x:c r="AJ66" s="36" t="str">
        <x:v>QA Plan/Matrix, validation checklists y execution records v0.3–v0.6</x:v>
      </x:c>
      <x:c r="AK66" s="27" t="str">
        <x:v>OPEN</x:v>
      </x:c>
      <x:c r="AL66" s="27" t="str">
        <x:v>MONTHLY</x:v>
      </x:c>
      <x:c r="AM66" s="40" t="str">
        <x:v>2026-07-01</x:v>
      </x:c>
      <x:c r="AN66" s="40" t="str">
        <x:v>2026-07-31</x:v>
      </x:c>
      <x:c r="AO66" s="27" t="str">
        <x:v>UNVERIFIED</x:v>
      </x:c>
      <x:c r="AP66" s="36" t="str">
        <x:v>Registro inicial consolidado; validar owner, controles y residual.</x:v>
      </x:c>
      <x:c r="AQ66" s="27" t="n">
        <x:f>IF(OR(M66="CRITICAL",W66="CRITICAL",Y66="OUTSIDE TOLERANCE",AK66="ESCALATED",AK66="ACCEPTANCE REQUESTED"),1,0)</x:f>
        <x:v>1</x:v>
      </x:c>
    </x:row>
    <x:row r="67">
      <x:c r="A67" s="27" t="str">
        <x:v>R-PER-001</x:v>
      </x:c>
      <x:c r="B67" s="36" t="str">
        <x:v>Performance &amp; Stability</x:v>
      </x:c>
      <x:c r="C67" s="36" t="str">
        <x:v>Frame rate</x:v>
      </x:c>
      <x:c r="D67" s="36" t="str">
        <x:v>Existe el riesgo de que ocurra lo siguiente: No se alcanzan 60 FPS a 1080p en hardware objetivo.</x:v>
      </x:c>
      <x:c r="E67" s="36" t="str">
        <x:v>Player experience</x:v>
      </x:c>
      <x:c r="F67" s="36" t="str">
        <x:v>H6/Release</x:v>
      </x:c>
      <x:c r="G67" s="36" t="str">
        <x:v>Ausencia, degradación o incumplimiento de los controles definidos para frame rate.</x:v>
      </x:c>
      <x:c r="H67" s="36" t="str">
        <x:v>No se alcanzan 60 FPS a 1080p en hardware objetivo</x:v>
      </x:c>
      <x:c r="I67" s="36" t="str">
        <x:v>Puede afectar a Player experience, bloquear un gate, causar retrabajo, pérdida de datos/confianza o interrupción operativa.</x:v>
      </x:c>
      <x:c r="J67" s="38" t="n">
        <x:v>4</x:v>
      </x:c>
      <x:c r="K67" s="38" t="n">
        <x:v>4</x:v>
      </x:c>
      <x:c r="L67" s="38" t="n">
        <x:f>J67*K67</x:f>
        <x:v>16</x:v>
      </x:c>
      <x:c r="M67" s="27" t="str">
        <x:f>IF(L67&gt;=20,"CRITICAL",IF(L67&gt;=12,"HIGH",IF(L67&gt;=6,"MEDIUM","LOW")))</x:f>
        <x:v>HIGH</x:v>
      </x:c>
      <x:c r="N67" s="27" t="str">
        <x:v>FAST</x:v>
      </x:c>
      <x:c r="O67" s="27" t="str">
        <x:v>HARD</x:v>
      </x:c>
      <x:c r="P67" s="36" t="str">
        <x:v>Budgets, escenarios de profiling, Player builds y gates de rendimiento.</x:v>
      </x:c>
      <x:c r="Q67" s="27" t="str">
        <x:v>PARTIAL</x:v>
      </x:c>
      <x:c r="R67" s="27" t="str">
        <x:v>MITIGATE</x:v>
      </x:c>
      <x:c r="S67" s="36" t="str">
        <x:v>Medir antes de optimizar, priorizar hotspots y ajustar presets sin comprometer integridad.</x:v>
      </x:c>
      <x:c r="T67" s="38" t="n">
        <x:v>4</x:v>
      </x:c>
      <x:c r="U67" s="38" t="n">
        <x:v>4</x:v>
      </x:c>
      <x:c r="V67" s="38" t="n">
        <x:f>T67*U67</x:f>
        <x:v>16</x:v>
      </x:c>
      <x:c r="W67" s="27" t="str">
        <x:f>IF(V67&gt;=20,"CRITICAL",IF(V67&gt;=12,"HIGH",IF(V67&gt;=6,"MEDIUM","LOW")))</x:f>
        <x:v>HIGH</x:v>
      </x:c>
      <x:c r="X67" s="27" t="str">
        <x:v>LOW</x:v>
      </x:c>
      <x:c r="Y67" s="27" t="str">
        <x:f>IF(X67="ZERO",IF(V67=0,"WITHIN TOLERANCE","OUTSIDE TOLERANCE"),IF(X67="LOW",IF(V67&lt;=4,"WITHIN TOLERANCE","OUTSIDE TOLERANCE"),IF(X67="MODERATE",IF(V67&lt;=9,"WITHIN TOLERANCE","OUTSIDE TOLERANCE"),IF(X67="HIGH",IF(V67&lt;=16,"WITHIN TOLERANCE","OUTSIDE TOLERANCE"),"REVIEW"))))</x:f>
        <x:v>OUTSIDE TOLERANCE</x:v>
      </x:c>
      <x:c r="Z67" s="36" t="str">
        <x:v>Engineering / QA</x:v>
      </x:c>
      <x:c r="AA67" s="36" t="str">
        <x:v>Technical Lead</x:v>
      </x:c>
      <x:c r="AB67" s="36" t="str">
        <x:v>Percentiles exceden budget</x:v>
      </x:c>
      <x:c r="AC67" s="36" t="str">
        <x:v>Umbral: evidencia positiva, tendencia adversa o gate bloqueado.</x:v>
      </x:c>
      <x:c r="AD67" s="36" t="str">
        <x:v>Capturar profiler/log y reducir carga no esencial.</x:v>
      </x:c>
      <x:c r="AE67" s="36" t="str">
        <x:v>Revertir regresión o aplicar preset seguro; volver a benchmark base.</x:v>
      </x:c>
      <x:c r="AF67" s="27" t="str">
        <x:v>BIA-07</x:v>
      </x:c>
      <x:c r="AG67" s="27" t="str">
        <x:v>PB-07</x:v>
      </x:c>
      <x:c r="AH67" s="27" t="str">
        <x:v>TA-PER-001</x:v>
      </x:c>
      <x:c r="AI67" s="36" t="str">
        <x:v>02, 03, 07, 10, 11, 17, 18, 19, 20, 30, 31</x:v>
      </x:c>
      <x:c r="AJ67" s="36" t="str">
        <x:v>Targets históricos de VSS/TDD y pruebas de build v0.3–v0.6</x:v>
      </x:c>
      <x:c r="AK67" s="27" t="str">
        <x:v>OPEN</x:v>
      </x:c>
      <x:c r="AL67" s="27" t="str">
        <x:v>WEEKLY</x:v>
      </x:c>
      <x:c r="AM67" s="40" t="str">
        <x:v>2026-07-01</x:v>
      </x:c>
      <x:c r="AN67" s="40" t="str">
        <x:v>2026-07-08</x:v>
      </x:c>
      <x:c r="AO67" s="27" t="str">
        <x:v>UNVERIFIED</x:v>
      </x:c>
      <x:c r="AP67" s="36" t="str">
        <x:v>Registro inicial consolidado; validar owner, controles y residual.</x:v>
      </x:c>
      <x:c r="AQ67" s="27" t="n">
        <x:f>IF(OR(M67="CRITICAL",W67="CRITICAL",Y67="OUTSIDE TOLERANCE",AK67="ESCALATED",AK67="ACCEPTANCE REQUESTED"),1,0)</x:f>
        <x:v>1</x:v>
      </x:c>
    </x:row>
    <x:row r="68">
      <x:c r="A68" s="27" t="str">
        <x:v>R-PER-002</x:v>
      </x:c>
      <x:c r="B68" s="36" t="str">
        <x:v>Performance &amp; Stability</x:v>
      </x:c>
      <x:c r="C68" s="36" t="str">
        <x:v>Frame pacing</x:v>
      </x:c>
      <x:c r="D68" s="36" t="str">
        <x:v>Existe el riesgo de que ocurra lo siguiente: Stutter perceptible pese a promedio aceptable.</x:v>
      </x:c>
      <x:c r="E68" s="36" t="str">
        <x:v>Player experience</x:v>
      </x:c>
      <x:c r="F68" s="36" t="str">
        <x:v>H6/Release</x:v>
      </x:c>
      <x:c r="G68" s="36" t="str">
        <x:v>Ausencia, degradación o incumplimiento de los controles definidos para frame pacing.</x:v>
      </x:c>
      <x:c r="H68" s="36" t="str">
        <x:v>Stutter perceptible pese a promedio aceptable</x:v>
      </x:c>
      <x:c r="I68" s="36" t="str">
        <x:v>Puede afectar a Player experience, bloquear un gate, causar retrabajo, pérdida de datos/confianza o interrupción operativa.</x:v>
      </x:c>
      <x:c r="J68" s="38" t="n">
        <x:v>4</x:v>
      </x:c>
      <x:c r="K68" s="38" t="n">
        <x:v>4</x:v>
      </x:c>
      <x:c r="L68" s="38" t="n">
        <x:f>J68*K68</x:f>
        <x:v>16</x:v>
      </x:c>
      <x:c r="M68" s="27" t="str">
        <x:f>IF(L68&gt;=20,"CRITICAL",IF(L68&gt;=12,"HIGH",IF(L68&gt;=6,"MEDIUM","LOW")))</x:f>
        <x:v>HIGH</x:v>
      </x:c>
      <x:c r="N68" s="27" t="str">
        <x:v>FAST</x:v>
      </x:c>
      <x:c r="O68" s="27" t="str">
        <x:v>HARD</x:v>
      </x:c>
      <x:c r="P68" s="36" t="str">
        <x:v>Budgets, escenarios de profiling, Player builds y gates de rendimiento.</x:v>
      </x:c>
      <x:c r="Q68" s="27" t="str">
        <x:v>PARTIAL</x:v>
      </x:c>
      <x:c r="R68" s="27" t="str">
        <x:v>MITIGATE</x:v>
      </x:c>
      <x:c r="S68" s="36" t="str">
        <x:v>Medir antes de optimizar, priorizar hotspots y ajustar presets sin comprometer integridad.</x:v>
      </x:c>
      <x:c r="T68" s="38" t="n">
        <x:v>4</x:v>
      </x:c>
      <x:c r="U68" s="38" t="n">
        <x:v>4</x:v>
      </x:c>
      <x:c r="V68" s="38" t="n">
        <x:f>T68*U68</x:f>
        <x:v>16</x:v>
      </x:c>
      <x:c r="W68" s="27" t="str">
        <x:f>IF(V68&gt;=20,"CRITICAL",IF(V68&gt;=12,"HIGH",IF(V68&gt;=6,"MEDIUM","LOW")))</x:f>
        <x:v>HIGH</x:v>
      </x:c>
      <x:c r="X68" s="27" t="str">
        <x:v>LOW</x:v>
      </x:c>
      <x:c r="Y68" s="27" t="str">
        <x:f>IF(X68="ZERO",IF(V68=0,"WITHIN TOLERANCE","OUTSIDE TOLERANCE"),IF(X68="LOW",IF(V68&lt;=4,"WITHIN TOLERANCE","OUTSIDE TOLERANCE"),IF(X68="MODERATE",IF(V68&lt;=9,"WITHIN TOLERANCE","OUTSIDE TOLERANCE"),IF(X68="HIGH",IF(V68&lt;=16,"WITHIN TOLERANCE","OUTSIDE TOLERANCE"),"REVIEW"))))</x:f>
        <x:v>OUTSIDE TOLERANCE</x:v>
      </x:c>
      <x:c r="Z68" s="36" t="str">
        <x:v>Engineering / QA</x:v>
      </x:c>
      <x:c r="AA68" s="36" t="str">
        <x:v>Technical Lead</x:v>
      </x:c>
      <x:c r="AB68" s="36" t="str">
        <x:v>1% low/frame spikes</x:v>
      </x:c>
      <x:c r="AC68" s="36" t="str">
        <x:v>Umbral: evidencia positiva, tendencia adversa o gate bloqueado.</x:v>
      </x:c>
      <x:c r="AD68" s="36" t="str">
        <x:v>Capturar profiler/log y reducir carga no esencial.</x:v>
      </x:c>
      <x:c r="AE68" s="36" t="str">
        <x:v>Revertir regresión o aplicar preset seguro; volver a benchmark base.</x:v>
      </x:c>
      <x:c r="AF68" s="27" t="str">
        <x:v>BIA-07</x:v>
      </x:c>
      <x:c r="AG68" s="27" t="str">
        <x:v>PB-07</x:v>
      </x:c>
      <x:c r="AH68" s="27" t="str">
        <x:v>TA-PER-002</x:v>
      </x:c>
      <x:c r="AI68" s="36" t="str">
        <x:v>02, 03, 07, 10, 11, 17, 18, 19, 20, 30, 31</x:v>
      </x:c>
      <x:c r="AJ68" s="36" t="str">
        <x:v>Targets históricos de VSS/TDD y pruebas de build v0.3–v0.6</x:v>
      </x:c>
      <x:c r="AK68" s="27" t="str">
        <x:v>OPEN</x:v>
      </x:c>
      <x:c r="AL68" s="27" t="str">
        <x:v>WEEKLY</x:v>
      </x:c>
      <x:c r="AM68" s="40" t="str">
        <x:v>2026-07-01</x:v>
      </x:c>
      <x:c r="AN68" s="40" t="str">
        <x:v>2026-07-08</x:v>
      </x:c>
      <x:c r="AO68" s="27" t="str">
        <x:v>UNVERIFIED</x:v>
      </x:c>
      <x:c r="AP68" s="36" t="str">
        <x:v>Registro inicial consolidado; validar owner, controles y residual.</x:v>
      </x:c>
      <x:c r="AQ68" s="27" t="n">
        <x:f>IF(OR(M68="CRITICAL",W68="CRITICAL",Y68="OUTSIDE TOLERANCE",AK68="ESCALATED",AK68="ACCEPTANCE REQUESTED"),1,0)</x:f>
        <x:v>1</x:v>
      </x:c>
    </x:row>
    <x:row r="69">
      <x:c r="A69" s="27" t="str">
        <x:v>R-PER-003</x:v>
      </x:c>
      <x:c r="B69" s="36" t="str">
        <x:v>Performance &amp; Stability</x:v>
      </x:c>
      <x:c r="C69" s="36" t="str">
        <x:v>Memory growth</x:v>
      </x:c>
      <x:c r="D69" s="36" t="str">
        <x:v>Existe el riesgo de que ocurra lo siguiente: Memoria aumenta durante sesión prolongada.</x:v>
      </x:c>
      <x:c r="E69" s="36" t="str">
        <x:v>Stability</x:v>
      </x:c>
      <x:c r="F69" s="36" t="str">
        <x:v>Release</x:v>
      </x:c>
      <x:c r="G69" s="36" t="str">
        <x:v>Ausencia, degradación o incumplimiento de los controles definidos para memory growth.</x:v>
      </x:c>
      <x:c r="H69" s="36" t="str">
        <x:v>Memoria aumenta durante sesión prolongada</x:v>
      </x:c>
      <x:c r="I69" s="36" t="str">
        <x:v>Puede afectar a Stability, bloquear un gate, causar retrabajo, pérdida de datos/confianza o interrupción operativa.</x:v>
      </x:c>
      <x:c r="J69" s="38" t="n">
        <x:v>3</x:v>
      </x:c>
      <x:c r="K69" s="38" t="n">
        <x:v>5</x:v>
      </x:c>
      <x:c r="L69" s="38" t="n">
        <x:f>J69*K69</x:f>
        <x:v>15</x:v>
      </x:c>
      <x:c r="M69" s="27" t="str">
        <x:f>IF(L69&gt;=20,"CRITICAL",IF(L69&gt;=12,"HIGH",IF(L69&gt;=6,"MEDIUM","LOW")))</x:f>
        <x:v>HIGH</x:v>
      </x:c>
      <x:c r="N69" s="27" t="str">
        <x:v>SLOW</x:v>
      </x:c>
      <x:c r="O69" s="27" t="str">
        <x:v>MODERATE</x:v>
      </x:c>
      <x:c r="P69" s="36" t="str">
        <x:v>Budgets, escenarios de profiling, Player builds y gates de rendimiento.</x:v>
      </x:c>
      <x:c r="Q69" s="27" t="str">
        <x:v>PARTIAL</x:v>
      </x:c>
      <x:c r="R69" s="27" t="str">
        <x:v>MITIGATE</x:v>
      </x:c>
      <x:c r="S69" s="36" t="str">
        <x:v>Medir antes de optimizar, priorizar hotspots y ajustar presets sin comprometer integridad.</x:v>
      </x:c>
      <x:c r="T69" s="38" t="n">
        <x:v>3</x:v>
      </x:c>
      <x:c r="U69" s="38" t="n">
        <x:v>5</x:v>
      </x:c>
      <x:c r="V69" s="38" t="n">
        <x:f>T69*U69</x:f>
        <x:v>15</x:v>
      </x:c>
      <x:c r="W69" s="27" t="str">
        <x:f>IF(V69&gt;=20,"CRITICAL",IF(V69&gt;=12,"HIGH",IF(V69&gt;=6,"MEDIUM","LOW")))</x:f>
        <x:v>HIGH</x:v>
      </x:c>
      <x:c r="X69" s="27" t="str">
        <x:v>LOW</x:v>
      </x:c>
      <x:c r="Y69" s="27" t="str">
        <x:f>IF(X69="ZERO",IF(V69=0,"WITHIN TOLERANCE","OUTSIDE TOLERANCE"),IF(X69="LOW",IF(V69&lt;=4,"WITHIN TOLERANCE","OUTSIDE TOLERANCE"),IF(X69="MODERATE",IF(V69&lt;=9,"WITHIN TOLERANCE","OUTSIDE TOLERANCE"),IF(X69="HIGH",IF(V69&lt;=16,"WITHIN TOLERANCE","OUTSIDE TOLERANCE"),"REVIEW"))))</x:f>
        <x:v>OUTSIDE TOLERANCE</x:v>
      </x:c>
      <x:c r="Z69" s="36" t="str">
        <x:v>Engineering / QA</x:v>
      </x:c>
      <x:c r="AA69" s="36" t="str">
        <x:v>Technical Lead</x:v>
      </x:c>
      <x:c r="AB69" s="36" t="str">
        <x:v>Pendiente ascendente &gt; presupuesto</x:v>
      </x:c>
      <x:c r="AC69" s="36" t="str">
        <x:v>Umbral: evidencia positiva, tendencia adversa o gate bloqueado.</x:v>
      </x:c>
      <x:c r="AD69" s="36" t="str">
        <x:v>Capturar profiler/log y reducir carga no esencial.</x:v>
      </x:c>
      <x:c r="AE69" s="36" t="str">
        <x:v>Revertir regresión o aplicar preset seguro; volver a benchmark base.</x:v>
      </x:c>
      <x:c r="AF69" s="27" t="str">
        <x:v>BIA-07</x:v>
      </x:c>
      <x:c r="AG69" s="27" t="str">
        <x:v>PB-07</x:v>
      </x:c>
      <x:c r="AH69" s="27" t="str">
        <x:v>TA-PER-003</x:v>
      </x:c>
      <x:c r="AI69" s="36" t="str">
        <x:v>02, 03, 07, 10, 11, 17, 18, 19, 20, 30, 31</x:v>
      </x:c>
      <x:c r="AJ69" s="36" t="str">
        <x:v>Targets históricos de VSS/TDD y pruebas de build v0.3–v0.6</x:v>
      </x:c>
      <x:c r="AK69" s="27" t="str">
        <x:v>OPEN</x:v>
      </x:c>
      <x:c r="AL69" s="27" t="str">
        <x:v>MONTHLY</x:v>
      </x:c>
      <x:c r="AM69" s="40" t="str">
        <x:v>2026-07-01</x:v>
      </x:c>
      <x:c r="AN69" s="40" t="str">
        <x:v>2026-07-31</x:v>
      </x:c>
      <x:c r="AO69" s="27" t="str">
        <x:v>UNVERIFIED</x:v>
      </x:c>
      <x:c r="AP69" s="36" t="str">
        <x:v>Registro inicial consolidado; validar owner, controles y residual.</x:v>
      </x:c>
      <x:c r="AQ69" s="27" t="n">
        <x:f>IF(OR(M69="CRITICAL",W69="CRITICAL",Y69="OUTSIDE TOLERANCE",AK69="ESCALATED",AK69="ACCEPTANCE REQUESTED"),1,0)</x:f>
        <x:v>1</x:v>
      </x:c>
    </x:row>
    <x:row r="70">
      <x:c r="A70" s="27" t="str">
        <x:v>R-PER-004</x:v>
      </x:c>
      <x:c r="B70" s="36" t="str">
        <x:v>Performance &amp; Stability</x:v>
      </x:c>
      <x:c r="C70" s="36" t="str">
        <x:v>GC allocations</x:v>
      </x:c>
      <x:c r="D70" s="36" t="str">
        <x:v>Existe el riesgo de que ocurra lo siguiente: Allocations frecuentes causan picos.</x:v>
      </x:c>
      <x:c r="E70" s="36" t="str">
        <x:v>Runtime</x:v>
      </x:c>
      <x:c r="F70" s="36" t="str">
        <x:v>Development</x:v>
      </x:c>
      <x:c r="G70" s="36" t="str">
        <x:v>Ausencia, degradación o incumplimiento de los controles definidos para gc allocations.</x:v>
      </x:c>
      <x:c r="H70" s="36" t="str">
        <x:v>Allocations frecuentes causan picos</x:v>
      </x:c>
      <x:c r="I70" s="36" t="str">
        <x:v>Puede afectar a Runtime, bloquear un gate, causar retrabajo, pérdida de datos/confianza o interrupción operativa.</x:v>
      </x:c>
      <x:c r="J70" s="38" t="n">
        <x:v>4</x:v>
      </x:c>
      <x:c r="K70" s="38" t="n">
        <x:v>4</x:v>
      </x:c>
      <x:c r="L70" s="38" t="n">
        <x:f>J70*K70</x:f>
        <x:v>16</x:v>
      </x:c>
      <x:c r="M70" s="27" t="str">
        <x:f>IF(L70&gt;=20,"CRITICAL",IF(L70&gt;=12,"HIGH",IF(L70&gt;=6,"MEDIUM","LOW")))</x:f>
        <x:v>HIGH</x:v>
      </x:c>
      <x:c r="N70" s="27" t="str">
        <x:v>MEDIUM</x:v>
      </x:c>
      <x:c r="O70" s="27" t="str">
        <x:v>MODERATE</x:v>
      </x:c>
      <x:c r="P70" s="36" t="str">
        <x:v>Budgets, escenarios de profiling, Player builds y gates de rendimiento.</x:v>
      </x:c>
      <x:c r="Q70" s="27" t="str">
        <x:v>PARTIAL</x:v>
      </x:c>
      <x:c r="R70" s="27" t="str">
        <x:v>MITIGATE</x:v>
      </x:c>
      <x:c r="S70" s="36" t="str">
        <x:v>Medir antes de optimizar, priorizar hotspots y ajustar presets sin comprometer integridad.</x:v>
      </x:c>
      <x:c r="T70" s="38" t="n">
        <x:v>4</x:v>
      </x:c>
      <x:c r="U70" s="38" t="n">
        <x:v>4</x:v>
      </x:c>
      <x:c r="V70" s="38" t="n">
        <x:f>T70*U70</x:f>
        <x:v>16</x:v>
      </x:c>
      <x:c r="W70" s="27" t="str">
        <x:f>IF(V70&gt;=20,"CRITICAL",IF(V70&gt;=12,"HIGH",IF(V70&gt;=6,"MEDIUM","LOW")))</x:f>
        <x:v>HIGH</x:v>
      </x:c>
      <x:c r="X70" s="27" t="str">
        <x:v>LOW</x:v>
      </x:c>
      <x:c r="Y70" s="27" t="str">
        <x:f>IF(X70="ZERO",IF(V70=0,"WITHIN TOLERANCE","OUTSIDE TOLERANCE"),IF(X70="LOW",IF(V70&lt;=4,"WITHIN TOLERANCE","OUTSIDE TOLERANCE"),IF(X70="MODERATE",IF(V70&lt;=9,"WITHIN TOLERANCE","OUTSIDE TOLERANCE"),IF(X70="HIGH",IF(V70&lt;=16,"WITHIN TOLERANCE","OUTSIDE TOLERANCE"),"REVIEW"))))</x:f>
        <x:v>OUTSIDE TOLERANCE</x:v>
      </x:c>
      <x:c r="Z70" s="36" t="str">
        <x:v>Engineering / QA</x:v>
      </x:c>
      <x:c r="AA70" s="36" t="str">
        <x:v>Technical Lead</x:v>
      </x:c>
      <x:c r="AB70" s="36" t="str">
        <x:v>GC.Alloc en estado estable</x:v>
      </x:c>
      <x:c r="AC70" s="36" t="str">
        <x:v>Umbral: evidencia positiva, tendencia adversa o gate bloqueado.</x:v>
      </x:c>
      <x:c r="AD70" s="36" t="str">
        <x:v>Capturar profiler/log y reducir carga no esencial.</x:v>
      </x:c>
      <x:c r="AE70" s="36" t="str">
        <x:v>Revertir regresión o aplicar preset seguro; volver a benchmark base.</x:v>
      </x:c>
      <x:c r="AF70" s="27" t="str">
        <x:v>BIA-07</x:v>
      </x:c>
      <x:c r="AG70" s="27" t="str">
        <x:v>PB-07</x:v>
      </x:c>
      <x:c r="AH70" s="27" t="str">
        <x:v>TA-PER-004</x:v>
      </x:c>
      <x:c r="AI70" s="36" t="str">
        <x:v>02, 03, 07, 10, 11, 17, 18, 19, 20, 30, 31</x:v>
      </x:c>
      <x:c r="AJ70" s="36" t="str">
        <x:v>Targets históricos de VSS/TDD y pruebas de build v0.3–v0.6</x:v>
      </x:c>
      <x:c r="AK70" s="27" t="str">
        <x:v>OPEN</x:v>
      </x:c>
      <x:c r="AL70" s="27" t="str">
        <x:v>WEEKLY</x:v>
      </x:c>
      <x:c r="AM70" s="40" t="str">
        <x:v>2026-07-01</x:v>
      </x:c>
      <x:c r="AN70" s="40" t="str">
        <x:v>2026-07-08</x:v>
      </x:c>
      <x:c r="AO70" s="27" t="str">
        <x:v>UNVERIFIED</x:v>
      </x:c>
      <x:c r="AP70" s="36" t="str">
        <x:v>Registro inicial consolidado; validar owner, controles y residual.</x:v>
      </x:c>
      <x:c r="AQ70" s="27" t="n">
        <x:f>IF(OR(M70="CRITICAL",W70="CRITICAL",Y70="OUTSIDE TOLERANCE",AK70="ESCALATED",AK70="ACCEPTANCE REQUESTED"),1,0)</x:f>
        <x:v>1</x:v>
      </x:c>
    </x:row>
    <x:row r="71">
      <x:c r="A71" s="27" t="str">
        <x:v>R-PER-005</x:v>
      </x:c>
      <x:c r="B71" s="36" t="str">
        <x:v>Performance &amp; Stability</x:v>
      </x:c>
      <x:c r="C71" s="36" t="str">
        <x:v>Load time</x:v>
      </x:c>
      <x:c r="D71" s="36" t="str">
        <x:v>Existe el riesgo de que ocurra lo siguiente: Carga del slice supera 5 segundos.</x:v>
      </x:c>
      <x:c r="E71" s="36" t="str">
        <x:v>H6 target</x:v>
      </x:c>
      <x:c r="F71" s="36" t="str">
        <x:v>H6</x:v>
      </x:c>
      <x:c r="G71" s="36" t="str">
        <x:v>Ausencia, degradación o incumplimiento de los controles definidos para load time.</x:v>
      </x:c>
      <x:c r="H71" s="36" t="str">
        <x:v>Carga del slice supera 5 segundos</x:v>
      </x:c>
      <x:c r="I71" s="36" t="str">
        <x:v>Puede afectar a H6 target, bloquear un gate, causar retrabajo, pérdida de datos/confianza o interrupción operativa.</x:v>
      </x:c>
      <x:c r="J71" s="38" t="n">
        <x:v>3</x:v>
      </x:c>
      <x:c r="K71" s="38" t="n">
        <x:v>4</x:v>
      </x:c>
      <x:c r="L71" s="38" t="n">
        <x:f>J71*K71</x:f>
        <x:v>12</x:v>
      </x:c>
      <x:c r="M71" s="27" t="str">
        <x:f>IF(L71&gt;=20,"CRITICAL",IF(L71&gt;=12,"HIGH",IF(L71&gt;=6,"MEDIUM","LOW")))</x:f>
        <x:v>HIGH</x:v>
      </x:c>
      <x:c r="N71" s="27" t="str">
        <x:v>FAST</x:v>
      </x:c>
      <x:c r="O71" s="27" t="str">
        <x:v>HARD</x:v>
      </x:c>
      <x:c r="P71" s="36" t="str">
        <x:v>Budgets, escenarios de profiling, Player builds y gates de rendimiento.</x:v>
      </x:c>
      <x:c r="Q71" s="27" t="str">
        <x:v>PARTIAL</x:v>
      </x:c>
      <x:c r="R71" s="27" t="str">
        <x:v>MITIGATE</x:v>
      </x:c>
      <x:c r="S71" s="36" t="str">
        <x:v>Medir antes de optimizar, priorizar hotspots y ajustar presets sin comprometer integridad.</x:v>
      </x:c>
      <x:c r="T71" s="38" t="n">
        <x:v>3</x:v>
      </x:c>
      <x:c r="U71" s="38" t="n">
        <x:v>4</x:v>
      </x:c>
      <x:c r="V71" s="38" t="n">
        <x:f>T71*U71</x:f>
        <x:v>12</x:v>
      </x:c>
      <x:c r="W71" s="27" t="str">
        <x:f>IF(V71&gt;=20,"CRITICAL",IF(V71&gt;=12,"HIGH",IF(V71&gt;=6,"MEDIUM","LOW")))</x:f>
        <x:v>HIGH</x:v>
      </x:c>
      <x:c r="X71" s="27" t="str">
        <x:v>LOW</x:v>
      </x:c>
      <x:c r="Y71" s="27" t="str">
        <x:f>IF(X71="ZERO",IF(V71=0,"WITHIN TOLERANCE","OUTSIDE TOLERANCE"),IF(X71="LOW",IF(V71&lt;=4,"WITHIN TOLERANCE","OUTSIDE TOLERANCE"),IF(X71="MODERATE",IF(V71&lt;=9,"WITHIN TOLERANCE","OUTSIDE TOLERANCE"),IF(X71="HIGH",IF(V71&lt;=16,"WITHIN TOLERANCE","OUTSIDE TOLERANCE"),"REVIEW"))))</x:f>
        <x:v>OUTSIDE TOLERANCE</x:v>
      </x:c>
      <x:c r="Z71" s="36" t="str">
        <x:v>Engineering / QA</x:v>
      </x:c>
      <x:c r="AA71" s="36" t="str">
        <x:v>Technical Lead</x:v>
      </x:c>
      <x:c r="AB71" s="36" t="str">
        <x:v>Mediana/rango exceden target</x:v>
      </x:c>
      <x:c r="AC71" s="36" t="str">
        <x:v>Umbral: evidencia positiva, tendencia adversa o gate bloqueado.</x:v>
      </x:c>
      <x:c r="AD71" s="36" t="str">
        <x:v>Capturar profiler/log y reducir carga no esencial.</x:v>
      </x:c>
      <x:c r="AE71" s="36" t="str">
        <x:v>Revertir regresión o aplicar preset seguro; volver a benchmark base.</x:v>
      </x:c>
      <x:c r="AF71" s="27" t="str">
        <x:v>BIA-07</x:v>
      </x:c>
      <x:c r="AG71" s="27" t="str">
        <x:v>PB-07</x:v>
      </x:c>
      <x:c r="AH71" s="27" t="str">
        <x:v>TA-PER-005</x:v>
      </x:c>
      <x:c r="AI71" s="36" t="str">
        <x:v>02, 03, 07, 10, 11, 17, 18, 19, 20, 30, 31</x:v>
      </x:c>
      <x:c r="AJ71" s="36" t="str">
        <x:v>Targets históricos de VSS/TDD y pruebas de build v0.3–v0.6</x:v>
      </x:c>
      <x:c r="AK71" s="27" t="str">
        <x:v>OPEN</x:v>
      </x:c>
      <x:c r="AL71" s="27" t="str">
        <x:v>WEEKLY</x:v>
      </x:c>
      <x:c r="AM71" s="40" t="str">
        <x:v>2026-07-01</x:v>
      </x:c>
      <x:c r="AN71" s="40" t="str">
        <x:v>2026-07-08</x:v>
      </x:c>
      <x:c r="AO71" s="27" t="str">
        <x:v>UNVERIFIED</x:v>
      </x:c>
      <x:c r="AP71" s="36" t="str">
        <x:v>Registro inicial consolidado; validar owner, controles y residual.</x:v>
      </x:c>
      <x:c r="AQ71" s="27" t="n">
        <x:f>IF(OR(M71="CRITICAL",W71="CRITICAL",Y71="OUTSIDE TOLERANCE",AK71="ESCALATED",AK71="ACCEPTANCE REQUESTED"),1,0)</x:f>
        <x:v>1</x:v>
      </x:c>
    </x:row>
    <x:row r="72">
      <x:c r="A72" s="27" t="str">
        <x:v>R-PER-006</x:v>
      </x:c>
      <x:c r="B72" s="36" t="str">
        <x:v>Performance &amp; Stability</x:v>
      </x:c>
      <x:c r="C72" s="36" t="str">
        <x:v>Save latency</x:v>
      </x:c>
      <x:c r="D72" s="36" t="str">
        <x:v>Existe el riesgo de que ocurra lo siguiente: Guardado/cierre supera 2 segundos.</x:v>
      </x:c>
      <x:c r="E72" s="36" t="str">
        <x:v>Data integrity / UX</x:v>
      </x:c>
      <x:c r="F72" s="36" t="str">
        <x:v>H6</x:v>
      </x:c>
      <x:c r="G72" s="36" t="str">
        <x:v>Ausencia, degradación o incumplimiento de los controles definidos para save latency.</x:v>
      </x:c>
      <x:c r="H72" s="36" t="str">
        <x:v>Guardado/cierre supera 2 segundos</x:v>
      </x:c>
      <x:c r="I72" s="36" t="str">
        <x:v>Puede afectar a Data integrity / UX, bloquear un gate, causar retrabajo, pérdida de datos/confianza o interrupción operativa.</x:v>
      </x:c>
      <x:c r="J72" s="38" t="n">
        <x:v>3</x:v>
      </x:c>
      <x:c r="K72" s="38" t="n">
        <x:v>4</x:v>
      </x:c>
      <x:c r="L72" s="38" t="n">
        <x:f>J72*K72</x:f>
        <x:v>12</x:v>
      </x:c>
      <x:c r="M72" s="27" t="str">
        <x:f>IF(L72&gt;=20,"CRITICAL",IF(L72&gt;=12,"HIGH",IF(L72&gt;=6,"MEDIUM","LOW")))</x:f>
        <x:v>HIGH</x:v>
      </x:c>
      <x:c r="N72" s="27" t="str">
        <x:v>FAST</x:v>
      </x:c>
      <x:c r="O72" s="27" t="str">
        <x:v>HARD</x:v>
      </x:c>
      <x:c r="P72" s="36" t="str">
        <x:v>Budgets, escenarios de profiling, Player builds y gates de rendimiento.</x:v>
      </x:c>
      <x:c r="Q72" s="27" t="str">
        <x:v>PARTIAL</x:v>
      </x:c>
      <x:c r="R72" s="27" t="str">
        <x:v>MITIGATE</x:v>
      </x:c>
      <x:c r="S72" s="36" t="str">
        <x:v>Medir antes de optimizar, priorizar hotspots y ajustar presets sin comprometer integridad.</x:v>
      </x:c>
      <x:c r="T72" s="38" t="n">
        <x:v>3</x:v>
      </x:c>
      <x:c r="U72" s="38" t="n">
        <x:v>4</x:v>
      </x:c>
      <x:c r="V72" s="38" t="n">
        <x:f>T72*U72</x:f>
        <x:v>12</x:v>
      </x:c>
      <x:c r="W72" s="27" t="str">
        <x:f>IF(V72&gt;=20,"CRITICAL",IF(V72&gt;=12,"HIGH",IF(V72&gt;=6,"MEDIUM","LOW")))</x:f>
        <x:v>HIGH</x:v>
      </x:c>
      <x:c r="X72" s="27" t="str">
        <x:v>LOW</x:v>
      </x:c>
      <x:c r="Y72" s="27" t="str">
        <x:f>IF(X72="ZERO",IF(V72=0,"WITHIN TOLERANCE","OUTSIDE TOLERANCE"),IF(X72="LOW",IF(V72&lt;=4,"WITHIN TOLERANCE","OUTSIDE TOLERANCE"),IF(X72="MODERATE",IF(V72&lt;=9,"WITHIN TOLERANCE","OUTSIDE TOLERANCE"),IF(X72="HIGH",IF(V72&lt;=16,"WITHIN TOLERANCE","OUTSIDE TOLERANCE"),"REVIEW"))))</x:f>
        <x:v>OUTSIDE TOLERANCE</x:v>
      </x:c>
      <x:c r="Z72" s="36" t="str">
        <x:v>Engineering / QA</x:v>
      </x:c>
      <x:c r="AA72" s="36" t="str">
        <x:v>Technical Lead</x:v>
      </x:c>
      <x:c r="AB72" s="36" t="str">
        <x:v>Benchmark excede target</x:v>
      </x:c>
      <x:c r="AC72" s="36" t="str">
        <x:v>Umbral: evidencia positiva, tendencia adversa o gate bloqueado.</x:v>
      </x:c>
      <x:c r="AD72" s="36" t="str">
        <x:v>Capturar profiler/log y reducir carga no esencial.</x:v>
      </x:c>
      <x:c r="AE72" s="36" t="str">
        <x:v>Revertir regresión o aplicar preset seguro; volver a benchmark base.</x:v>
      </x:c>
      <x:c r="AF72" s="27" t="str">
        <x:v>BIA-07</x:v>
      </x:c>
      <x:c r="AG72" s="27" t="str">
        <x:v>PB-07</x:v>
      </x:c>
      <x:c r="AH72" s="27" t="str">
        <x:v>TA-PER-006</x:v>
      </x:c>
      <x:c r="AI72" s="36" t="str">
        <x:v>02, 03, 07, 10, 11, 17, 18, 19, 20, 30, 31</x:v>
      </x:c>
      <x:c r="AJ72" s="36" t="str">
        <x:v>Targets históricos de VSS/TDD y pruebas de build v0.3–v0.6</x:v>
      </x:c>
      <x:c r="AK72" s="27" t="str">
        <x:v>OPEN</x:v>
      </x:c>
      <x:c r="AL72" s="27" t="str">
        <x:v>WEEKLY</x:v>
      </x:c>
      <x:c r="AM72" s="40" t="str">
        <x:v>2026-07-01</x:v>
      </x:c>
      <x:c r="AN72" s="40" t="str">
        <x:v>2026-07-08</x:v>
      </x:c>
      <x:c r="AO72" s="27" t="str">
        <x:v>UNVERIFIED</x:v>
      </x:c>
      <x:c r="AP72" s="36" t="str">
        <x:v>Registro inicial consolidado; validar owner, controles y residual.</x:v>
      </x:c>
      <x:c r="AQ72" s="27" t="n">
        <x:f>IF(OR(M72="CRITICAL",W72="CRITICAL",Y72="OUTSIDE TOLERANCE",AK72="ESCALATED",AK72="ACCEPTANCE REQUESTED"),1,0)</x:f>
        <x:v>1</x:v>
      </x:c>
    </x:row>
    <x:row r="73">
      <x:c r="A73" s="27" t="str">
        <x:v>R-PER-007</x:v>
      </x:c>
      <x:c r="B73" s="36" t="str">
        <x:v>Performance &amp; Stability</x:v>
      </x:c>
      <x:c r="C73" s="36" t="str">
        <x:v>GPU cost</x:v>
      </x:c>
      <x:c r="D73" s="36" t="str">
        <x:v>Existe el riesgo de que ocurra lo siguiente: Sombras/SSAO/overdraw exceden budget.</x:v>
      </x:c>
      <x:c r="E73" s="36" t="str">
        <x:v>Rendering</x:v>
      </x:c>
      <x:c r="F73" s="36" t="str">
        <x:v>H6/Release</x:v>
      </x:c>
      <x:c r="G73" s="36" t="str">
        <x:v>Ausencia, degradación o incumplimiento de los controles definidos para gpu cost.</x:v>
      </x:c>
      <x:c r="H73" s="36" t="str">
        <x:v>Sombras/SSAO/overdraw exceden budget</x:v>
      </x:c>
      <x:c r="I73" s="36" t="str">
        <x:v>Puede afectar a Rendering, bloquear un gate, causar retrabajo, pérdida de datos/confianza o interrupción operativa.</x:v>
      </x:c>
      <x:c r="J73" s="38" t="n">
        <x:v>3</x:v>
      </x:c>
      <x:c r="K73" s="38" t="n">
        <x:v>4</x:v>
      </x:c>
      <x:c r="L73" s="38" t="n">
        <x:f>J73*K73</x:f>
        <x:v>12</x:v>
      </x:c>
      <x:c r="M73" s="27" t="str">
        <x:f>IF(L73&gt;=20,"CRITICAL",IF(L73&gt;=12,"HIGH",IF(L73&gt;=6,"MEDIUM","LOW")))</x:f>
        <x:v>HIGH</x:v>
      </x:c>
      <x:c r="N73" s="27" t="str">
        <x:v>MEDIUM</x:v>
      </x:c>
      <x:c r="O73" s="27" t="str">
        <x:v>MODERATE</x:v>
      </x:c>
      <x:c r="P73" s="36" t="str">
        <x:v>Budgets, escenarios de profiling, Player builds y gates de rendimiento.</x:v>
      </x:c>
      <x:c r="Q73" s="27" t="str">
        <x:v>PARTIAL</x:v>
      </x:c>
      <x:c r="R73" s="27" t="str">
        <x:v>MITIGATE</x:v>
      </x:c>
      <x:c r="S73" s="36" t="str">
        <x:v>Medir antes de optimizar, priorizar hotspots y ajustar presets sin comprometer integridad.</x:v>
      </x:c>
      <x:c r="T73" s="38" t="n">
        <x:v>3</x:v>
      </x:c>
      <x:c r="U73" s="38" t="n">
        <x:v>4</x:v>
      </x:c>
      <x:c r="V73" s="38" t="n">
        <x:f>T73*U73</x:f>
        <x:v>12</x:v>
      </x:c>
      <x:c r="W73" s="27" t="str">
        <x:f>IF(V73&gt;=20,"CRITICAL",IF(V73&gt;=12,"HIGH",IF(V73&gt;=6,"MEDIUM","LOW")))</x:f>
        <x:v>HIGH</x:v>
      </x:c>
      <x:c r="X73" s="27" t="str">
        <x:v>LOW</x:v>
      </x:c>
      <x:c r="Y73" s="27" t="str">
        <x:f>IF(X73="ZERO",IF(V73=0,"WITHIN TOLERANCE","OUTSIDE TOLERANCE"),IF(X73="LOW",IF(V73&lt;=4,"WITHIN TOLERANCE","OUTSIDE TOLERANCE"),IF(X73="MODERATE",IF(V73&lt;=9,"WITHIN TOLERANCE","OUTSIDE TOLERANCE"),IF(X73="HIGH",IF(V73&lt;=16,"WITHIN TOLERANCE","OUTSIDE TOLERANCE"),"REVIEW"))))</x:f>
        <x:v>OUTSIDE TOLERANCE</x:v>
      </x:c>
      <x:c r="Z73" s="36" t="str">
        <x:v>Engineering / QA</x:v>
      </x:c>
      <x:c r="AA73" s="36" t="str">
        <x:v>Technical Lead</x:v>
      </x:c>
      <x:c r="AB73" s="36" t="str">
        <x:v>GPU-bound en escena representativa</x:v>
      </x:c>
      <x:c r="AC73" s="36" t="str">
        <x:v>Umbral: evidencia positiva, tendencia adversa o gate bloqueado.</x:v>
      </x:c>
      <x:c r="AD73" s="36" t="str">
        <x:v>Capturar profiler/log y reducir carga no esencial.</x:v>
      </x:c>
      <x:c r="AE73" s="36" t="str">
        <x:v>Revertir regresión o aplicar preset seguro; volver a benchmark base.</x:v>
      </x:c>
      <x:c r="AF73" s="27" t="str">
        <x:v>BIA-07</x:v>
      </x:c>
      <x:c r="AG73" s="27" t="str">
        <x:v>PB-07</x:v>
      </x:c>
      <x:c r="AH73" s="27" t="str">
        <x:v>TA-PER-007</x:v>
      </x:c>
      <x:c r="AI73" s="36" t="str">
        <x:v>02, 03, 07, 10, 11, 17, 18, 19, 20, 30, 31</x:v>
      </x:c>
      <x:c r="AJ73" s="36" t="str">
        <x:v>Targets históricos de VSS/TDD y pruebas de build v0.3–v0.6</x:v>
      </x:c>
      <x:c r="AK73" s="27" t="str">
        <x:v>OPEN</x:v>
      </x:c>
      <x:c r="AL73" s="27" t="str">
        <x:v>MONTHLY</x:v>
      </x:c>
      <x:c r="AM73" s="40" t="str">
        <x:v>2026-07-01</x:v>
      </x:c>
      <x:c r="AN73" s="40" t="str">
        <x:v>2026-07-31</x:v>
      </x:c>
      <x:c r="AO73" s="27" t="str">
        <x:v>UNVERIFIED</x:v>
      </x:c>
      <x:c r="AP73" s="36" t="str">
        <x:v>Registro inicial consolidado; validar owner, controles y residual.</x:v>
      </x:c>
      <x:c r="AQ73" s="27" t="n">
        <x:f>IF(OR(M73="CRITICAL",W73="CRITICAL",Y73="OUTSIDE TOLERANCE",AK73="ESCALATED",AK73="ACCEPTANCE REQUESTED"),1,0)</x:f>
        <x:v>1</x:v>
      </x:c>
    </x:row>
    <x:row r="74">
      <x:c r="A74" s="27" t="str">
        <x:v>R-PER-008</x:v>
      </x:c>
      <x:c r="B74" s="36" t="str">
        <x:v>Performance &amp; Stability</x:v>
      </x:c>
      <x:c r="C74" s="36" t="str">
        <x:v>Client simulation</x:v>
      </x:c>
      <x:c r="D74" s="36" t="str">
        <x:v>Existe el riesgo de que ocurra lo siguiente: Ocho clientes degradan CPU/NavMesh.</x:v>
      </x:c>
      <x:c r="E74" s="36" t="str">
        <x:v>Simulation</x:v>
      </x:c>
      <x:c r="F74" s="36" t="str">
        <x:v>H6</x:v>
      </x:c>
      <x:c r="G74" s="36" t="str">
        <x:v>Ausencia, degradación o incumplimiento de los controles definidos para client simulation.</x:v>
      </x:c>
      <x:c r="H74" s="36" t="str">
        <x:v>Ocho clientes degradan CPU/NavMesh</x:v>
      </x:c>
      <x:c r="I74" s="36" t="str">
        <x:v>Puede afectar a Simulation, bloquear un gate, causar retrabajo, pérdida de datos/confianza o interrupción operativa.</x:v>
      </x:c>
      <x:c r="J74" s="38" t="n">
        <x:v>3</x:v>
      </x:c>
      <x:c r="K74" s="38" t="n">
        <x:v>4</x:v>
      </x:c>
      <x:c r="L74" s="38" t="n">
        <x:f>J74*K74</x:f>
        <x:v>12</x:v>
      </x:c>
      <x:c r="M74" s="27" t="str">
        <x:f>IF(L74&gt;=20,"CRITICAL",IF(L74&gt;=12,"HIGH",IF(L74&gt;=6,"MEDIUM","LOW")))</x:f>
        <x:v>HIGH</x:v>
      </x:c>
      <x:c r="N74" s="27" t="str">
        <x:v>MEDIUM</x:v>
      </x:c>
      <x:c r="O74" s="27" t="str">
        <x:v>MODERATE</x:v>
      </x:c>
      <x:c r="P74" s="36" t="str">
        <x:v>Budgets, escenarios de profiling, Player builds y gates de rendimiento.</x:v>
      </x:c>
      <x:c r="Q74" s="27" t="str">
        <x:v>PARTIAL</x:v>
      </x:c>
      <x:c r="R74" s="27" t="str">
        <x:v>MITIGATE</x:v>
      </x:c>
      <x:c r="S74" s="36" t="str">
        <x:v>Medir antes de optimizar, priorizar hotspots y ajustar presets sin comprometer integridad.</x:v>
      </x:c>
      <x:c r="T74" s="38" t="n">
        <x:v>3</x:v>
      </x:c>
      <x:c r="U74" s="38" t="n">
        <x:v>4</x:v>
      </x:c>
      <x:c r="V74" s="38" t="n">
        <x:f>T74*U74</x:f>
        <x:v>12</x:v>
      </x:c>
      <x:c r="W74" s="27" t="str">
        <x:f>IF(V74&gt;=20,"CRITICAL",IF(V74&gt;=12,"HIGH",IF(V74&gt;=6,"MEDIUM","LOW")))</x:f>
        <x:v>HIGH</x:v>
      </x:c>
      <x:c r="X74" s="27" t="str">
        <x:v>LOW</x:v>
      </x:c>
      <x:c r="Y74" s="27" t="str">
        <x:f>IF(X74="ZERO",IF(V74=0,"WITHIN TOLERANCE","OUTSIDE TOLERANCE"),IF(X74="LOW",IF(V74&lt;=4,"WITHIN TOLERANCE","OUTSIDE TOLERANCE"),IF(X74="MODERATE",IF(V74&lt;=9,"WITHIN TOLERANCE","OUTSIDE TOLERANCE"),IF(X74="HIGH",IF(V74&lt;=16,"WITHIN TOLERANCE","OUTSIDE TOLERANCE"),"REVIEW"))))</x:f>
        <x:v>OUTSIDE TOLERANCE</x:v>
      </x:c>
      <x:c r="Z74" s="36" t="str">
        <x:v>Engineering / QA</x:v>
      </x:c>
      <x:c r="AA74" s="36" t="str">
        <x:v>Technical Lead</x:v>
      </x:c>
      <x:c r="AB74" s="36" t="str">
        <x:v>Frame time escala no lineal</x:v>
      </x:c>
      <x:c r="AC74" s="36" t="str">
        <x:v>Umbral: evidencia positiva, tendencia adversa o gate bloqueado.</x:v>
      </x:c>
      <x:c r="AD74" s="36" t="str">
        <x:v>Capturar profiler/log y reducir carga no esencial.</x:v>
      </x:c>
      <x:c r="AE74" s="36" t="str">
        <x:v>Revertir regresión o aplicar preset seguro; volver a benchmark base.</x:v>
      </x:c>
      <x:c r="AF74" s="27" t="str">
        <x:v>BIA-07</x:v>
      </x:c>
      <x:c r="AG74" s="27" t="str">
        <x:v>PB-07</x:v>
      </x:c>
      <x:c r="AH74" s="27" t="str">
        <x:v>TA-PER-008</x:v>
      </x:c>
      <x:c r="AI74" s="36" t="str">
        <x:v>02, 03, 07, 10, 11, 17, 18, 19, 20, 30, 31</x:v>
      </x:c>
      <x:c r="AJ74" s="36" t="str">
        <x:v>Targets históricos de VSS/TDD y pruebas de build v0.3–v0.6</x:v>
      </x:c>
      <x:c r="AK74" s="27" t="str">
        <x:v>OPEN</x:v>
      </x:c>
      <x:c r="AL74" s="27" t="str">
        <x:v>MONTHLY</x:v>
      </x:c>
      <x:c r="AM74" s="40" t="str">
        <x:v>2026-07-01</x:v>
      </x:c>
      <x:c r="AN74" s="40" t="str">
        <x:v>2026-07-31</x:v>
      </x:c>
      <x:c r="AO74" s="27" t="str">
        <x:v>UNVERIFIED</x:v>
      </x:c>
      <x:c r="AP74" s="36" t="str">
        <x:v>Registro inicial consolidado; validar owner, controles y residual.</x:v>
      </x:c>
      <x:c r="AQ74" s="27" t="n">
        <x:f>IF(OR(M74="CRITICAL",W74="CRITICAL",Y74="OUTSIDE TOLERANCE",AK74="ESCALATED",AK74="ACCEPTANCE REQUESTED"),1,0)</x:f>
        <x:v>1</x:v>
      </x:c>
    </x:row>
    <x:row r="75">
      <x:c r="A75" s="27" t="str">
        <x:v>R-SEC-001</x:v>
      </x:c>
      <x:c r="B75" s="36" t="str">
        <x:v>Security &amp; Secrets</x:v>
      </x:c>
      <x:c r="C75" s="36" t="str">
        <x:v>Credential leak</x:v>
      </x:c>
      <x:c r="D75" s="36" t="str">
        <x:v>Existe el riesgo de que ocurra lo siguiente: Token, contraseña o key aparece en repo/build/log.</x:v>
      </x:c>
      <x:c r="E75" s="36" t="str">
        <x:v>Accounts / project</x:v>
      </x:c>
      <x:c r="F75" s="36" t="str">
        <x:v>All</x:v>
      </x:c>
      <x:c r="G75" s="36" t="str">
        <x:v>Ausencia, degradación o incumplimiento de los controles definidos para credential leak.</x:v>
      </x:c>
      <x:c r="H75" s="36" t="str">
        <x:v>Token, contraseña o key aparece en repo/build/log</x:v>
      </x:c>
      <x:c r="I75" s="36" t="str">
        <x:v>Puede afectar a Accounts / project, bloquear un gate, causar retrabajo, pérdida de datos/confianza o interrupción operativa.</x:v>
      </x:c>
      <x:c r="J75" s="38" t="n">
        <x:v>3</x:v>
      </x:c>
      <x:c r="K75" s="38" t="n">
        <x:v>5</x:v>
      </x:c>
      <x:c r="L75" s="38" t="n">
        <x:f>J75*K75</x:f>
        <x:v>15</x:v>
      </x:c>
      <x:c r="M75" s="27" t="str">
        <x:f>IF(L75&gt;=20,"CRITICAL",IF(L75&gt;=12,"HIGH",IF(L75&gt;=6,"MEDIUM","LOW")))</x:f>
        <x:v>HIGH</x:v>
      </x:c>
      <x:c r="N75" s="27" t="str">
        <x:v>IMMEDIATE</x:v>
      </x:c>
      <x:c r="O75" s="27" t="str">
        <x:v>HARD</x:v>
      </x:c>
      <x:c r="P75" s="36" t="str">
        <x:v>MFA, mínimo privilegio, password manager, secret scanning, hashes y respuesta a incidentes.</x:v>
      </x:c>
      <x:c r="Q75" s="27" t="str">
        <x:v>PARTIAL</x:v>
      </x:c>
      <x:c r="R75" s="27" t="str">
        <x:v>MITIGATE</x:v>
      </x:c>
      <x:c r="S75" s="36" t="str">
        <x:v>Eliminar exposición, rotar credenciales, parchear, preservar evidencia y notificar según impacto.</x:v>
      </x:c>
      <x:c r="T75" s="38" t="n">
        <x:v>3</x:v>
      </x:c>
      <x:c r="U75" s="38" t="n">
        <x:v>5</x:v>
      </x:c>
      <x:c r="V75" s="38" t="n">
        <x:f>T75*U75</x:f>
        <x:v>15</x:v>
      </x:c>
      <x:c r="W75" s="27" t="str">
        <x:f>IF(V75&gt;=20,"CRITICAL",IF(V75&gt;=12,"HIGH",IF(V75&gt;=6,"MEDIUM","LOW")))</x:f>
        <x:v>HIGH</x:v>
      </x:c>
      <x:c r="X75" s="27" t="str">
        <x:v>ZERO</x:v>
      </x:c>
      <x:c r="Y75" s="27" t="str">
        <x:f>IF(X75="ZERO",IF(V75=0,"WITHIN TOLERANCE","OUTSIDE TOLERANCE"),IF(X75="LOW",IF(V75&lt;=4,"WITHIN TOLERANCE","OUTSIDE TOLERANCE"),IF(X75="MODERATE",IF(V75&lt;=9,"WITHIN TOLERANCE","OUTSIDE TOLERANCE"),IF(X75="HIGH",IF(V75&lt;=16,"WITHIN TOLERANCE","OUTSIDE TOLERANCE"),"REVIEW"))))</x:f>
        <x:v>OUTSIDE TOLERANCE</x:v>
      </x:c>
      <x:c r="Z75" s="36" t="str">
        <x:v>Security / Engineering</x:v>
      </x:c>
      <x:c r="AA75" s="36" t="str">
        <x:v>Project Owner</x:v>
      </x:c>
      <x:c r="AB75" s="36" t="str">
        <x:v>Secret scan o reporte positivo</x:v>
      </x:c>
      <x:c r="AC75" s="36" t="str">
        <x:v>Umbral: evidencia positiva, tendencia adversa o gate bloqueado.</x:v>
      </x:c>
      <x:c r="AD75" s="36" t="str">
        <x:v>Revocar/rotar, aislar dispositivo o repositorio y abrir incidente.</x:v>
      </x:c>
      <x:c r="AE75" s="36" t="str">
        <x:v>Restaurar acceso con credenciales nuevas y verificar integridad completa.</x:v>
      </x:c>
      <x:c r="AF75" s="27" t="str">
        <x:v>BIA-08</x:v>
      </x:c>
      <x:c r="AG75" s="27" t="str">
        <x:v>PB-08</x:v>
      </x:c>
      <x:c r="AH75" s="27" t="str">
        <x:v>TA-SEC-001</x:v>
      </x:c>
      <x:c r="AI75" s="36" t="str">
        <x:v>11, 23, 24, 25, 26, 27, 31, 32, 33, 34</x:v>
      </x:c>
      <x:c r="AJ75" s="36" t="str">
        <x:v>Build records, legal registers, package manifests y registros técnicos</x:v>
      </x:c>
      <x:c r="AK75" s="27" t="str">
        <x:v>OPEN</x:v>
      </x:c>
      <x:c r="AL75" s="27" t="str">
        <x:v>WEEKLY</x:v>
      </x:c>
      <x:c r="AM75" s="40" t="str">
        <x:v>2026-07-01</x:v>
      </x:c>
      <x:c r="AN75" s="40" t="str">
        <x:v>2026-07-08</x:v>
      </x:c>
      <x:c r="AO75" s="27" t="str">
        <x:v>UNVERIFIED</x:v>
      </x:c>
      <x:c r="AP75" s="36" t="str">
        <x:v>Registro inicial consolidado; validar owner, controles y residual.</x:v>
      </x:c>
      <x:c r="AQ75" s="27" t="n">
        <x:f>IF(OR(M75="CRITICAL",W75="CRITICAL",Y75="OUTSIDE TOLERANCE",AK75="ESCALATED",AK75="ACCEPTANCE REQUESTED"),1,0)</x:f>
        <x:v>1</x:v>
      </x:c>
    </x:row>
    <x:row r="76">
      <x:c r="A76" s="27" t="str">
        <x:v>R-SEC-002</x:v>
      </x:c>
      <x:c r="B76" s="36" t="str">
        <x:v>Security &amp; Secrets</x:v>
      </x:c>
      <x:c r="C76" s="36" t="str">
        <x:v>Account takeover</x:v>
      </x:c>
      <x:c r="D76" s="36" t="str">
        <x:v>Existe el riesgo de que ocurra lo siguiente: Cuenta Steam/GitHub/email comprometida.</x:v>
      </x:c>
      <x:c r="E76" s="36" t="str">
        <x:v>Distribution / source</x:v>
      </x:c>
      <x:c r="F76" s="36" t="str">
        <x:v>All</x:v>
      </x:c>
      <x:c r="G76" s="36" t="str">
        <x:v>Ausencia, degradación o incumplimiento de los controles definidos para account takeover.</x:v>
      </x:c>
      <x:c r="H76" s="36" t="str">
        <x:v>Cuenta Steam/GitHub/email comprometida</x:v>
      </x:c>
      <x:c r="I76" s="36" t="str">
        <x:v>Puede afectar a Distribution / source, bloquear un gate, causar retrabajo, pérdida de datos/confianza o interrupción operativa.</x:v>
      </x:c>
      <x:c r="J76" s="38" t="n">
        <x:v>2</x:v>
      </x:c>
      <x:c r="K76" s="38" t="n">
        <x:v>5</x:v>
      </x:c>
      <x:c r="L76" s="38" t="n">
        <x:f>J76*K76</x:f>
        <x:v>10</x:v>
      </x:c>
      <x:c r="M76" s="27" t="str">
        <x:f>IF(L76&gt;=20,"CRITICAL",IF(L76&gt;=12,"HIGH",IF(L76&gt;=6,"MEDIUM","LOW")))</x:f>
        <x:v>MEDIUM</x:v>
      </x:c>
      <x:c r="N76" s="27" t="str">
        <x:v>IMMEDIATE</x:v>
      </x:c>
      <x:c r="O76" s="27" t="str">
        <x:v>HARD</x:v>
      </x:c>
      <x:c r="P76" s="36" t="str">
        <x:v>MFA, mínimo privilegio, password manager, secret scanning, hashes y respuesta a incidentes.</x:v>
      </x:c>
      <x:c r="Q76" s="27" t="str">
        <x:v>PARTIAL</x:v>
      </x:c>
      <x:c r="R76" s="27" t="str">
        <x:v>MITIGATE</x:v>
      </x:c>
      <x:c r="S76" s="36" t="str">
        <x:v>Eliminar exposición, rotar credenciales, parchear, preservar evidencia y notificar según impacto.</x:v>
      </x:c>
      <x:c r="T76" s="38" t="n">
        <x:v>2</x:v>
      </x:c>
      <x:c r="U76" s="38" t="n">
        <x:v>5</x:v>
      </x:c>
      <x:c r="V76" s="38" t="n">
        <x:f>T76*U76</x:f>
        <x:v>10</x:v>
      </x:c>
      <x:c r="W76" s="27" t="str">
        <x:f>IF(V76&gt;=20,"CRITICAL",IF(V76&gt;=12,"HIGH",IF(V76&gt;=6,"MEDIUM","LOW")))</x:f>
        <x:v>MEDIUM</x:v>
      </x:c>
      <x:c r="X76" s="27" t="str">
        <x:v>ZERO</x:v>
      </x:c>
      <x:c r="Y76" s="27" t="str">
        <x:f>IF(X76="ZERO",IF(V76=0,"WITHIN TOLERANCE","OUTSIDE TOLERANCE"),IF(X76="LOW",IF(V76&lt;=4,"WITHIN TOLERANCE","OUTSIDE TOLERANCE"),IF(X76="MODERATE",IF(V76&lt;=9,"WITHIN TOLERANCE","OUTSIDE TOLERANCE"),IF(X76="HIGH",IF(V76&lt;=16,"WITHIN TOLERANCE","OUTSIDE TOLERANCE"),"REVIEW"))))</x:f>
        <x:v>OUTSIDE TOLERANCE</x:v>
      </x:c>
      <x:c r="Z76" s="36" t="str">
        <x:v>Security / Engineering</x:v>
      </x:c>
      <x:c r="AA76" s="36" t="str">
        <x:v>Project Owner</x:v>
      </x:c>
      <x:c r="AB76" s="36" t="str">
        <x:v>Login/MFA sospechoso</x:v>
      </x:c>
      <x:c r="AC76" s="36" t="str">
        <x:v>Umbral: evidencia positiva, tendencia adversa o gate bloqueado.</x:v>
      </x:c>
      <x:c r="AD76" s="36" t="str">
        <x:v>Revocar/rotar, aislar dispositivo o repositorio y abrir incidente.</x:v>
      </x:c>
      <x:c r="AE76" s="36" t="str">
        <x:v>Restaurar acceso con credenciales nuevas y verificar integridad completa.</x:v>
      </x:c>
      <x:c r="AF76" s="27" t="str">
        <x:v>BIA-08</x:v>
      </x:c>
      <x:c r="AG76" s="27" t="str">
        <x:v>PB-08</x:v>
      </x:c>
      <x:c r="AH76" s="27" t="str">
        <x:v>TA-SEC-002</x:v>
      </x:c>
      <x:c r="AI76" s="36" t="str">
        <x:v>11, 23, 24, 25, 26, 27, 31, 32, 33, 34</x:v>
      </x:c>
      <x:c r="AJ76" s="36" t="str">
        <x:v>Build records, legal registers, package manifests y registros técnicos</x:v>
      </x:c>
      <x:c r="AK76" s="27" t="str">
        <x:v>OPEN</x:v>
      </x:c>
      <x:c r="AL76" s="27" t="str">
        <x:v>WEEKLY</x:v>
      </x:c>
      <x:c r="AM76" s="40" t="str">
        <x:v>2026-07-01</x:v>
      </x:c>
      <x:c r="AN76" s="40" t="str">
        <x:v>2026-07-08</x:v>
      </x:c>
      <x:c r="AO76" s="27" t="str">
        <x:v>UNVERIFIED</x:v>
      </x:c>
      <x:c r="AP76" s="36" t="str">
        <x:v>Registro inicial consolidado; validar owner, controles y residual.</x:v>
      </x:c>
      <x:c r="AQ76" s="27" t="n">
        <x:f>IF(OR(M76="CRITICAL",W76="CRITICAL",Y76="OUTSIDE TOLERANCE",AK76="ESCALATED",AK76="ACCEPTANCE REQUESTED"),1,0)</x:f>
        <x:v>1</x:v>
      </x:c>
    </x:row>
    <x:row r="77">
      <x:c r="A77" s="27" t="str">
        <x:v>R-SEC-003</x:v>
      </x:c>
      <x:c r="B77" s="36" t="str">
        <x:v>Security &amp; Secrets</x:v>
      </x:c>
      <x:c r="C77" s="36" t="str">
        <x:v>MFA recovery</x:v>
      </x:c>
      <x:c r="D77" s="36" t="str">
        <x:v>Existe el riesgo de que ocurra lo siguiente: Pérdida de segundo factor bloquea cuentas críticas.</x:v>
      </x:c>
      <x:c r="E77" s="36" t="str">
        <x:v>Access continuity</x:v>
      </x:c>
      <x:c r="F77" s="36" t="str">
        <x:v>All</x:v>
      </x:c>
      <x:c r="G77" s="36" t="str">
        <x:v>Ausencia, degradación o incumplimiento de los controles definidos para mfa recovery.</x:v>
      </x:c>
      <x:c r="H77" s="36" t="str">
        <x:v>Pérdida de segundo factor bloquea cuentas críticas</x:v>
      </x:c>
      <x:c r="I77" s="36" t="str">
        <x:v>Puede afectar a Access continuity, bloquear un gate, causar retrabajo, pérdida de datos/confianza o interrupción operativa.</x:v>
      </x:c>
      <x:c r="J77" s="38" t="n">
        <x:v>3</x:v>
      </x:c>
      <x:c r="K77" s="38" t="n">
        <x:v>5</x:v>
      </x:c>
      <x:c r="L77" s="38" t="n">
        <x:f>J77*K77</x:f>
        <x:v>15</x:v>
      </x:c>
      <x:c r="M77" s="27" t="str">
        <x:f>IF(L77&gt;=20,"CRITICAL",IF(L77&gt;=12,"HIGH",IF(L77&gt;=6,"MEDIUM","LOW")))</x:f>
        <x:v>HIGH</x:v>
      </x:c>
      <x:c r="N77" s="27" t="str">
        <x:v>FAST</x:v>
      </x:c>
      <x:c r="O77" s="27" t="str">
        <x:v>HARD</x:v>
      </x:c>
      <x:c r="P77" s="36" t="str">
        <x:v>MFA, mínimo privilegio, password manager, secret scanning, hashes y respuesta a incidentes.</x:v>
      </x:c>
      <x:c r="Q77" s="27" t="str">
        <x:v>PARTIAL</x:v>
      </x:c>
      <x:c r="R77" s="27" t="str">
        <x:v>MITIGATE</x:v>
      </x:c>
      <x:c r="S77" s="36" t="str">
        <x:v>Eliminar exposición, rotar credenciales, parchear, preservar evidencia y notificar según impacto.</x:v>
      </x:c>
      <x:c r="T77" s="38" t="n">
        <x:v>3</x:v>
      </x:c>
      <x:c r="U77" s="38" t="n">
        <x:v>5</x:v>
      </x:c>
      <x:c r="V77" s="38" t="n">
        <x:f>T77*U77</x:f>
        <x:v>15</x:v>
      </x:c>
      <x:c r="W77" s="27" t="str">
        <x:f>IF(V77&gt;=20,"CRITICAL",IF(V77&gt;=12,"HIGH",IF(V77&gt;=6,"MEDIUM","LOW")))</x:f>
        <x:v>HIGH</x:v>
      </x:c>
      <x:c r="X77" s="27" t="str">
        <x:v>ZERO</x:v>
      </x:c>
      <x:c r="Y77" s="27" t="str">
        <x:f>IF(X77="ZERO",IF(V77=0,"WITHIN TOLERANCE","OUTSIDE TOLERANCE"),IF(X77="LOW",IF(V77&lt;=4,"WITHIN TOLERANCE","OUTSIDE TOLERANCE"),IF(X77="MODERATE",IF(V77&lt;=9,"WITHIN TOLERANCE","OUTSIDE TOLERANCE"),IF(X77="HIGH",IF(V77&lt;=16,"WITHIN TOLERANCE","OUTSIDE TOLERANCE"),"REVIEW"))))</x:f>
        <x:v>OUTSIDE TOLERANCE</x:v>
      </x:c>
      <x:c r="Z77" s="36" t="str">
        <x:v>Security / Engineering</x:v>
      </x:c>
      <x:c r="AA77" s="36" t="str">
        <x:v>Project Owner</x:v>
      </x:c>
      <x:c r="AB77" s="36" t="str">
        <x:v>Dispositivo MFA perdido</x:v>
      </x:c>
      <x:c r="AC77" s="36" t="str">
        <x:v>Umbral: evidencia positiva, tendencia adversa o gate bloqueado.</x:v>
      </x:c>
      <x:c r="AD77" s="36" t="str">
        <x:v>Revocar/rotar, aislar dispositivo o repositorio y abrir incidente.</x:v>
      </x:c>
      <x:c r="AE77" s="36" t="str">
        <x:v>Restaurar acceso con credenciales nuevas y verificar integridad completa.</x:v>
      </x:c>
      <x:c r="AF77" s="27" t="str">
        <x:v>BIA-08</x:v>
      </x:c>
      <x:c r="AG77" s="27" t="str">
        <x:v>PB-08</x:v>
      </x:c>
      <x:c r="AH77" s="27" t="str">
        <x:v>TA-SEC-003</x:v>
      </x:c>
      <x:c r="AI77" s="36" t="str">
        <x:v>11, 23, 24, 25, 26, 27, 31, 32, 33, 34</x:v>
      </x:c>
      <x:c r="AJ77" s="36" t="str">
        <x:v>Build records, legal registers, package manifests y registros técnicos</x:v>
      </x:c>
      <x:c r="AK77" s="27" t="str">
        <x:v>OPEN</x:v>
      </x:c>
      <x:c r="AL77" s="27" t="str">
        <x:v>WEEKLY</x:v>
      </x:c>
      <x:c r="AM77" s="40" t="str">
        <x:v>2026-07-01</x:v>
      </x:c>
      <x:c r="AN77" s="40" t="str">
        <x:v>2026-07-08</x:v>
      </x:c>
      <x:c r="AO77" s="27" t="str">
        <x:v>UNVERIFIED</x:v>
      </x:c>
      <x:c r="AP77" s="36" t="str">
        <x:v>Registro inicial consolidado; validar owner, controles y residual.</x:v>
      </x:c>
      <x:c r="AQ77" s="27" t="n">
        <x:f>IF(OR(M77="CRITICAL",W77="CRITICAL",Y77="OUTSIDE TOLERANCE",AK77="ESCALATED",AK77="ACCEPTANCE REQUESTED"),1,0)</x:f>
        <x:v>1</x:v>
      </x:c>
    </x:row>
    <x:row r="78">
      <x:c r="A78" s="27" t="str">
        <x:v>R-SEC-004</x:v>
      </x:c>
      <x:c r="B78" s="36" t="str">
        <x:v>Security &amp; Secrets</x:v>
      </x:c>
      <x:c r="C78" s="36" t="str">
        <x:v>Malware</x:v>
      </x:c>
      <x:c r="D78" s="36" t="str">
        <x:v>Existe el riesgo de que ocurra lo siguiente: Estación de desarrollo comprometida.</x:v>
      </x:c>
      <x:c r="E78" s="36" t="str">
        <x:v>Source / builds / credentials</x:v>
      </x:c>
      <x:c r="F78" s="36" t="str">
        <x:v>All</x:v>
      </x:c>
      <x:c r="G78" s="36" t="str">
        <x:v>Ausencia, degradación o incumplimiento de los controles definidos para malware.</x:v>
      </x:c>
      <x:c r="H78" s="36" t="str">
        <x:v>Estación de desarrollo comprometida</x:v>
      </x:c>
      <x:c r="I78" s="36" t="str">
        <x:v>Puede afectar a Source / builds / credentials, bloquear un gate, causar retrabajo, pérdida de datos/confianza o interrupción operativa.</x:v>
      </x:c>
      <x:c r="J78" s="38" t="n">
        <x:v>2</x:v>
      </x:c>
      <x:c r="K78" s="38" t="n">
        <x:v>5</x:v>
      </x:c>
      <x:c r="L78" s="38" t="n">
        <x:f>J78*K78</x:f>
        <x:v>10</x:v>
      </x:c>
      <x:c r="M78" s="27" t="str">
        <x:f>IF(L78&gt;=20,"CRITICAL",IF(L78&gt;=12,"HIGH",IF(L78&gt;=6,"MEDIUM","LOW")))</x:f>
        <x:v>MEDIUM</x:v>
      </x:c>
      <x:c r="N78" s="27" t="str">
        <x:v>IMMEDIATE</x:v>
      </x:c>
      <x:c r="O78" s="27" t="str">
        <x:v>HARD</x:v>
      </x:c>
      <x:c r="P78" s="36" t="str">
        <x:v>MFA, mínimo privilegio, password manager, secret scanning, hashes y respuesta a incidentes.</x:v>
      </x:c>
      <x:c r="Q78" s="27" t="str">
        <x:v>PARTIAL</x:v>
      </x:c>
      <x:c r="R78" s="27" t="str">
        <x:v>MITIGATE</x:v>
      </x:c>
      <x:c r="S78" s="36" t="str">
        <x:v>Eliminar exposición, rotar credenciales, parchear, preservar evidencia y notificar según impacto.</x:v>
      </x:c>
      <x:c r="T78" s="38" t="n">
        <x:v>2</x:v>
      </x:c>
      <x:c r="U78" s="38" t="n">
        <x:v>5</x:v>
      </x:c>
      <x:c r="V78" s="38" t="n">
        <x:f>T78*U78</x:f>
        <x:v>10</x:v>
      </x:c>
      <x:c r="W78" s="27" t="str">
        <x:f>IF(V78&gt;=20,"CRITICAL",IF(V78&gt;=12,"HIGH",IF(V78&gt;=6,"MEDIUM","LOW")))</x:f>
        <x:v>MEDIUM</x:v>
      </x:c>
      <x:c r="X78" s="27" t="str">
        <x:v>ZERO</x:v>
      </x:c>
      <x:c r="Y78" s="27" t="str">
        <x:f>IF(X78="ZERO",IF(V78=0,"WITHIN TOLERANCE","OUTSIDE TOLERANCE"),IF(X78="LOW",IF(V78&lt;=4,"WITHIN TOLERANCE","OUTSIDE TOLERANCE"),IF(X78="MODERATE",IF(V78&lt;=9,"WITHIN TOLERANCE","OUTSIDE TOLERANCE"),IF(X78="HIGH",IF(V78&lt;=16,"WITHIN TOLERANCE","OUTSIDE TOLERANCE"),"REVIEW"))))</x:f>
        <x:v>OUTSIDE TOLERANCE</x:v>
      </x:c>
      <x:c r="Z78" s="36" t="str">
        <x:v>Security / Engineering</x:v>
      </x:c>
      <x:c r="AA78" s="36" t="str">
        <x:v>Project Owner</x:v>
      </x:c>
      <x:c r="AB78" s="36" t="str">
        <x:v>EDR/antivirus o comportamiento anómalo</x:v>
      </x:c>
      <x:c r="AC78" s="36" t="str">
        <x:v>Umbral: evidencia positiva, tendencia adversa o gate bloqueado.</x:v>
      </x:c>
      <x:c r="AD78" s="36" t="str">
        <x:v>Revocar/rotar, aislar dispositivo o repositorio y abrir incidente.</x:v>
      </x:c>
      <x:c r="AE78" s="36" t="str">
        <x:v>Restaurar acceso con credenciales nuevas y verificar integridad completa.</x:v>
      </x:c>
      <x:c r="AF78" s="27" t="str">
        <x:v>BIA-08</x:v>
      </x:c>
      <x:c r="AG78" s="27" t="str">
        <x:v>PB-08</x:v>
      </x:c>
      <x:c r="AH78" s="27" t="str">
        <x:v>TA-SEC-004</x:v>
      </x:c>
      <x:c r="AI78" s="36" t="str">
        <x:v>11, 23, 24, 25, 26, 27, 31, 32, 33, 34</x:v>
      </x:c>
      <x:c r="AJ78" s="36" t="str">
        <x:v>Build records, legal registers, package manifests y registros técnicos</x:v>
      </x:c>
      <x:c r="AK78" s="27" t="str">
        <x:v>OPEN</x:v>
      </x:c>
      <x:c r="AL78" s="27" t="str">
        <x:v>WEEKLY</x:v>
      </x:c>
      <x:c r="AM78" s="40" t="str">
        <x:v>2026-07-01</x:v>
      </x:c>
      <x:c r="AN78" s="40" t="str">
        <x:v>2026-07-08</x:v>
      </x:c>
      <x:c r="AO78" s="27" t="str">
        <x:v>UNVERIFIED</x:v>
      </x:c>
      <x:c r="AP78" s="36" t="str">
        <x:v>Registro inicial consolidado; validar owner, controles y residual.</x:v>
      </x:c>
      <x:c r="AQ78" s="27" t="n">
        <x:f>IF(OR(M78="CRITICAL",W78="CRITICAL",Y78="OUTSIDE TOLERANCE",AK78="ESCALATED",AK78="ACCEPTANCE REQUESTED"),1,0)</x:f>
        <x:v>1</x:v>
      </x:c>
    </x:row>
    <x:row r="79">
      <x:c r="A79" s="27" t="str">
        <x:v>R-SEC-005</x:v>
      </x:c>
      <x:c r="B79" s="36" t="str">
        <x:v>Security &amp; Secrets</x:v>
      </x:c>
      <x:c r="C79" s="36" t="str">
        <x:v>Dependency vulnerability</x:v>
      </x:c>
      <x:c r="D79" s="36" t="str">
        <x:v>Existe el riesgo de que ocurra lo siguiente: Paquete contiene vulnerabilidad explotable.</x:v>
      </x:c>
      <x:c r="E79" s="36" t="str">
        <x:v>Runtime / build</x:v>
      </x:c>
      <x:c r="F79" s="36" t="str">
        <x:v>All</x:v>
      </x:c>
      <x:c r="G79" s="36" t="str">
        <x:v>Ausencia, degradación o incumplimiento de los controles definidos para dependency vulnerability.</x:v>
      </x:c>
      <x:c r="H79" s="36" t="str">
        <x:v>Paquete contiene vulnerabilidad explotable</x:v>
      </x:c>
      <x:c r="I79" s="36" t="str">
        <x:v>Puede afectar a Runtime / build, bloquear un gate, causar retrabajo, pérdida de datos/confianza o interrupción operativa.</x:v>
      </x:c>
      <x:c r="J79" s="38" t="n">
        <x:v>3</x:v>
      </x:c>
      <x:c r="K79" s="38" t="n">
        <x:v>4</x:v>
      </x:c>
      <x:c r="L79" s="38" t="n">
        <x:f>J79*K79</x:f>
        <x:v>12</x:v>
      </x:c>
      <x:c r="M79" s="27" t="str">
        <x:f>IF(L79&gt;=20,"CRITICAL",IF(L79&gt;=12,"HIGH",IF(L79&gt;=6,"MEDIUM","LOW")))</x:f>
        <x:v>HIGH</x:v>
      </x:c>
      <x:c r="N79" s="27" t="str">
        <x:v>MEDIUM</x:v>
      </x:c>
      <x:c r="O79" s="27" t="str">
        <x:v>MODERATE</x:v>
      </x:c>
      <x:c r="P79" s="36" t="str">
        <x:v>MFA, mínimo privilegio, password manager, secret scanning, hashes y respuesta a incidentes.</x:v>
      </x:c>
      <x:c r="Q79" s="27" t="str">
        <x:v>PARTIAL</x:v>
      </x:c>
      <x:c r="R79" s="27" t="str">
        <x:v>MITIGATE</x:v>
      </x:c>
      <x:c r="S79" s="36" t="str">
        <x:v>Eliminar exposición, rotar credenciales, parchear, preservar evidencia y notificar según impacto.</x:v>
      </x:c>
      <x:c r="T79" s="38" t="n">
        <x:v>3</x:v>
      </x:c>
      <x:c r="U79" s="38" t="n">
        <x:v>4</x:v>
      </x:c>
      <x:c r="V79" s="38" t="n">
        <x:f>T79*U79</x:f>
        <x:v>12</x:v>
      </x:c>
      <x:c r="W79" s="27" t="str">
        <x:f>IF(V79&gt;=20,"CRITICAL",IF(V79&gt;=12,"HIGH",IF(V79&gt;=6,"MEDIUM","LOW")))</x:f>
        <x:v>HIGH</x:v>
      </x:c>
      <x:c r="X79" s="27" t="str">
        <x:v>ZERO</x:v>
      </x:c>
      <x:c r="Y79" s="27" t="str">
        <x:f>IF(X79="ZERO",IF(V79=0,"WITHIN TOLERANCE","OUTSIDE TOLERANCE"),IF(X79="LOW",IF(V79&lt;=4,"WITHIN TOLERANCE","OUTSIDE TOLERANCE"),IF(X79="MODERATE",IF(V79&lt;=9,"WITHIN TOLERANCE","OUTSIDE TOLERANCE"),IF(X79="HIGH",IF(V79&lt;=16,"WITHIN TOLERANCE","OUTSIDE TOLERANCE"),"REVIEW"))))</x:f>
        <x:v>OUTSIDE TOLERANCE</x:v>
      </x:c>
      <x:c r="Z79" s="36" t="str">
        <x:v>Security / Engineering</x:v>
      </x:c>
      <x:c r="AA79" s="36" t="str">
        <x:v>Project Owner</x:v>
      </x:c>
      <x:c r="AB79" s="36" t="str">
        <x:v>Advisory aplicable</x:v>
      </x:c>
      <x:c r="AC79" s="36" t="str">
        <x:v>Umbral: evidencia positiva, tendencia adversa o gate bloqueado.</x:v>
      </x:c>
      <x:c r="AD79" s="36" t="str">
        <x:v>Revocar/rotar, aislar dispositivo o repositorio y abrir incidente.</x:v>
      </x:c>
      <x:c r="AE79" s="36" t="str">
        <x:v>Restaurar acceso con credenciales nuevas y verificar integridad completa.</x:v>
      </x:c>
      <x:c r="AF79" s="27" t="str">
        <x:v>BIA-08</x:v>
      </x:c>
      <x:c r="AG79" s="27" t="str">
        <x:v>PB-08</x:v>
      </x:c>
      <x:c r="AH79" s="27" t="str">
        <x:v>TA-SEC-005</x:v>
      </x:c>
      <x:c r="AI79" s="36" t="str">
        <x:v>11, 23, 24, 25, 26, 27, 31, 32, 33, 34</x:v>
      </x:c>
      <x:c r="AJ79" s="36" t="str">
        <x:v>Build records, legal registers, package manifests y registros técnicos</x:v>
      </x:c>
      <x:c r="AK79" s="27" t="str">
        <x:v>OPEN</x:v>
      </x:c>
      <x:c r="AL79" s="27" t="str">
        <x:v>MONTHLY</x:v>
      </x:c>
      <x:c r="AM79" s="40" t="str">
        <x:v>2026-07-01</x:v>
      </x:c>
      <x:c r="AN79" s="40" t="str">
        <x:v>2026-07-31</x:v>
      </x:c>
      <x:c r="AO79" s="27" t="str">
        <x:v>UNVERIFIED</x:v>
      </x:c>
      <x:c r="AP79" s="36" t="str">
        <x:v>Registro inicial consolidado; validar owner, controles y residual.</x:v>
      </x:c>
      <x:c r="AQ79" s="27" t="n">
        <x:f>IF(OR(M79="CRITICAL",W79="CRITICAL",Y79="OUTSIDE TOLERANCE",AK79="ESCALATED",AK79="ACCEPTANCE REQUESTED"),1,0)</x:f>
        <x:v>1</x:v>
      </x:c>
    </x:row>
    <x:row r="80">
      <x:c r="A80" s="27" t="str">
        <x:v>R-SEC-006</x:v>
      </x:c>
      <x:c r="B80" s="36" t="str">
        <x:v>Security &amp; Secrets</x:v>
      </x:c>
      <x:c r="C80" s="36" t="str">
        <x:v>Supply chain</x:v>
      </x:c>
      <x:c r="D80" s="36" t="str">
        <x:v>Existe el riesgo de que ocurra lo siguiente: Build o artefacto es modificado fuera del proceso.</x:v>
      </x:c>
      <x:c r="E80" s="36" t="str">
        <x:v>Release integrity</x:v>
      </x:c>
      <x:c r="F80" s="36" t="str">
        <x:v>Release</x:v>
      </x:c>
      <x:c r="G80" s="36" t="str">
        <x:v>Ausencia, degradación o incumplimiento de los controles definidos para supply chain.</x:v>
      </x:c>
      <x:c r="H80" s="36" t="str">
        <x:v>Build o artefacto es modificado fuera del proceso</x:v>
      </x:c>
      <x:c r="I80" s="36" t="str">
        <x:v>Puede afectar a Release integrity, bloquear un gate, causar retrabajo, pérdida de datos/confianza o interrupción operativa.</x:v>
      </x:c>
      <x:c r="J80" s="38" t="n">
        <x:v>2</x:v>
      </x:c>
      <x:c r="K80" s="38" t="n">
        <x:v>5</x:v>
      </x:c>
      <x:c r="L80" s="38" t="n">
        <x:f>J80*K80</x:f>
        <x:v>10</x:v>
      </x:c>
      <x:c r="M80" s="27" t="str">
        <x:f>IF(L80&gt;=20,"CRITICAL",IF(L80&gt;=12,"HIGH",IF(L80&gt;=6,"MEDIUM","LOW")))</x:f>
        <x:v>MEDIUM</x:v>
      </x:c>
      <x:c r="N80" s="27" t="str">
        <x:v>IMMEDIATE</x:v>
      </x:c>
      <x:c r="O80" s="27" t="str">
        <x:v>HARD</x:v>
      </x:c>
      <x:c r="P80" s="36" t="str">
        <x:v>MFA, mínimo privilegio, password manager, secret scanning, hashes y respuesta a incidentes.</x:v>
      </x:c>
      <x:c r="Q80" s="27" t="str">
        <x:v>PARTIAL</x:v>
      </x:c>
      <x:c r="R80" s="27" t="str">
        <x:v>MITIGATE</x:v>
      </x:c>
      <x:c r="S80" s="36" t="str">
        <x:v>Eliminar exposición, rotar credenciales, parchear, preservar evidencia y notificar según impacto.</x:v>
      </x:c>
      <x:c r="T80" s="38" t="n">
        <x:v>2</x:v>
      </x:c>
      <x:c r="U80" s="38" t="n">
        <x:v>5</x:v>
      </x:c>
      <x:c r="V80" s="38" t="n">
        <x:f>T80*U80</x:f>
        <x:v>10</x:v>
      </x:c>
      <x:c r="W80" s="27" t="str">
        <x:f>IF(V80&gt;=20,"CRITICAL",IF(V80&gt;=12,"HIGH",IF(V80&gt;=6,"MEDIUM","LOW")))</x:f>
        <x:v>MEDIUM</x:v>
      </x:c>
      <x:c r="X80" s="27" t="str">
        <x:v>ZERO</x:v>
      </x:c>
      <x:c r="Y80" s="27" t="str">
        <x:f>IF(X80="ZERO",IF(V80=0,"WITHIN TOLERANCE","OUTSIDE TOLERANCE"),IF(X80="LOW",IF(V80&lt;=4,"WITHIN TOLERANCE","OUTSIDE TOLERANCE"),IF(X80="MODERATE",IF(V80&lt;=9,"WITHIN TOLERANCE","OUTSIDE TOLERANCE"),IF(X80="HIGH",IF(V80&lt;=16,"WITHIN TOLERANCE","OUTSIDE TOLERANCE"),"REVIEW"))))</x:f>
        <x:v>OUTSIDE TOLERANCE</x:v>
      </x:c>
      <x:c r="Z80" s="36" t="str">
        <x:v>Security / Engineering</x:v>
      </x:c>
      <x:c r="AA80" s="36" t="str">
        <x:v>Project Owner</x:v>
      </x:c>
      <x:c r="AB80" s="36" t="str">
        <x:v>Hash/firma no coincide</x:v>
      </x:c>
      <x:c r="AC80" s="36" t="str">
        <x:v>Umbral: evidencia positiva, tendencia adversa o gate bloqueado.</x:v>
      </x:c>
      <x:c r="AD80" s="36" t="str">
        <x:v>Revocar/rotar, aislar dispositivo o repositorio y abrir incidente.</x:v>
      </x:c>
      <x:c r="AE80" s="36" t="str">
        <x:v>Restaurar acceso con credenciales nuevas y verificar integridad completa.</x:v>
      </x:c>
      <x:c r="AF80" s="27" t="str">
        <x:v>BIA-08</x:v>
      </x:c>
      <x:c r="AG80" s="27" t="str">
        <x:v>PB-08</x:v>
      </x:c>
      <x:c r="AH80" s="27" t="str">
        <x:v>TA-SEC-006</x:v>
      </x:c>
      <x:c r="AI80" s="36" t="str">
        <x:v>11, 23, 24, 25, 26, 27, 31, 32, 33, 34</x:v>
      </x:c>
      <x:c r="AJ80" s="36" t="str">
        <x:v>Build records, legal registers, package manifests y registros técnicos</x:v>
      </x:c>
      <x:c r="AK80" s="27" t="str">
        <x:v>OPEN</x:v>
      </x:c>
      <x:c r="AL80" s="27" t="str">
        <x:v>WEEKLY</x:v>
      </x:c>
      <x:c r="AM80" s="40" t="str">
        <x:v>2026-07-01</x:v>
      </x:c>
      <x:c r="AN80" s="40" t="str">
        <x:v>2026-07-08</x:v>
      </x:c>
      <x:c r="AO80" s="27" t="str">
        <x:v>UNVERIFIED</x:v>
      </x:c>
      <x:c r="AP80" s="36" t="str">
        <x:v>Registro inicial consolidado; validar owner, controles y residual.</x:v>
      </x:c>
      <x:c r="AQ80" s="27" t="n">
        <x:f>IF(OR(M80="CRITICAL",W80="CRITICAL",Y80="OUTSIDE TOLERANCE",AK80="ESCALATED",AK80="ACCEPTANCE REQUESTED"),1,0)</x:f>
        <x:v>1</x:v>
      </x:c>
    </x:row>
    <x:row r="81">
      <x:c r="A81" s="27" t="str">
        <x:v>R-SEC-007</x:v>
      </x:c>
      <x:c r="B81" s="36" t="str">
        <x:v>Security &amp; Secrets</x:v>
      </x:c>
      <x:c r="C81" s="36" t="str">
        <x:v>Unauthorized access</x:v>
      </x:c>
      <x:c r="D81" s="36" t="str">
        <x:v>Existe el riesgo de que ocurra lo siguiente: Colaborador conserva acceso tras finalizar.</x:v>
      </x:c>
      <x:c r="E81" s="36" t="str">
        <x:v>Repository / services</x:v>
      </x:c>
      <x:c r="F81" s="36" t="str">
        <x:v>All</x:v>
      </x:c>
      <x:c r="G81" s="36" t="str">
        <x:v>Ausencia, degradación o incumplimiento de los controles definidos para unauthorized access.</x:v>
      </x:c>
      <x:c r="H81" s="36" t="str">
        <x:v>Colaborador conserva acceso tras finalizar</x:v>
      </x:c>
      <x:c r="I81" s="36" t="str">
        <x:v>Puede afectar a Repository / services, bloquear un gate, causar retrabajo, pérdida de datos/confianza o interrupción operativa.</x:v>
      </x:c>
      <x:c r="J81" s="38" t="n">
        <x:v>2</x:v>
      </x:c>
      <x:c r="K81" s="38" t="n">
        <x:v>4</x:v>
      </x:c>
      <x:c r="L81" s="38" t="n">
        <x:f>J81*K81</x:f>
        <x:v>8</x:v>
      </x:c>
      <x:c r="M81" s="27" t="str">
        <x:f>IF(L81&gt;=20,"CRITICAL",IF(L81&gt;=12,"HIGH",IF(L81&gt;=6,"MEDIUM","LOW")))</x:f>
        <x:v>MEDIUM</x:v>
      </x:c>
      <x:c r="N81" s="27" t="str">
        <x:v>FAST</x:v>
      </x:c>
      <x:c r="O81" s="27" t="str">
        <x:v>HARD</x:v>
      </x:c>
      <x:c r="P81" s="36" t="str">
        <x:v>MFA, mínimo privilegio, password manager, secret scanning, hashes y respuesta a incidentes.</x:v>
      </x:c>
      <x:c r="Q81" s="27" t="str">
        <x:v>PARTIAL</x:v>
      </x:c>
      <x:c r="R81" s="27" t="str">
        <x:v>MITIGATE</x:v>
      </x:c>
      <x:c r="S81" s="36" t="str">
        <x:v>Eliminar exposición, rotar credenciales, parchear, preservar evidencia y notificar según impacto.</x:v>
      </x:c>
      <x:c r="T81" s="38" t="n">
        <x:v>2</x:v>
      </x:c>
      <x:c r="U81" s="38" t="n">
        <x:v>4</x:v>
      </x:c>
      <x:c r="V81" s="38" t="n">
        <x:f>T81*U81</x:f>
        <x:v>8</x:v>
      </x:c>
      <x:c r="W81" s="27" t="str">
        <x:f>IF(V81&gt;=20,"CRITICAL",IF(V81&gt;=12,"HIGH",IF(V81&gt;=6,"MEDIUM","LOW")))</x:f>
        <x:v>MEDIUM</x:v>
      </x:c>
      <x:c r="X81" s="27" t="str">
        <x:v>ZERO</x:v>
      </x:c>
      <x:c r="Y81" s="27" t="str">
        <x:f>IF(X81="ZERO",IF(V81=0,"WITHIN TOLERANCE","OUTSIDE TOLERANCE"),IF(X81="LOW",IF(V81&lt;=4,"WITHIN TOLERANCE","OUTSIDE TOLERANCE"),IF(X81="MODERATE",IF(V81&lt;=9,"WITHIN TOLERANCE","OUTSIDE TOLERANCE"),IF(X81="HIGH",IF(V81&lt;=16,"WITHIN TOLERANCE","OUTSIDE TOLERANCE"),"REVIEW"))))</x:f>
        <x:v>OUTSIDE TOLERANCE</x:v>
      </x:c>
      <x:c r="Z81" s="36" t="str">
        <x:v>Security / Engineering</x:v>
      </x:c>
      <x:c r="AA81" s="36" t="str">
        <x:v>Project Owner</x:v>
      </x:c>
      <x:c r="AB81" s="36" t="str">
        <x:v>Offboarding incompleto</x:v>
      </x:c>
      <x:c r="AC81" s="36" t="str">
        <x:v>Umbral: evidencia positiva, tendencia adversa o gate bloqueado.</x:v>
      </x:c>
      <x:c r="AD81" s="36" t="str">
        <x:v>Revocar/rotar, aislar dispositivo o repositorio y abrir incidente.</x:v>
      </x:c>
      <x:c r="AE81" s="36" t="str">
        <x:v>Restaurar acceso con credenciales nuevas y verificar integridad completa.</x:v>
      </x:c>
      <x:c r="AF81" s="27" t="str">
        <x:v>BIA-08</x:v>
      </x:c>
      <x:c r="AG81" s="27" t="str">
        <x:v>PB-08</x:v>
      </x:c>
      <x:c r="AH81" s="27" t="str">
        <x:v>TA-SEC-007</x:v>
      </x:c>
      <x:c r="AI81" s="36" t="str">
        <x:v>11, 23, 24, 25, 26, 27, 31, 32, 33, 34</x:v>
      </x:c>
      <x:c r="AJ81" s="36" t="str">
        <x:v>Build records, legal registers, package manifests y registros técnicos</x:v>
      </x:c>
      <x:c r="AK81" s="27" t="str">
        <x:v>OPEN</x:v>
      </x:c>
      <x:c r="AL81" s="27" t="str">
        <x:v>WEEKLY</x:v>
      </x:c>
      <x:c r="AM81" s="40" t="str">
        <x:v>2026-07-01</x:v>
      </x:c>
      <x:c r="AN81" s="40" t="str">
        <x:v>2026-07-08</x:v>
      </x:c>
      <x:c r="AO81" s="27" t="str">
        <x:v>UNVERIFIED</x:v>
      </x:c>
      <x:c r="AP81" s="36" t="str">
        <x:v>Registro inicial consolidado; validar owner, controles y residual.</x:v>
      </x:c>
      <x:c r="AQ81" s="27" t="n">
        <x:f>IF(OR(M81="CRITICAL",W81="CRITICAL",Y81="OUTSIDE TOLERANCE",AK81="ESCALATED",AK81="ACCEPTANCE REQUESTED"),1,0)</x:f>
        <x:v>1</x:v>
      </x:c>
    </x:row>
    <x:row r="82">
      <x:c r="A82" s="27" t="str">
        <x:v>R-SEC-008</x:v>
      </x:c>
      <x:c r="B82" s="36" t="str">
        <x:v>Security &amp; Secrets</x:v>
      </x:c>
      <x:c r="C82" s="36" t="str">
        <x:v>SteamPipe exposure</x:v>
      </x:c>
      <x:c r="D82" s="36" t="str">
        <x:v>Existe el riesgo de que ocurra lo siguiente: VDF/scripts incluyen credenciales o rutas sensibles.</x:v>
      </x:c>
      <x:c r="E82" s="36" t="str">
        <x:v>Publishing</x:v>
      </x:c>
      <x:c r="F82" s="36" t="str">
        <x:v>Release</x:v>
      </x:c>
      <x:c r="G82" s="36" t="str">
        <x:v>Ausencia, degradación o incumplimiento de los controles definidos para steampipe exposure.</x:v>
      </x:c>
      <x:c r="H82" s="36" t="str">
        <x:v>VDF/scripts incluyen credenciales o rutas sensibles</x:v>
      </x:c>
      <x:c r="I82" s="36" t="str">
        <x:v>Puede afectar a Publishing, bloquear un gate, causar retrabajo, pérdida de datos/confianza o interrupción operativa.</x:v>
      </x:c>
      <x:c r="J82" s="38" t="n">
        <x:v>2</x:v>
      </x:c>
      <x:c r="K82" s="38" t="n">
        <x:v>5</x:v>
      </x:c>
      <x:c r="L82" s="38" t="n">
        <x:f>J82*K82</x:f>
        <x:v>10</x:v>
      </x:c>
      <x:c r="M82" s="27" t="str">
        <x:f>IF(L82&gt;=20,"CRITICAL",IF(L82&gt;=12,"HIGH",IF(L82&gt;=6,"MEDIUM","LOW")))</x:f>
        <x:v>MEDIUM</x:v>
      </x:c>
      <x:c r="N82" s="27" t="str">
        <x:v>IMMEDIATE</x:v>
      </x:c>
      <x:c r="O82" s="27" t="str">
        <x:v>HARD</x:v>
      </x:c>
      <x:c r="P82" s="36" t="str">
        <x:v>MFA, mínimo privilegio, password manager, secret scanning, hashes y respuesta a incidentes.</x:v>
      </x:c>
      <x:c r="Q82" s="27" t="str">
        <x:v>PARTIAL</x:v>
      </x:c>
      <x:c r="R82" s="27" t="str">
        <x:v>MITIGATE</x:v>
      </x:c>
      <x:c r="S82" s="36" t="str">
        <x:v>Eliminar exposición, rotar credenciales, parchear, preservar evidencia y notificar según impacto.</x:v>
      </x:c>
      <x:c r="T82" s="38" t="n">
        <x:v>2</x:v>
      </x:c>
      <x:c r="U82" s="38" t="n">
        <x:v>5</x:v>
      </x:c>
      <x:c r="V82" s="38" t="n">
        <x:f>T82*U82</x:f>
        <x:v>10</x:v>
      </x:c>
      <x:c r="W82" s="27" t="str">
        <x:f>IF(V82&gt;=20,"CRITICAL",IF(V82&gt;=12,"HIGH",IF(V82&gt;=6,"MEDIUM","LOW")))</x:f>
        <x:v>MEDIUM</x:v>
      </x:c>
      <x:c r="X82" s="27" t="str">
        <x:v>ZERO</x:v>
      </x:c>
      <x:c r="Y82" s="27" t="str">
        <x:f>IF(X82="ZERO",IF(V82=0,"WITHIN TOLERANCE","OUTSIDE TOLERANCE"),IF(X82="LOW",IF(V82&lt;=4,"WITHIN TOLERANCE","OUTSIDE TOLERANCE"),IF(X82="MODERATE",IF(V82&lt;=9,"WITHIN TOLERANCE","OUTSIDE TOLERANCE"),IF(X82="HIGH",IF(V82&lt;=16,"WITHIN TOLERANCE","OUTSIDE TOLERANCE"),"REVIEW"))))</x:f>
        <x:v>OUTSIDE TOLERANCE</x:v>
      </x:c>
      <x:c r="Z82" s="36" t="str">
        <x:v>Security / Engineering</x:v>
      </x:c>
      <x:c r="AA82" s="36" t="str">
        <x:v>Project Owner</x:v>
      </x:c>
      <x:c r="AB82" s="36" t="str">
        <x:v>Archivo sensible en paquete/log</x:v>
      </x:c>
      <x:c r="AC82" s="36" t="str">
        <x:v>Umbral: evidencia positiva, tendencia adversa o gate bloqueado.</x:v>
      </x:c>
      <x:c r="AD82" s="36" t="str">
        <x:v>Revocar/rotar, aislar dispositivo o repositorio y abrir incidente.</x:v>
      </x:c>
      <x:c r="AE82" s="36" t="str">
        <x:v>Restaurar acceso con credenciales nuevas y verificar integridad completa.</x:v>
      </x:c>
      <x:c r="AF82" s="27" t="str">
        <x:v>BIA-08</x:v>
      </x:c>
      <x:c r="AG82" s="27" t="str">
        <x:v>PB-08</x:v>
      </x:c>
      <x:c r="AH82" s="27" t="str">
        <x:v>TA-SEC-008</x:v>
      </x:c>
      <x:c r="AI82" s="36" t="str">
        <x:v>11, 23, 24, 25, 26, 27, 31, 32, 33, 34</x:v>
      </x:c>
      <x:c r="AJ82" s="36" t="str">
        <x:v>Build records, legal registers, package manifests y registros técnicos</x:v>
      </x:c>
      <x:c r="AK82" s="27" t="str">
        <x:v>OPEN</x:v>
      </x:c>
      <x:c r="AL82" s="27" t="str">
        <x:v>WEEKLY</x:v>
      </x:c>
      <x:c r="AM82" s="40" t="str">
        <x:v>2026-07-01</x:v>
      </x:c>
      <x:c r="AN82" s="40" t="str">
        <x:v>2026-07-08</x:v>
      </x:c>
      <x:c r="AO82" s="27" t="str">
        <x:v>UNVERIFIED</x:v>
      </x:c>
      <x:c r="AP82" s="36" t="str">
        <x:v>Registro inicial consolidado; validar owner, controles y residual.</x:v>
      </x:c>
      <x:c r="AQ82" s="27" t="n">
        <x:f>IF(OR(M82="CRITICAL",W82="CRITICAL",Y82="OUTSIDE TOLERANCE",AK82="ESCALATED",AK82="ACCEPTANCE REQUESTED"),1,0)</x:f>
        <x:v>1</x:v>
      </x:c>
    </x:row>
    <x:row r="83">
      <x:c r="A83" s="27" t="str">
        <x:v>R-SEC-009</x:v>
      </x:c>
      <x:c r="B83" s="36" t="str">
        <x:v>Security &amp; Secrets</x:v>
      </x:c>
      <x:c r="C83" s="36" t="str">
        <x:v>Public repository</x:v>
      </x:c>
      <x:c r="D83" s="36" t="str">
        <x:v>Existe el riesgo de que ocurra lo siguiente: Repo privado se publica o fork expone assets.</x:v>
      </x:c>
      <x:c r="E83" s="36" t="str">
        <x:v>IP / source</x:v>
      </x:c>
      <x:c r="F83" s="36" t="str">
        <x:v>All</x:v>
      </x:c>
      <x:c r="G83" s="36" t="str">
        <x:v>Ausencia, degradación o incumplimiento de los controles definidos para public repository.</x:v>
      </x:c>
      <x:c r="H83" s="36" t="str">
        <x:v>Repo privado se publica o fork expone assets</x:v>
      </x:c>
      <x:c r="I83" s="36" t="str">
        <x:v>Puede afectar a IP / source, bloquear un gate, causar retrabajo, pérdida de datos/confianza o interrupción operativa.</x:v>
      </x:c>
      <x:c r="J83" s="38" t="n">
        <x:v>2</x:v>
      </x:c>
      <x:c r="K83" s="38" t="n">
        <x:v>5</x:v>
      </x:c>
      <x:c r="L83" s="38" t="n">
        <x:f>J83*K83</x:f>
        <x:v>10</x:v>
      </x:c>
      <x:c r="M83" s="27" t="str">
        <x:f>IF(L83&gt;=20,"CRITICAL",IF(L83&gt;=12,"HIGH",IF(L83&gt;=6,"MEDIUM","LOW")))</x:f>
        <x:v>MEDIUM</x:v>
      </x:c>
      <x:c r="N83" s="27" t="str">
        <x:v>IMMEDIATE</x:v>
      </x:c>
      <x:c r="O83" s="27" t="str">
        <x:v>HARD</x:v>
      </x:c>
      <x:c r="P83" s="36" t="str">
        <x:v>MFA, mínimo privilegio, password manager, secret scanning, hashes y respuesta a incidentes.</x:v>
      </x:c>
      <x:c r="Q83" s="27" t="str">
        <x:v>PARTIAL</x:v>
      </x:c>
      <x:c r="R83" s="27" t="str">
        <x:v>MITIGATE</x:v>
      </x:c>
      <x:c r="S83" s="36" t="str">
        <x:v>Eliminar exposición, rotar credenciales, parchear, preservar evidencia y notificar según impacto.</x:v>
      </x:c>
      <x:c r="T83" s="38" t="n">
        <x:v>2</x:v>
      </x:c>
      <x:c r="U83" s="38" t="n">
        <x:v>5</x:v>
      </x:c>
      <x:c r="V83" s="38" t="n">
        <x:f>T83*U83</x:f>
        <x:v>10</x:v>
      </x:c>
      <x:c r="W83" s="27" t="str">
        <x:f>IF(V83&gt;=20,"CRITICAL",IF(V83&gt;=12,"HIGH",IF(V83&gt;=6,"MEDIUM","LOW")))</x:f>
        <x:v>MEDIUM</x:v>
      </x:c>
      <x:c r="X83" s="27" t="str">
        <x:v>ZERO</x:v>
      </x:c>
      <x:c r="Y83" s="27" t="str">
        <x:f>IF(X83="ZERO",IF(V83=0,"WITHIN TOLERANCE","OUTSIDE TOLERANCE"),IF(X83="LOW",IF(V83&lt;=4,"WITHIN TOLERANCE","OUTSIDE TOLERANCE"),IF(X83="MODERATE",IF(V83&lt;=9,"WITHIN TOLERANCE","OUTSIDE TOLERANCE"),IF(X83="HIGH",IF(V83&lt;=16,"WITHIN TOLERANCE","OUTSIDE TOLERANCE"),"REVIEW"))))</x:f>
        <x:v>OUTSIDE TOLERANCE</x:v>
      </x:c>
      <x:c r="Z83" s="36" t="str">
        <x:v>Security / Engineering</x:v>
      </x:c>
      <x:c r="AA83" s="36" t="str">
        <x:v>Project Owner</x:v>
      </x:c>
      <x:c r="AB83" s="36" t="str">
        <x:v>Visibility cambia</x:v>
      </x:c>
      <x:c r="AC83" s="36" t="str">
        <x:v>Umbral: evidencia positiva, tendencia adversa o gate bloqueado.</x:v>
      </x:c>
      <x:c r="AD83" s="36" t="str">
        <x:v>Revocar/rotar, aislar dispositivo o repositorio y abrir incidente.</x:v>
      </x:c>
      <x:c r="AE83" s="36" t="str">
        <x:v>Restaurar acceso con credenciales nuevas y verificar integridad completa.</x:v>
      </x:c>
      <x:c r="AF83" s="27" t="str">
        <x:v>BIA-08</x:v>
      </x:c>
      <x:c r="AG83" s="27" t="str">
        <x:v>PB-08</x:v>
      </x:c>
      <x:c r="AH83" s="27" t="str">
        <x:v>TA-SEC-009</x:v>
      </x:c>
      <x:c r="AI83" s="36" t="str">
        <x:v>11, 23, 24, 25, 26, 27, 31, 32, 33, 34</x:v>
      </x:c>
      <x:c r="AJ83" s="36" t="str">
        <x:v>Build records, legal registers, package manifests y registros técnicos</x:v>
      </x:c>
      <x:c r="AK83" s="27" t="str">
        <x:v>OPEN</x:v>
      </x:c>
      <x:c r="AL83" s="27" t="str">
        <x:v>WEEKLY</x:v>
      </x:c>
      <x:c r="AM83" s="40" t="str">
        <x:v>2026-07-01</x:v>
      </x:c>
      <x:c r="AN83" s="40" t="str">
        <x:v>2026-07-08</x:v>
      </x:c>
      <x:c r="AO83" s="27" t="str">
        <x:v>UNVERIFIED</x:v>
      </x:c>
      <x:c r="AP83" s="36" t="str">
        <x:v>Registro inicial consolidado; validar owner, controles y residual.</x:v>
      </x:c>
      <x:c r="AQ83" s="27" t="n">
        <x:f>IF(OR(M83="CRITICAL",W83="CRITICAL",Y83="OUTSIDE TOLERANCE",AK83="ESCALATED",AK83="ACCEPTANCE REQUESTED"),1,0)</x:f>
        <x:v>1</x:v>
      </x:c>
    </x:row>
    <x:row r="84">
      <x:c r="A84" s="27" t="str">
        <x:v>R-SEC-010</x:v>
      </x:c>
      <x:c r="B84" s="36" t="str">
        <x:v>Security &amp; Secrets</x:v>
      </x:c>
      <x:c r="C84" s="36" t="str">
        <x:v>Log leakage</x:v>
      </x:c>
      <x:c r="D84" s="36" t="str">
        <x:v>Existe el riesgo de que ocurra lo siguiente: Logs contienen datos, rutas o secretos.</x:v>
      </x:c>
      <x:c r="E84" s="36" t="str">
        <x:v>Privacy / security</x:v>
      </x:c>
      <x:c r="F84" s="36" t="str">
        <x:v>All</x:v>
      </x:c>
      <x:c r="G84" s="36" t="str">
        <x:v>Ausencia, degradación o incumplimiento de los controles definidos para log leakage.</x:v>
      </x:c>
      <x:c r="H84" s="36" t="str">
        <x:v>Logs contienen datos, rutas o secretos</x:v>
      </x:c>
      <x:c r="I84" s="36" t="str">
        <x:v>Puede afectar a Privacy / security, bloquear un gate, causar retrabajo, pérdida de datos/confianza o interrupción operativa.</x:v>
      </x:c>
      <x:c r="J84" s="38" t="n">
        <x:v>3</x:v>
      </x:c>
      <x:c r="K84" s="38" t="n">
        <x:v>4</x:v>
      </x:c>
      <x:c r="L84" s="38" t="n">
        <x:f>J84*K84</x:f>
        <x:v>12</x:v>
      </x:c>
      <x:c r="M84" s="27" t="str">
        <x:f>IF(L84&gt;=20,"CRITICAL",IF(L84&gt;=12,"HIGH",IF(L84&gt;=6,"MEDIUM","LOW")))</x:f>
        <x:v>HIGH</x:v>
      </x:c>
      <x:c r="N84" s="27" t="str">
        <x:v>FAST</x:v>
      </x:c>
      <x:c r="O84" s="27" t="str">
        <x:v>HARD</x:v>
      </x:c>
      <x:c r="P84" s="36" t="str">
        <x:v>MFA, mínimo privilegio, password manager, secret scanning, hashes y respuesta a incidentes.</x:v>
      </x:c>
      <x:c r="Q84" s="27" t="str">
        <x:v>PARTIAL</x:v>
      </x:c>
      <x:c r="R84" s="27" t="str">
        <x:v>MITIGATE</x:v>
      </x:c>
      <x:c r="S84" s="36" t="str">
        <x:v>Eliminar exposición, rotar credenciales, parchear, preservar evidencia y notificar según impacto.</x:v>
      </x:c>
      <x:c r="T84" s="38" t="n">
        <x:v>3</x:v>
      </x:c>
      <x:c r="U84" s="38" t="n">
        <x:v>4</x:v>
      </x:c>
      <x:c r="V84" s="38" t="n">
        <x:f>T84*U84</x:f>
        <x:v>12</x:v>
      </x:c>
      <x:c r="W84" s="27" t="str">
        <x:f>IF(V84&gt;=20,"CRITICAL",IF(V84&gt;=12,"HIGH",IF(V84&gt;=6,"MEDIUM","LOW")))</x:f>
        <x:v>HIGH</x:v>
      </x:c>
      <x:c r="X84" s="27" t="str">
        <x:v>ZERO</x:v>
      </x:c>
      <x:c r="Y84" s="27" t="str">
        <x:f>IF(X84="ZERO",IF(V84=0,"WITHIN TOLERANCE","OUTSIDE TOLERANCE"),IF(X84="LOW",IF(V84&lt;=4,"WITHIN TOLERANCE","OUTSIDE TOLERANCE"),IF(X84="MODERATE",IF(V84&lt;=9,"WITHIN TOLERANCE","OUTSIDE TOLERANCE"),IF(X84="HIGH",IF(V84&lt;=16,"WITHIN TOLERANCE","OUTSIDE TOLERANCE"),"REVIEW"))))</x:f>
        <x:v>OUTSIDE TOLERANCE</x:v>
      </x:c>
      <x:c r="Z84" s="36" t="str">
        <x:v>Security / Engineering</x:v>
      </x:c>
      <x:c r="AA84" s="36" t="str">
        <x:v>Project Owner</x:v>
      </x:c>
      <x:c r="AB84" s="36" t="str">
        <x:v>Review detecta contenido sensible</x:v>
      </x:c>
      <x:c r="AC84" s="36" t="str">
        <x:v>Umbral: evidencia positiva, tendencia adversa o gate bloqueado.</x:v>
      </x:c>
      <x:c r="AD84" s="36" t="str">
        <x:v>Revocar/rotar, aislar dispositivo o repositorio y abrir incidente.</x:v>
      </x:c>
      <x:c r="AE84" s="36" t="str">
        <x:v>Restaurar acceso con credenciales nuevas y verificar integridad completa.</x:v>
      </x:c>
      <x:c r="AF84" s="27" t="str">
        <x:v>BIA-08</x:v>
      </x:c>
      <x:c r="AG84" s="27" t="str">
        <x:v>PB-08</x:v>
      </x:c>
      <x:c r="AH84" s="27" t="str">
        <x:v>TA-SEC-010</x:v>
      </x:c>
      <x:c r="AI84" s="36" t="str">
        <x:v>11, 23, 24, 25, 26, 27, 31, 32, 33, 34</x:v>
      </x:c>
      <x:c r="AJ84" s="36" t="str">
        <x:v>Build records, legal registers, package manifests y registros técnicos</x:v>
      </x:c>
      <x:c r="AK84" s="27" t="str">
        <x:v>OPEN</x:v>
      </x:c>
      <x:c r="AL84" s="27" t="str">
        <x:v>WEEKLY</x:v>
      </x:c>
      <x:c r="AM84" s="40" t="str">
        <x:v>2026-07-01</x:v>
      </x:c>
      <x:c r="AN84" s="40" t="str">
        <x:v>2026-07-08</x:v>
      </x:c>
      <x:c r="AO84" s="27" t="str">
        <x:v>UNVERIFIED</x:v>
      </x:c>
      <x:c r="AP84" s="36" t="str">
        <x:v>Registro inicial consolidado; validar owner, controles y residual.</x:v>
      </x:c>
      <x:c r="AQ84" s="27" t="n">
        <x:f>IF(OR(M84="CRITICAL",W84="CRITICAL",Y84="OUTSIDE TOLERANCE",AK84="ESCALATED",AK84="ACCEPTANCE REQUESTED"),1,0)</x:f>
        <x:v>1</x:v>
      </x:c>
    </x:row>
    <x:row r="85">
      <x:c r="A85" s="27" t="str">
        <x:v>R-SEC-011</x:v>
      </x:c>
      <x:c r="B85" s="36" t="str">
        <x:v>Security &amp; Secrets</x:v>
      </x:c>
      <x:c r="C85" s="36" t="str">
        <x:v>No incident evidence</x:v>
      </x:c>
      <x:c r="D85" s="36" t="str">
        <x:v>Existe el riesgo de que ocurra lo siguiente: Se limpia sistema antes de preservar evidencia.</x:v>
      </x:c>
      <x:c r="E85" s="36" t="str">
        <x:v>Investigation</x:v>
      </x:c>
      <x:c r="F85" s="36" t="str">
        <x:v>All</x:v>
      </x:c>
      <x:c r="G85" s="36" t="str">
        <x:v>Ausencia, degradación o incumplimiento de los controles definidos para no incident evidence.</x:v>
      </x:c>
      <x:c r="H85" s="36" t="str">
        <x:v>Se limpia sistema antes de preservar evidencia</x:v>
      </x:c>
      <x:c r="I85" s="36" t="str">
        <x:v>Puede afectar a Investigation, bloquear un gate, causar retrabajo, pérdida de datos/confianza o interrupción operativa.</x:v>
      </x:c>
      <x:c r="J85" s="38" t="n">
        <x:v>3</x:v>
      </x:c>
      <x:c r="K85" s="38" t="n">
        <x:v>4</x:v>
      </x:c>
      <x:c r="L85" s="38" t="n">
        <x:f>J85*K85</x:f>
        <x:v>12</x:v>
      </x:c>
      <x:c r="M85" s="27" t="str">
        <x:f>IF(L85&gt;=20,"CRITICAL",IF(L85&gt;=12,"HIGH",IF(L85&gt;=6,"MEDIUM","LOW")))</x:f>
        <x:v>HIGH</x:v>
      </x:c>
      <x:c r="N85" s="27" t="str">
        <x:v>FAST</x:v>
      </x:c>
      <x:c r="O85" s="27" t="str">
        <x:v>HARD</x:v>
      </x:c>
      <x:c r="P85" s="36" t="str">
        <x:v>MFA, mínimo privilegio, password manager, secret scanning, hashes y respuesta a incidentes.</x:v>
      </x:c>
      <x:c r="Q85" s="27" t="str">
        <x:v>PARTIAL</x:v>
      </x:c>
      <x:c r="R85" s="27" t="str">
        <x:v>MITIGATE</x:v>
      </x:c>
      <x:c r="S85" s="36" t="str">
        <x:v>Eliminar exposición, rotar credenciales, parchear, preservar evidencia y notificar según impacto.</x:v>
      </x:c>
      <x:c r="T85" s="38" t="n">
        <x:v>3</x:v>
      </x:c>
      <x:c r="U85" s="38" t="n">
        <x:v>4</x:v>
      </x:c>
      <x:c r="V85" s="38" t="n">
        <x:f>T85*U85</x:f>
        <x:v>12</x:v>
      </x:c>
      <x:c r="W85" s="27" t="str">
        <x:f>IF(V85&gt;=20,"CRITICAL",IF(V85&gt;=12,"HIGH",IF(V85&gt;=6,"MEDIUM","LOW")))</x:f>
        <x:v>HIGH</x:v>
      </x:c>
      <x:c r="X85" s="27" t="str">
        <x:v>ZERO</x:v>
      </x:c>
      <x:c r="Y85" s="27" t="str">
        <x:f>IF(X85="ZERO",IF(V85=0,"WITHIN TOLERANCE","OUTSIDE TOLERANCE"),IF(X85="LOW",IF(V85&lt;=4,"WITHIN TOLERANCE","OUTSIDE TOLERANCE"),IF(X85="MODERATE",IF(V85&lt;=9,"WITHIN TOLERANCE","OUTSIDE TOLERANCE"),IF(X85="HIGH",IF(V85&lt;=16,"WITHIN TOLERANCE","OUTSIDE TOLERANCE"),"REVIEW"))))</x:f>
        <x:v>OUTSIDE TOLERANCE</x:v>
      </x:c>
      <x:c r="Z85" s="36" t="str">
        <x:v>Security / Engineering</x:v>
      </x:c>
      <x:c r="AA85" s="36" t="str">
        <x:v>Project Owner</x:v>
      </x:c>
      <x:c r="AB85" s="36" t="str">
        <x:v>Acción destructiva post-incidente</x:v>
      </x:c>
      <x:c r="AC85" s="36" t="str">
        <x:v>Umbral: evidencia positiva, tendencia adversa o gate bloqueado.</x:v>
      </x:c>
      <x:c r="AD85" s="36" t="str">
        <x:v>Revocar/rotar, aislar dispositivo o repositorio y abrir incidente.</x:v>
      </x:c>
      <x:c r="AE85" s="36" t="str">
        <x:v>Restaurar acceso con credenciales nuevas y verificar integridad completa.</x:v>
      </x:c>
      <x:c r="AF85" s="27" t="str">
        <x:v>BIA-08</x:v>
      </x:c>
      <x:c r="AG85" s="27" t="str">
        <x:v>PB-08</x:v>
      </x:c>
      <x:c r="AH85" s="27" t="str">
        <x:v>TA-SEC-011</x:v>
      </x:c>
      <x:c r="AI85" s="36" t="str">
        <x:v>11, 23, 24, 25, 26, 27, 31, 32, 33, 34</x:v>
      </x:c>
      <x:c r="AJ85" s="36" t="str">
        <x:v>Build records, legal registers, package manifests y registros técnicos</x:v>
      </x:c>
      <x:c r="AK85" s="27" t="str">
        <x:v>OPEN</x:v>
      </x:c>
      <x:c r="AL85" s="27" t="str">
        <x:v>WEEKLY</x:v>
      </x:c>
      <x:c r="AM85" s="40" t="str">
        <x:v>2026-07-01</x:v>
      </x:c>
      <x:c r="AN85" s="40" t="str">
        <x:v>2026-07-08</x:v>
      </x:c>
      <x:c r="AO85" s="27" t="str">
        <x:v>UNVERIFIED</x:v>
      </x:c>
      <x:c r="AP85" s="36" t="str">
        <x:v>Registro inicial consolidado; validar owner, controles y residual.</x:v>
      </x:c>
      <x:c r="AQ85" s="27" t="n">
        <x:f>IF(OR(M85="CRITICAL",W85="CRITICAL",Y85="OUTSIDE TOLERANCE",AK85="ESCALATED",AK85="ACCEPTANCE REQUESTED"),1,0)</x:f>
        <x:v>1</x:v>
      </x:c>
    </x:row>
    <x:row r="86">
      <x:c r="A86" s="27" t="str">
        <x:v>R-SEC-012</x:v>
      </x:c>
      <x:c r="B86" s="36" t="str">
        <x:v>Security &amp; Secrets</x:v>
      </x:c>
      <x:c r="C86" s="36" t="str">
        <x:v>Patch delay</x:v>
      </x:c>
      <x:c r="D86" s="36" t="str">
        <x:v>Existe el riesgo de que ocurra lo siguiente: Vulnerabilidad crítica no se corrige a tiempo.</x:v>
      </x:c>
      <x:c r="E86" s="36" t="str">
        <x:v>Security posture</x:v>
      </x:c>
      <x:c r="F86" s="36" t="str">
        <x:v>Post-launch</x:v>
      </x:c>
      <x:c r="G86" s="36" t="str">
        <x:v>Ausencia, degradación o incumplimiento de los controles definidos para patch delay.</x:v>
      </x:c>
      <x:c r="H86" s="36" t="str">
        <x:v>Vulnerabilidad crítica no se corrige a tiempo</x:v>
      </x:c>
      <x:c r="I86" s="36" t="str">
        <x:v>Puede afectar a Security posture, bloquear un gate, causar retrabajo, pérdida de datos/confianza o interrupción operativa.</x:v>
      </x:c>
      <x:c r="J86" s="38" t="n">
        <x:v>2</x:v>
      </x:c>
      <x:c r="K86" s="38" t="n">
        <x:v>5</x:v>
      </x:c>
      <x:c r="L86" s="38" t="n">
        <x:f>J86*K86</x:f>
        <x:v>10</x:v>
      </x:c>
      <x:c r="M86" s="27" t="str">
        <x:f>IF(L86&gt;=20,"CRITICAL",IF(L86&gt;=12,"HIGH",IF(L86&gt;=6,"MEDIUM","LOW")))</x:f>
        <x:v>MEDIUM</x:v>
      </x:c>
      <x:c r="N86" s="27" t="str">
        <x:v>FAST</x:v>
      </x:c>
      <x:c r="O86" s="27" t="str">
        <x:v>HARD</x:v>
      </x:c>
      <x:c r="P86" s="36" t="str">
        <x:v>MFA, mínimo privilegio, password manager, secret scanning, hashes y respuesta a incidentes.</x:v>
      </x:c>
      <x:c r="Q86" s="27" t="str">
        <x:v>PARTIAL</x:v>
      </x:c>
      <x:c r="R86" s="27" t="str">
        <x:v>MITIGATE</x:v>
      </x:c>
      <x:c r="S86" s="36" t="str">
        <x:v>Eliminar exposición, rotar credenciales, parchear, preservar evidencia y notificar según impacto.</x:v>
      </x:c>
      <x:c r="T86" s="38" t="n">
        <x:v>2</x:v>
      </x:c>
      <x:c r="U86" s="38" t="n">
        <x:v>5</x:v>
      </x:c>
      <x:c r="V86" s="38" t="n">
        <x:f>T86*U86</x:f>
        <x:v>10</x:v>
      </x:c>
      <x:c r="W86" s="27" t="str">
        <x:f>IF(V86&gt;=20,"CRITICAL",IF(V86&gt;=12,"HIGH",IF(V86&gt;=6,"MEDIUM","LOW")))</x:f>
        <x:v>MEDIUM</x:v>
      </x:c>
      <x:c r="X86" s="27" t="str">
        <x:v>ZERO</x:v>
      </x:c>
      <x:c r="Y86" s="27" t="str">
        <x:f>IF(X86="ZERO",IF(V86=0,"WITHIN TOLERANCE","OUTSIDE TOLERANCE"),IF(X86="LOW",IF(V86&lt;=4,"WITHIN TOLERANCE","OUTSIDE TOLERANCE"),IF(X86="MODERATE",IF(V86&lt;=9,"WITHIN TOLERANCE","OUTSIDE TOLERANCE"),IF(X86="HIGH",IF(V86&lt;=16,"WITHIN TOLERANCE","OUTSIDE TOLERANCE"),"REVIEW"))))</x:f>
        <x:v>OUTSIDE TOLERANCE</x:v>
      </x:c>
      <x:c r="Z86" s="36" t="str">
        <x:v>Security / Engineering</x:v>
      </x:c>
      <x:c r="AA86" s="36" t="str">
        <x:v>Project Owner</x:v>
      </x:c>
      <x:c r="AB86" s="36" t="str">
        <x:v>SLA de parche excedido</x:v>
      </x:c>
      <x:c r="AC86" s="36" t="str">
        <x:v>Umbral: evidencia positiva, tendencia adversa o gate bloqueado.</x:v>
      </x:c>
      <x:c r="AD86" s="36" t="str">
        <x:v>Revocar/rotar, aislar dispositivo o repositorio y abrir incidente.</x:v>
      </x:c>
      <x:c r="AE86" s="36" t="str">
        <x:v>Restaurar acceso con credenciales nuevas y verificar integridad completa.</x:v>
      </x:c>
      <x:c r="AF86" s="27" t="str">
        <x:v>BIA-08</x:v>
      </x:c>
      <x:c r="AG86" s="27" t="str">
        <x:v>PB-08</x:v>
      </x:c>
      <x:c r="AH86" s="27" t="str">
        <x:v>TA-SEC-012</x:v>
      </x:c>
      <x:c r="AI86" s="36" t="str">
        <x:v>11, 23, 24, 25, 26, 27, 31, 32, 33, 34</x:v>
      </x:c>
      <x:c r="AJ86" s="36" t="str">
        <x:v>Build records, legal registers, package manifests y registros técnicos</x:v>
      </x:c>
      <x:c r="AK86" s="27" t="str">
        <x:v>OPEN</x:v>
      </x:c>
      <x:c r="AL86" s="27" t="str">
        <x:v>WEEKLY</x:v>
      </x:c>
      <x:c r="AM86" s="40" t="str">
        <x:v>2026-07-01</x:v>
      </x:c>
      <x:c r="AN86" s="40" t="str">
        <x:v>2026-07-08</x:v>
      </x:c>
      <x:c r="AO86" s="27" t="str">
        <x:v>UNVERIFIED</x:v>
      </x:c>
      <x:c r="AP86" s="36" t="str">
        <x:v>Registro inicial consolidado; validar owner, controles y residual.</x:v>
      </x:c>
      <x:c r="AQ86" s="27" t="n">
        <x:f>IF(OR(M86="CRITICAL",W86="CRITICAL",Y86="OUTSIDE TOLERANCE",AK86="ESCALATED",AK86="ACCEPTANCE REQUESTED"),1,0)</x:f>
        <x:v>1</x:v>
      </x:c>
    </x:row>
    <x:row r="87">
      <x:c r="A87" s="27" t="str">
        <x:v>R-PRI-001</x:v>
      </x:c>
      <x:c r="B87" s="36" t="str">
        <x:v>Privacy &amp; Telemetry</x:v>
      </x:c>
      <x:c r="C87" s="36" t="str">
        <x:v>Unjustified collection</x:v>
      </x:c>
      <x:c r="D87" s="36" t="str">
        <x:v>Existe el riesgo de que ocurra lo siguiente: Se recopila dato sin propósito o consentimiento.</x:v>
      </x:c>
      <x:c r="E87" s="36" t="str">
        <x:v>User data</x:v>
      </x:c>
      <x:c r="F87" s="36" t="str">
        <x:v>Release/Post-launch</x:v>
      </x:c>
      <x:c r="G87" s="36" t="str">
        <x:v>Ausencia, degradación o incumplimiento de los controles definidos para unjustified collection.</x:v>
      </x:c>
      <x:c r="H87" s="36" t="str">
        <x:v>Se recopila dato sin propósito o consentimiento</x:v>
      </x:c>
      <x:c r="I87" s="36" t="str">
        <x:v>Puede afectar a User data, bloquear un gate, causar retrabajo, pérdida de datos/confianza o interrupción operativa.</x:v>
      </x:c>
      <x:c r="J87" s="38" t="n">
        <x:v>2</x:v>
      </x:c>
      <x:c r="K87" s="38" t="n">
        <x:v>5</x:v>
      </x:c>
      <x:c r="L87" s="38" t="n">
        <x:f>J87*K87</x:f>
        <x:v>10</x:v>
      </x:c>
      <x:c r="M87" s="27" t="str">
        <x:f>IF(L87&gt;=20,"CRITICAL",IF(L87&gt;=12,"HIGH",IF(L87&gt;=6,"MEDIUM","LOW")))</x:f>
        <x:v>MEDIUM</x:v>
      </x:c>
      <x:c r="N87" s="27" t="str">
        <x:v>FAST</x:v>
      </x:c>
      <x:c r="O87" s="27" t="str">
        <x:v>HARD</x:v>
      </x:c>
      <x:c r="P87" s="36" t="str">
        <x:v>Minimización, consentimiento, propósito, retención, acceso y borrado.</x:v>
      </x:c>
      <x:c r="Q87" s="27" t="str">
        <x:v>PARTIAL</x:v>
      </x:c>
      <x:c r="R87" s="27" t="str">
        <x:v>MITIGATE</x:v>
      </x:c>
      <x:c r="S87" s="36" t="str">
        <x:v>No recopilar hasta justificar; reducir campos, retención y terceros.</x:v>
      </x:c>
      <x:c r="T87" s="38" t="n">
        <x:v>2</x:v>
      </x:c>
      <x:c r="U87" s="38" t="n">
        <x:v>5</x:v>
      </x:c>
      <x:c r="V87" s="38" t="n">
        <x:f>T87*U87</x:f>
        <x:v>10</x:v>
      </x:c>
      <x:c r="W87" s="27" t="str">
        <x:f>IF(V87&gt;=20,"CRITICAL",IF(V87&gt;=12,"HIGH",IF(V87&gt;=6,"MEDIUM","LOW")))</x:f>
        <x:v>MEDIUM</x:v>
      </x:c>
      <x:c r="X87" s="27" t="str">
        <x:v>ZERO</x:v>
      </x:c>
      <x:c r="Y87" s="27" t="str">
        <x:f>IF(X87="ZERO",IF(V87=0,"WITHIN TOLERANCE","OUTSIDE TOLERANCE"),IF(X87="LOW",IF(V87&lt;=4,"WITHIN TOLERANCE","OUTSIDE TOLERANCE"),IF(X87="MODERATE",IF(V87&lt;=9,"WITHIN TOLERANCE","OUTSIDE TOLERANCE"),IF(X87="HIGH",IF(V87&lt;=16,"WITHIN TOLERANCE","OUTSIDE TOLERANCE"),"REVIEW"))))</x:f>
        <x:v>OUTSIDE TOLERANCE</x:v>
      </x:c>
      <x:c r="Z87" s="36" t="str">
        <x:v>Privacy / Engineering</x:v>
      </x:c>
      <x:c r="AA87" s="36" t="str">
        <x:v>Legal / Production</x:v>
      </x:c>
      <x:c r="AB87" s="36" t="str">
        <x:v>Campo nuevo no documentado</x:v>
      </x:c>
      <x:c r="AC87" s="36" t="str">
        <x:v>Umbral: evidencia positiva, tendencia adversa o gate bloqueado.</x:v>
      </x:c>
      <x:c r="AD87" s="36" t="str">
        <x:v>Suspender colección y preservar logs mínimos de investigación.</x:v>
      </x:c>
      <x:c r="AE87" s="36" t="str">
        <x:v>Eliminar o corregir datos, actualizar avisos y validar configuración.</x:v>
      </x:c>
      <x:c r="AF87" s="27" t="str">
        <x:v>BIA-09</x:v>
      </x:c>
      <x:c r="AG87" s="27" t="str">
        <x:v>PB-09</x:v>
      </x:c>
      <x:c r="AH87" s="27" t="str">
        <x:v>TA-PRI-001</x:v>
      </x:c>
      <x:c r="AI87" s="36" t="str">
        <x:v>23, 24, 25, 26, 27, 28, 31</x:v>
      </x:c>
      <x:c r="AJ87" s="36" t="str">
        <x:v>Requisitos distribuidos en TDD, Steam, legal, QA y marketing</x:v>
      </x:c>
      <x:c r="AK87" s="27" t="str">
        <x:v>OPEN</x:v>
      </x:c>
      <x:c r="AL87" s="27" t="str">
        <x:v>WEEKLY</x:v>
      </x:c>
      <x:c r="AM87" s="40" t="str">
        <x:v>2026-07-01</x:v>
      </x:c>
      <x:c r="AN87" s="40" t="str">
        <x:v>2026-07-08</x:v>
      </x:c>
      <x:c r="AO87" s="27" t="str">
        <x:v>UNVERIFIED</x:v>
      </x:c>
      <x:c r="AP87" s="36" t="str">
        <x:v>Registro inicial consolidado; validar owner, controles y residual.</x:v>
      </x:c>
      <x:c r="AQ87" s="27" t="n">
        <x:f>IF(OR(M87="CRITICAL",W87="CRITICAL",Y87="OUTSIDE TOLERANCE",AK87="ESCALATED",AK87="ACCEPTANCE REQUESTED"),1,0)</x:f>
        <x:v>1</x:v>
      </x:c>
    </x:row>
    <x:row r="88">
      <x:c r="A88" s="27" t="str">
        <x:v>R-PRI-002</x:v>
      </x:c>
      <x:c r="B88" s="36" t="str">
        <x:v>Privacy &amp; Telemetry</x:v>
      </x:c>
      <x:c r="C88" s="36" t="str">
        <x:v>Third-party analytics</x:v>
      </x:c>
      <x:c r="D88" s="36" t="str">
        <x:v>Existe el riesgo de que ocurra lo siguiente: SDK envía datos no inventariados.</x:v>
      </x:c>
      <x:c r="E88" s="36" t="str">
        <x:v>User data / compliance</x:v>
      </x:c>
      <x:c r="F88" s="36" t="str">
        <x:v>Release</x:v>
      </x:c>
      <x:c r="G88" s="36" t="str">
        <x:v>Ausencia, degradación o incumplimiento de los controles definidos para third-party analytics.</x:v>
      </x:c>
      <x:c r="H88" s="36" t="str">
        <x:v>SDK envía datos no inventariados</x:v>
      </x:c>
      <x:c r="I88" s="36" t="str">
        <x:v>Puede afectar a User data / compliance, bloquear un gate, causar retrabajo, pérdida de datos/confianza o interrupción operativa.</x:v>
      </x:c>
      <x:c r="J88" s="38" t="n">
        <x:v>2</x:v>
      </x:c>
      <x:c r="K88" s="38" t="n">
        <x:v>5</x:v>
      </x:c>
      <x:c r="L88" s="38" t="n">
        <x:f>J88*K88</x:f>
        <x:v>10</x:v>
      </x:c>
      <x:c r="M88" s="27" t="str">
        <x:f>IF(L88&gt;=20,"CRITICAL",IF(L88&gt;=12,"HIGH",IF(L88&gt;=6,"MEDIUM","LOW")))</x:f>
        <x:v>MEDIUM</x:v>
      </x:c>
      <x:c r="N88" s="27" t="str">
        <x:v>FAST</x:v>
      </x:c>
      <x:c r="O88" s="27" t="str">
        <x:v>HARD</x:v>
      </x:c>
      <x:c r="P88" s="36" t="str">
        <x:v>Minimización, consentimiento, propósito, retención, acceso y borrado.</x:v>
      </x:c>
      <x:c r="Q88" s="27" t="str">
        <x:v>PARTIAL</x:v>
      </x:c>
      <x:c r="R88" s="27" t="str">
        <x:v>MITIGATE</x:v>
      </x:c>
      <x:c r="S88" s="36" t="str">
        <x:v>No recopilar hasta justificar; reducir campos, retención y terceros.</x:v>
      </x:c>
      <x:c r="T88" s="38" t="n">
        <x:v>2</x:v>
      </x:c>
      <x:c r="U88" s="38" t="n">
        <x:v>5</x:v>
      </x:c>
      <x:c r="V88" s="38" t="n">
        <x:f>T88*U88</x:f>
        <x:v>10</x:v>
      </x:c>
      <x:c r="W88" s="27" t="str">
        <x:f>IF(V88&gt;=20,"CRITICAL",IF(V88&gt;=12,"HIGH",IF(V88&gt;=6,"MEDIUM","LOW")))</x:f>
        <x:v>MEDIUM</x:v>
      </x:c>
      <x:c r="X88" s="27" t="str">
        <x:v>ZERO</x:v>
      </x:c>
      <x:c r="Y88" s="27" t="str">
        <x:f>IF(X88="ZERO",IF(V88=0,"WITHIN TOLERANCE","OUTSIDE TOLERANCE"),IF(X88="LOW",IF(V88&lt;=4,"WITHIN TOLERANCE","OUTSIDE TOLERANCE"),IF(X88="MODERATE",IF(V88&lt;=9,"WITHIN TOLERANCE","OUTSIDE TOLERANCE"),IF(X88="HIGH",IF(V88&lt;=16,"WITHIN TOLERANCE","OUTSIDE TOLERANCE"),"REVIEW"))))</x:f>
        <x:v>OUTSIDE TOLERANCE</x:v>
      </x:c>
      <x:c r="Z88" s="36" t="str">
        <x:v>Privacy / Engineering</x:v>
      </x:c>
      <x:c r="AA88" s="36" t="str">
        <x:v>Legal / Production</x:v>
      </x:c>
      <x:c r="AB88" s="36" t="str">
        <x:v>Tráfico no previsto</x:v>
      </x:c>
      <x:c r="AC88" s="36" t="str">
        <x:v>Umbral: evidencia positiva, tendencia adversa o gate bloqueado.</x:v>
      </x:c>
      <x:c r="AD88" s="36" t="str">
        <x:v>Suspender colección y preservar logs mínimos de investigación.</x:v>
      </x:c>
      <x:c r="AE88" s="36" t="str">
        <x:v>Eliminar o corregir datos, actualizar avisos y validar configuración.</x:v>
      </x:c>
      <x:c r="AF88" s="27" t="str">
        <x:v>BIA-09</x:v>
      </x:c>
      <x:c r="AG88" s="27" t="str">
        <x:v>PB-09</x:v>
      </x:c>
      <x:c r="AH88" s="27" t="str">
        <x:v>TA-PRI-002</x:v>
      </x:c>
      <x:c r="AI88" s="36" t="str">
        <x:v>23, 24, 25, 26, 27, 28, 31</x:v>
      </x:c>
      <x:c r="AJ88" s="36" t="str">
        <x:v>Requisitos distribuidos en TDD, Steam, legal, QA y marketing</x:v>
      </x:c>
      <x:c r="AK88" s="27" t="str">
        <x:v>OPEN</x:v>
      </x:c>
      <x:c r="AL88" s="27" t="str">
        <x:v>WEEKLY</x:v>
      </x:c>
      <x:c r="AM88" s="40" t="str">
        <x:v>2026-07-01</x:v>
      </x:c>
      <x:c r="AN88" s="40" t="str">
        <x:v>2026-07-08</x:v>
      </x:c>
      <x:c r="AO88" s="27" t="str">
        <x:v>UNVERIFIED</x:v>
      </x:c>
      <x:c r="AP88" s="36" t="str">
        <x:v>Registro inicial consolidado; validar owner, controles y residual.</x:v>
      </x:c>
      <x:c r="AQ88" s="27" t="n">
        <x:f>IF(OR(M88="CRITICAL",W88="CRITICAL",Y88="OUTSIDE TOLERANCE",AK88="ESCALATED",AK88="ACCEPTANCE REQUESTED"),1,0)</x:f>
        <x:v>1</x:v>
      </x:c>
    </x:row>
    <x:row r="89">
      <x:c r="A89" s="27" t="str">
        <x:v>R-PRI-003</x:v>
      </x:c>
      <x:c r="B89" s="36" t="str">
        <x:v>Privacy &amp; Telemetry</x:v>
      </x:c>
      <x:c r="C89" s="36" t="str">
        <x:v>Retention</x:v>
      </x:c>
      <x:c r="D89" s="36" t="str">
        <x:v>Existe el riesgo de que ocurra lo siguiente: Datos se conservan más de lo aprobado.</x:v>
      </x:c>
      <x:c r="E89" s="36" t="str">
        <x:v>Privacy compliance</x:v>
      </x:c>
      <x:c r="F89" s="36" t="str">
        <x:v>Post-launch</x:v>
      </x:c>
      <x:c r="G89" s="36" t="str">
        <x:v>Ausencia, degradación o incumplimiento de los controles definidos para retention.</x:v>
      </x:c>
      <x:c r="H89" s="36" t="str">
        <x:v>Datos se conservan más de lo aprobado</x:v>
      </x:c>
      <x:c r="I89" s="36" t="str">
        <x:v>Puede afectar a Privacy compliance, bloquear un gate, causar retrabajo, pérdida de datos/confianza o interrupción operativa.</x:v>
      </x:c>
      <x:c r="J89" s="38" t="n">
        <x:v>2</x:v>
      </x:c>
      <x:c r="K89" s="38" t="n">
        <x:v>4</x:v>
      </x:c>
      <x:c r="L89" s="38" t="n">
        <x:f>J89*K89</x:f>
        <x:v>8</x:v>
      </x:c>
      <x:c r="M89" s="27" t="str">
        <x:f>IF(L89&gt;=20,"CRITICAL",IF(L89&gt;=12,"HIGH",IF(L89&gt;=6,"MEDIUM","LOW")))</x:f>
        <x:v>MEDIUM</x:v>
      </x:c>
      <x:c r="N89" s="27" t="str">
        <x:v>SLOW</x:v>
      </x:c>
      <x:c r="O89" s="27" t="str">
        <x:v>MODERATE</x:v>
      </x:c>
      <x:c r="P89" s="36" t="str">
        <x:v>Minimización, consentimiento, propósito, retención, acceso y borrado.</x:v>
      </x:c>
      <x:c r="Q89" s="27" t="str">
        <x:v>PARTIAL</x:v>
      </x:c>
      <x:c r="R89" s="27" t="str">
        <x:v>MITIGATE</x:v>
      </x:c>
      <x:c r="S89" s="36" t="str">
        <x:v>No recopilar hasta justificar; reducir campos, retención y terceros.</x:v>
      </x:c>
      <x:c r="T89" s="38" t="n">
        <x:v>2</x:v>
      </x:c>
      <x:c r="U89" s="38" t="n">
        <x:v>4</x:v>
      </x:c>
      <x:c r="V89" s="38" t="n">
        <x:f>T89*U89</x:f>
        <x:v>8</x:v>
      </x:c>
      <x:c r="W89" s="27" t="str">
        <x:f>IF(V89&gt;=20,"CRITICAL",IF(V89&gt;=12,"HIGH",IF(V89&gt;=6,"MEDIUM","LOW")))</x:f>
        <x:v>MEDIUM</x:v>
      </x:c>
      <x:c r="X89" s="27" t="str">
        <x:v>ZERO</x:v>
      </x:c>
      <x:c r="Y89" s="27" t="str">
        <x:f>IF(X89="ZERO",IF(V89=0,"WITHIN TOLERANCE","OUTSIDE TOLERANCE"),IF(X89="LOW",IF(V89&lt;=4,"WITHIN TOLERANCE","OUTSIDE TOLERANCE"),IF(X89="MODERATE",IF(V89&lt;=9,"WITHIN TOLERANCE","OUTSIDE TOLERANCE"),IF(X89="HIGH",IF(V89&lt;=16,"WITHIN TOLERANCE","OUTSIDE TOLERANCE"),"REVIEW"))))</x:f>
        <x:v>OUTSIDE TOLERANCE</x:v>
      </x:c>
      <x:c r="Z89" s="36" t="str">
        <x:v>Privacy / Engineering</x:v>
      </x:c>
      <x:c r="AA89" s="36" t="str">
        <x:v>Legal / Production</x:v>
      </x:c>
      <x:c r="AB89" s="36" t="str">
        <x:v>No existe borrado/expiry</x:v>
      </x:c>
      <x:c r="AC89" s="36" t="str">
        <x:v>Umbral: evidencia positiva, tendencia adversa o gate bloqueado.</x:v>
      </x:c>
      <x:c r="AD89" s="36" t="str">
        <x:v>Suspender colección y preservar logs mínimos de investigación.</x:v>
      </x:c>
      <x:c r="AE89" s="36" t="str">
        <x:v>Eliminar o corregir datos, actualizar avisos y validar configuración.</x:v>
      </x:c>
      <x:c r="AF89" s="27" t="str">
        <x:v>BIA-09</x:v>
      </x:c>
      <x:c r="AG89" s="27" t="str">
        <x:v>PB-09</x:v>
      </x:c>
      <x:c r="AH89" s="27" t="str">
        <x:v>TA-PRI-003</x:v>
      </x:c>
      <x:c r="AI89" s="36" t="str">
        <x:v>23, 24, 25, 26, 27, 28, 31</x:v>
      </x:c>
      <x:c r="AJ89" s="36" t="str">
        <x:v>Requisitos distribuidos en TDD, Steam, legal, QA y marketing</x:v>
      </x:c>
      <x:c r="AK89" s="27" t="str">
        <x:v>OPEN</x:v>
      </x:c>
      <x:c r="AL89" s="27" t="str">
        <x:v>MONTHLY</x:v>
      </x:c>
      <x:c r="AM89" s="40" t="str">
        <x:v>2026-07-01</x:v>
      </x:c>
      <x:c r="AN89" s="40" t="str">
        <x:v>2026-07-31</x:v>
      </x:c>
      <x:c r="AO89" s="27" t="str">
        <x:v>UNVERIFIED</x:v>
      </x:c>
      <x:c r="AP89" s="36" t="str">
        <x:v>Registro inicial consolidado; validar owner, controles y residual.</x:v>
      </x:c>
      <x:c r="AQ89" s="27" t="n">
        <x:f>IF(OR(M89="CRITICAL",W89="CRITICAL",Y89="OUTSIDE TOLERANCE",AK89="ESCALATED",AK89="ACCEPTANCE REQUESTED"),1,0)</x:f>
        <x:v>1</x:v>
      </x:c>
    </x:row>
    <x:row r="90">
      <x:c r="A90" s="27" t="str">
        <x:v>R-PRI-004</x:v>
      </x:c>
      <x:c r="B90" s="36" t="str">
        <x:v>Privacy &amp; Telemetry</x:v>
      </x:c>
      <x:c r="C90" s="36" t="str">
        <x:v>Data subject request</x:v>
      </x:c>
      <x:c r="D90" s="36" t="str">
        <x:v>Existe el riesgo de que ocurra lo siguiente: No se puede localizar/borrar/exportar dato.</x:v>
      </x:c>
      <x:c r="E90" s="36" t="str">
        <x:v>User rights</x:v>
      </x:c>
      <x:c r="F90" s="36" t="str">
        <x:v>Post-launch</x:v>
      </x:c>
      <x:c r="G90" s="36" t="str">
        <x:v>Ausencia, degradación o incumplimiento de los controles definidos para data subject request.</x:v>
      </x:c>
      <x:c r="H90" s="36" t="str">
        <x:v>No se puede localizar/borrar/exportar dato</x:v>
      </x:c>
      <x:c r="I90" s="36" t="str">
        <x:v>Puede afectar a User rights, bloquear un gate, causar retrabajo, pérdida de datos/confianza o interrupción operativa.</x:v>
      </x:c>
      <x:c r="J90" s="38" t="n">
        <x:v>2</x:v>
      </x:c>
      <x:c r="K90" s="38" t="n">
        <x:v>4</x:v>
      </x:c>
      <x:c r="L90" s="38" t="n">
        <x:f>J90*K90</x:f>
        <x:v>8</x:v>
      </x:c>
      <x:c r="M90" s="27" t="str">
        <x:f>IF(L90&gt;=20,"CRITICAL",IF(L90&gt;=12,"HIGH",IF(L90&gt;=6,"MEDIUM","LOW")))</x:f>
        <x:v>MEDIUM</x:v>
      </x:c>
      <x:c r="N90" s="27" t="str">
        <x:v>MEDIUM</x:v>
      </x:c>
      <x:c r="O90" s="27" t="str">
        <x:v>MODERATE</x:v>
      </x:c>
      <x:c r="P90" s="36" t="str">
        <x:v>Minimización, consentimiento, propósito, retención, acceso y borrado.</x:v>
      </x:c>
      <x:c r="Q90" s="27" t="str">
        <x:v>PARTIAL</x:v>
      </x:c>
      <x:c r="R90" s="27" t="str">
        <x:v>MITIGATE</x:v>
      </x:c>
      <x:c r="S90" s="36" t="str">
        <x:v>No recopilar hasta justificar; reducir campos, retención y terceros.</x:v>
      </x:c>
      <x:c r="T90" s="38" t="n">
        <x:v>2</x:v>
      </x:c>
      <x:c r="U90" s="38" t="n">
        <x:v>4</x:v>
      </x:c>
      <x:c r="V90" s="38" t="n">
        <x:f>T90*U90</x:f>
        <x:v>8</x:v>
      </x:c>
      <x:c r="W90" s="27" t="str">
        <x:f>IF(V90&gt;=20,"CRITICAL",IF(V90&gt;=12,"HIGH",IF(V90&gt;=6,"MEDIUM","LOW")))</x:f>
        <x:v>MEDIUM</x:v>
      </x:c>
      <x:c r="X90" s="27" t="str">
        <x:v>ZERO</x:v>
      </x:c>
      <x:c r="Y90" s="27" t="str">
        <x:f>IF(X90="ZERO",IF(V90=0,"WITHIN TOLERANCE","OUTSIDE TOLERANCE"),IF(X90="LOW",IF(V90&lt;=4,"WITHIN TOLERANCE","OUTSIDE TOLERANCE"),IF(X90="MODERATE",IF(V90&lt;=9,"WITHIN TOLERANCE","OUTSIDE TOLERANCE"),IF(X90="HIGH",IF(V90&lt;=16,"WITHIN TOLERANCE","OUTSIDE TOLERANCE"),"REVIEW"))))</x:f>
        <x:v>OUTSIDE TOLERANCE</x:v>
      </x:c>
      <x:c r="Z90" s="36" t="str">
        <x:v>Privacy / Engineering</x:v>
      </x:c>
      <x:c r="AA90" s="36" t="str">
        <x:v>Legal / Production</x:v>
      </x:c>
      <x:c r="AB90" s="36" t="str">
        <x:v>Solicitud sin procedimiento</x:v>
      </x:c>
      <x:c r="AC90" s="36" t="str">
        <x:v>Umbral: evidencia positiva, tendencia adversa o gate bloqueado.</x:v>
      </x:c>
      <x:c r="AD90" s="36" t="str">
        <x:v>Suspender colección y preservar logs mínimos de investigación.</x:v>
      </x:c>
      <x:c r="AE90" s="36" t="str">
        <x:v>Eliminar o corregir datos, actualizar avisos y validar configuración.</x:v>
      </x:c>
      <x:c r="AF90" s="27" t="str">
        <x:v>BIA-09</x:v>
      </x:c>
      <x:c r="AG90" s="27" t="str">
        <x:v>PB-09</x:v>
      </x:c>
      <x:c r="AH90" s="27" t="str">
        <x:v>TA-PRI-004</x:v>
      </x:c>
      <x:c r="AI90" s="36" t="str">
        <x:v>23, 24, 25, 26, 27, 28, 31</x:v>
      </x:c>
      <x:c r="AJ90" s="36" t="str">
        <x:v>Requisitos distribuidos en TDD, Steam, legal, QA y marketing</x:v>
      </x:c>
      <x:c r="AK90" s="27" t="str">
        <x:v>OPEN</x:v>
      </x:c>
      <x:c r="AL90" s="27" t="str">
        <x:v>MONTHLY</x:v>
      </x:c>
      <x:c r="AM90" s="40" t="str">
        <x:v>2026-07-01</x:v>
      </x:c>
      <x:c r="AN90" s="40" t="str">
        <x:v>2026-07-31</x:v>
      </x:c>
      <x:c r="AO90" s="27" t="str">
        <x:v>UNVERIFIED</x:v>
      </x:c>
      <x:c r="AP90" s="36" t="str">
        <x:v>Registro inicial consolidado; validar owner, controles y residual.</x:v>
      </x:c>
      <x:c r="AQ90" s="27" t="n">
        <x:f>IF(OR(M90="CRITICAL",W90="CRITICAL",Y90="OUTSIDE TOLERANCE",AK90="ESCALATED",AK90="ACCEPTANCE REQUESTED"),1,0)</x:f>
        <x:v>1</x:v>
      </x:c>
    </x:row>
    <x:row r="91">
      <x:c r="A91" s="27" t="str">
        <x:v>R-PRI-005</x:v>
      </x:c>
      <x:c r="B91" s="36" t="str">
        <x:v>Privacy &amp; Telemetry</x:v>
      </x:c>
      <x:c r="C91" s="36" t="str">
        <x:v>Crash logs</x:v>
      </x:c>
      <x:c r="D91" s="36" t="str">
        <x:v>Existe el riesgo de que ocurra lo siguiente: Crash report contiene información sensible.</x:v>
      </x:c>
      <x:c r="E91" s="36" t="str">
        <x:v>Diagnostics</x:v>
      </x:c>
      <x:c r="F91" s="36" t="str">
        <x:v>Release/Post-launch</x:v>
      </x:c>
      <x:c r="G91" s="36" t="str">
        <x:v>Ausencia, degradación o incumplimiento de los controles definidos para crash logs.</x:v>
      </x:c>
      <x:c r="H91" s="36" t="str">
        <x:v>Crash report contiene información sensible</x:v>
      </x:c>
      <x:c r="I91" s="36" t="str">
        <x:v>Puede afectar a Diagnostics, bloquear un gate, causar retrabajo, pérdida de datos/confianza o interrupción operativa.</x:v>
      </x:c>
      <x:c r="J91" s="38" t="n">
        <x:v>3</x:v>
      </x:c>
      <x:c r="K91" s="38" t="n">
        <x:v>4</x:v>
      </x:c>
      <x:c r="L91" s="38" t="n">
        <x:f>J91*K91</x:f>
        <x:v>12</x:v>
      </x:c>
      <x:c r="M91" s="27" t="str">
        <x:f>IF(L91&gt;=20,"CRITICAL",IF(L91&gt;=12,"HIGH",IF(L91&gt;=6,"MEDIUM","LOW")))</x:f>
        <x:v>HIGH</x:v>
      </x:c>
      <x:c r="N91" s="27" t="str">
        <x:v>FAST</x:v>
      </x:c>
      <x:c r="O91" s="27" t="str">
        <x:v>HARD</x:v>
      </x:c>
      <x:c r="P91" s="36" t="str">
        <x:v>Minimización, consentimiento, propósito, retención, acceso y borrado.</x:v>
      </x:c>
      <x:c r="Q91" s="27" t="str">
        <x:v>PARTIAL</x:v>
      </x:c>
      <x:c r="R91" s="27" t="str">
        <x:v>MITIGATE</x:v>
      </x:c>
      <x:c r="S91" s="36" t="str">
        <x:v>No recopilar hasta justificar; reducir campos, retención y terceros.</x:v>
      </x:c>
      <x:c r="T91" s="38" t="n">
        <x:v>3</x:v>
      </x:c>
      <x:c r="U91" s="38" t="n">
        <x:v>4</x:v>
      </x:c>
      <x:c r="V91" s="38" t="n">
        <x:f>T91*U91</x:f>
        <x:v>12</x:v>
      </x:c>
      <x:c r="W91" s="27" t="str">
        <x:f>IF(V91&gt;=20,"CRITICAL",IF(V91&gt;=12,"HIGH",IF(V91&gt;=6,"MEDIUM","LOW")))</x:f>
        <x:v>HIGH</x:v>
      </x:c>
      <x:c r="X91" s="27" t="str">
        <x:v>ZERO</x:v>
      </x:c>
      <x:c r="Y91" s="27" t="str">
        <x:f>IF(X91="ZERO",IF(V91=0,"WITHIN TOLERANCE","OUTSIDE TOLERANCE"),IF(X91="LOW",IF(V91&lt;=4,"WITHIN TOLERANCE","OUTSIDE TOLERANCE"),IF(X91="MODERATE",IF(V91&lt;=9,"WITHIN TOLERANCE","OUTSIDE TOLERANCE"),IF(X91="HIGH",IF(V91&lt;=16,"WITHIN TOLERANCE","OUTSIDE TOLERANCE"),"REVIEW"))))</x:f>
        <x:v>OUTSIDE TOLERANCE</x:v>
      </x:c>
      <x:c r="Z91" s="36" t="str">
        <x:v>Privacy / Engineering</x:v>
      </x:c>
      <x:c r="AA91" s="36" t="str">
        <x:v>Legal / Production</x:v>
      </x:c>
      <x:c r="AB91" s="36" t="str">
        <x:v>Log review positivo</x:v>
      </x:c>
      <x:c r="AC91" s="36" t="str">
        <x:v>Umbral: evidencia positiva, tendencia adversa o gate bloqueado.</x:v>
      </x:c>
      <x:c r="AD91" s="36" t="str">
        <x:v>Suspender colección y preservar logs mínimos de investigación.</x:v>
      </x:c>
      <x:c r="AE91" s="36" t="str">
        <x:v>Eliminar o corregir datos, actualizar avisos y validar configuración.</x:v>
      </x:c>
      <x:c r="AF91" s="27" t="str">
        <x:v>BIA-09</x:v>
      </x:c>
      <x:c r="AG91" s="27" t="str">
        <x:v>PB-09</x:v>
      </x:c>
      <x:c r="AH91" s="27" t="str">
        <x:v>TA-PRI-005</x:v>
      </x:c>
      <x:c r="AI91" s="36" t="str">
        <x:v>23, 24, 25, 26, 27, 28, 31</x:v>
      </x:c>
      <x:c r="AJ91" s="36" t="str">
        <x:v>Requisitos distribuidos en TDD, Steam, legal, QA y marketing</x:v>
      </x:c>
      <x:c r="AK91" s="27" t="str">
        <x:v>OPEN</x:v>
      </x:c>
      <x:c r="AL91" s="27" t="str">
        <x:v>WEEKLY</x:v>
      </x:c>
      <x:c r="AM91" s="40" t="str">
        <x:v>2026-07-01</x:v>
      </x:c>
      <x:c r="AN91" s="40" t="str">
        <x:v>2026-07-08</x:v>
      </x:c>
      <x:c r="AO91" s="27" t="str">
        <x:v>UNVERIFIED</x:v>
      </x:c>
      <x:c r="AP91" s="36" t="str">
        <x:v>Registro inicial consolidado; validar owner, controles y residual.</x:v>
      </x:c>
      <x:c r="AQ91" s="27" t="n">
        <x:f>IF(OR(M91="CRITICAL",W91="CRITICAL",Y91="OUTSIDE TOLERANCE",AK91="ESCALATED",AK91="ACCEPTANCE REQUESTED"),1,0)</x:f>
        <x:v>1</x:v>
      </x:c>
    </x:row>
    <x:row r="92">
      <x:c r="A92" s="27" t="str">
        <x:v>R-PRI-006</x:v>
      </x:c>
      <x:c r="B92" s="36" t="str">
        <x:v>Privacy &amp; Telemetry</x:v>
      </x:c>
      <x:c r="C92" s="36" t="str">
        <x:v>Newsletter/community</x:v>
      </x:c>
      <x:c r="D92" s="36" t="str">
        <x:v>Existe el riesgo de que ocurra lo siguiente: Datos de comunidad se gestionan sin aviso/opt-out.</x:v>
      </x:c>
      <x:c r="E92" s="36" t="str">
        <x:v>Marketing data</x:v>
      </x:c>
      <x:c r="F92" s="36" t="str">
        <x:v>Marketing</x:v>
      </x:c>
      <x:c r="G92" s="36" t="str">
        <x:v>Ausencia, degradación o incumplimiento de los controles definidos para newsletter/community.</x:v>
      </x:c>
      <x:c r="H92" s="36" t="str">
        <x:v>Datos de comunidad se gestionan sin aviso/opt-out</x:v>
      </x:c>
      <x:c r="I92" s="36" t="str">
        <x:v>Puede afectar a Marketing data, bloquear un gate, causar retrabajo, pérdida de datos/confianza o interrupción operativa.</x:v>
      </x:c>
      <x:c r="J92" s="38" t="n">
        <x:v>2</x:v>
      </x:c>
      <x:c r="K92" s="38" t="n">
        <x:v>4</x:v>
      </x:c>
      <x:c r="L92" s="38" t="n">
        <x:f>J92*K92</x:f>
        <x:v>8</x:v>
      </x:c>
      <x:c r="M92" s="27" t="str">
        <x:f>IF(L92&gt;=20,"CRITICAL",IF(L92&gt;=12,"HIGH",IF(L92&gt;=6,"MEDIUM","LOW")))</x:f>
        <x:v>MEDIUM</x:v>
      </x:c>
      <x:c r="N92" s="27" t="str">
        <x:v>MEDIUM</x:v>
      </x:c>
      <x:c r="O92" s="27" t="str">
        <x:v>MODERATE</x:v>
      </x:c>
      <x:c r="P92" s="36" t="str">
        <x:v>Minimización, consentimiento, propósito, retención, acceso y borrado.</x:v>
      </x:c>
      <x:c r="Q92" s="27" t="str">
        <x:v>PARTIAL</x:v>
      </x:c>
      <x:c r="R92" s="27" t="str">
        <x:v>MITIGATE</x:v>
      </x:c>
      <x:c r="S92" s="36" t="str">
        <x:v>No recopilar hasta justificar; reducir campos, retención y terceros.</x:v>
      </x:c>
      <x:c r="T92" s="38" t="n">
        <x:v>2</x:v>
      </x:c>
      <x:c r="U92" s="38" t="n">
        <x:v>4</x:v>
      </x:c>
      <x:c r="V92" s="38" t="n">
        <x:f>T92*U92</x:f>
        <x:v>8</x:v>
      </x:c>
      <x:c r="W92" s="27" t="str">
        <x:f>IF(V92&gt;=20,"CRITICAL",IF(V92&gt;=12,"HIGH",IF(V92&gt;=6,"MEDIUM","LOW")))</x:f>
        <x:v>MEDIUM</x:v>
      </x:c>
      <x:c r="X92" s="27" t="str">
        <x:v>ZERO</x:v>
      </x:c>
      <x:c r="Y92" s="27" t="str">
        <x:f>IF(X92="ZERO",IF(V92=0,"WITHIN TOLERANCE","OUTSIDE TOLERANCE"),IF(X92="LOW",IF(V92&lt;=4,"WITHIN TOLERANCE","OUTSIDE TOLERANCE"),IF(X92="MODERATE",IF(V92&lt;=9,"WITHIN TOLERANCE","OUTSIDE TOLERANCE"),IF(X92="HIGH",IF(V92&lt;=16,"WITHIN TOLERANCE","OUTSIDE TOLERANCE"),"REVIEW"))))</x:f>
        <x:v>OUTSIDE TOLERANCE</x:v>
      </x:c>
      <x:c r="Z92" s="36" t="str">
        <x:v>Privacy / Engineering</x:v>
      </x:c>
      <x:c r="AA92" s="36" t="str">
        <x:v>Legal / Production</x:v>
      </x:c>
      <x:c r="AB92" s="36" t="str">
        <x:v>Canal se abre antes de política</x:v>
      </x:c>
      <x:c r="AC92" s="36" t="str">
        <x:v>Umbral: evidencia positiva, tendencia adversa o gate bloqueado.</x:v>
      </x:c>
      <x:c r="AD92" s="36" t="str">
        <x:v>Suspender colección y preservar logs mínimos de investigación.</x:v>
      </x:c>
      <x:c r="AE92" s="36" t="str">
        <x:v>Eliminar o corregir datos, actualizar avisos y validar configuración.</x:v>
      </x:c>
      <x:c r="AF92" s="27" t="str">
        <x:v>BIA-09</x:v>
      </x:c>
      <x:c r="AG92" s="27" t="str">
        <x:v>PB-09</x:v>
      </x:c>
      <x:c r="AH92" s="27" t="str">
        <x:v>TA-PRI-006</x:v>
      </x:c>
      <x:c r="AI92" s="36" t="str">
        <x:v>23, 24, 25, 26, 27, 28, 31</x:v>
      </x:c>
      <x:c r="AJ92" s="36" t="str">
        <x:v>Requisitos distribuidos en TDD, Steam, legal, QA y marketing</x:v>
      </x:c>
      <x:c r="AK92" s="27" t="str">
        <x:v>OPEN</x:v>
      </x:c>
      <x:c r="AL92" s="27" t="str">
        <x:v>MONTHLY</x:v>
      </x:c>
      <x:c r="AM92" s="40" t="str">
        <x:v>2026-07-01</x:v>
      </x:c>
      <x:c r="AN92" s="40" t="str">
        <x:v>2026-07-31</x:v>
      </x:c>
      <x:c r="AO92" s="27" t="str">
        <x:v>UNVERIFIED</x:v>
      </x:c>
      <x:c r="AP92" s="36" t="str">
        <x:v>Registro inicial consolidado; validar owner, controles y residual.</x:v>
      </x:c>
      <x:c r="AQ92" s="27" t="n">
        <x:f>IF(OR(M92="CRITICAL",W92="CRITICAL",Y92="OUTSIDE TOLERANCE",AK92="ESCALATED",AK92="ACCEPTANCE REQUESTED"),1,0)</x:f>
        <x:v>1</x:v>
      </x:c>
    </x:row>
    <x:row r="93">
      <x:c r="A93" s="27" t="str">
        <x:v>R-LEG-001</x:v>
      </x:c>
      <x:c r="B93" s="36" t="str">
        <x:v>Legal, IP &amp; Compliance</x:v>
      </x:c>
      <x:c r="C93" s="36" t="str">
        <x:v>Trademark clearance</x:v>
      </x:c>
      <x:c r="D93" s="36" t="str">
        <x:v>Existe el riesgo de que ocurra lo siguiente: Título o VRM Games entra en conflicto con tercero.</x:v>
      </x:c>
      <x:c r="E93" s="36" t="str">
        <x:v>Brand</x:v>
      </x:c>
      <x:c r="F93" s="36" t="str">
        <x:v>Marketing/Release</x:v>
      </x:c>
      <x:c r="G93" s="36" t="str">
        <x:v>Ausencia, degradación o incumplimiento de los controles definidos para trademark clearance.</x:v>
      </x:c>
      <x:c r="H93" s="36" t="str">
        <x:v>Título o VRM Games entra en conflicto con tercero</x:v>
      </x:c>
      <x:c r="I93" s="36" t="str">
        <x:v>Puede afectar a Brand, bloquear un gate, causar retrabajo, pérdida de datos/confianza o interrupción operativa.</x:v>
      </x:c>
      <x:c r="J93" s="38" t="n">
        <x:v>3</x:v>
      </x:c>
      <x:c r="K93" s="38" t="n">
        <x:v>5</x:v>
      </x:c>
      <x:c r="L93" s="38" t="n">
        <x:f>J93*K93</x:f>
        <x:v>15</x:v>
      </x:c>
      <x:c r="M93" s="27" t="str">
        <x:f>IF(L93&gt;=20,"CRITICAL",IF(L93&gt;=12,"HIGH",IF(L93&gt;=6,"MEDIUM","LOW")))</x:f>
        <x:v>HIGH</x:v>
      </x:c>
      <x:c r="N93" s="27" t="str">
        <x:v>MEDIUM</x:v>
      </x:c>
      <x:c r="O93" s="27" t="str">
        <x:v>MODERATE</x:v>
      </x:c>
      <x:c r="P93" s="36" t="str">
        <x:v>Registro de licencias, provenance, clearance y claims condicionados a evidencia.</x:v>
      </x:c>
      <x:c r="Q93" s="27" t="str">
        <x:v>PARTIAL</x:v>
      </x:c>
      <x:c r="R93" s="27" t="str">
        <x:v>MITIGATE</x:v>
      </x:c>
      <x:c r="S93" s="36" t="str">
        <x:v>Obtener permiso, sustituir asset/copy, limitar claim o retirar distribución.</x:v>
      </x:c>
      <x:c r="T93" s="38" t="n">
        <x:v>3</x:v>
      </x:c>
      <x:c r="U93" s="38" t="n">
        <x:v>5</x:v>
      </x:c>
      <x:c r="V93" s="38" t="n">
        <x:f>T93*U93</x:f>
        <x:v>15</x:v>
      </x:c>
      <x:c r="W93" s="27" t="str">
        <x:f>IF(V93&gt;=20,"CRITICAL",IF(V93&gt;=12,"HIGH",IF(V93&gt;=6,"MEDIUM","LOW")))</x:f>
        <x:v>HIGH</x:v>
      </x:c>
      <x:c r="X93" s="27" t="str">
        <x:v>ZERO</x:v>
      </x:c>
      <x:c r="Y93" s="27" t="str">
        <x:f>IF(X93="ZERO",IF(V93=0,"WITHIN TOLERANCE","OUTSIDE TOLERANCE"),IF(X93="LOW",IF(V93&lt;=4,"WITHIN TOLERANCE","OUTSIDE TOLERANCE"),IF(X93="MODERATE",IF(V93&lt;=9,"WITHIN TOLERANCE","OUTSIDE TOLERANCE"),IF(X93="HIGH",IF(V93&lt;=16,"WITHIN TOLERANCE","OUTSIDE TOLERANCE"),"REVIEW"))))</x:f>
        <x:v>OUTSIDE TOLERANCE</x:v>
      </x:c>
      <x:c r="Z93" s="36" t="str">
        <x:v>Legal / Project Owner</x:v>
      </x:c>
      <x:c r="AA93" s="36" t="str">
        <x:v>Production</x:v>
      </x:c>
      <x:c r="AB93" s="36" t="str">
        <x:v>Búsqueda o reclamación negativa</x:v>
      </x:c>
      <x:c r="AC93" s="36" t="str">
        <x:v>Umbral: evidencia positiva, tendencia adversa o gate bloqueado.</x:v>
      </x:c>
      <x:c r="AD93" s="36" t="str">
        <x:v>Detener publicación o uso del elemento afectado.</x:v>
      </x:c>
      <x:c r="AE93" s="36" t="str">
        <x:v>Sustituir, actualizar credits/notices y reconstruir paquete.</x:v>
      </x:c>
      <x:c r="AF93" s="27" t="str">
        <x:v>BIA-10</x:v>
      </x:c>
      <x:c r="AG93" s="27" t="str">
        <x:v>PB-10</x:v>
      </x:c>
      <x:c r="AH93" s="27" t="str">
        <x:v>TA-LEG-001</x:v>
      </x:c>
      <x:c r="AI93" s="36" t="str">
        <x:v>17, 18, 19, 21, 22, 23, 24, 26, 28, 29, 31</x:v>
      </x:c>
      <x:c r="AJ93" s="36" t="str">
        <x:v>Legal/Credits/Licenses v0.3–v0.6 y provenance de assets</x:v>
      </x:c>
      <x:c r="AK93" s="27" t="str">
        <x:v>OPEN</x:v>
      </x:c>
      <x:c r="AL93" s="27" t="str">
        <x:v>MONTHLY</x:v>
      </x:c>
      <x:c r="AM93" s="40" t="str">
        <x:v>2026-07-01</x:v>
      </x:c>
      <x:c r="AN93" s="40" t="str">
        <x:v>2026-07-31</x:v>
      </x:c>
      <x:c r="AO93" s="27" t="str">
        <x:v>UNVERIFIED</x:v>
      </x:c>
      <x:c r="AP93" s="36" t="str">
        <x:v>Registro inicial consolidado; validar owner, controles y residual.</x:v>
      </x:c>
      <x:c r="AQ93" s="27" t="n">
        <x:f>IF(OR(M93="CRITICAL",W93="CRITICAL",Y93="OUTSIDE TOLERANCE",AK93="ESCALATED",AK93="ACCEPTANCE REQUESTED"),1,0)</x:f>
        <x:v>1</x:v>
      </x:c>
    </x:row>
    <x:row r="94">
      <x:c r="A94" s="27" t="str">
        <x:v>R-LEG-002</x:v>
      </x:c>
      <x:c r="B94" s="36" t="str">
        <x:v>Legal, IP &amp; Compliance</x:v>
      </x:c>
      <x:c r="C94" s="36" t="str">
        <x:v>Asset license</x:v>
      </x:c>
      <x:c r="D94" s="36" t="str">
        <x:v>Existe el riesgo de que ocurra lo siguiente: Asset carece de licencia/provenance suficiente.</x:v>
      </x:c>
      <x:c r="E94" s="36" t="str">
        <x:v>Game content</x:v>
      </x:c>
      <x:c r="F94" s="36" t="str">
        <x:v>All</x:v>
      </x:c>
      <x:c r="G94" s="36" t="str">
        <x:v>Ausencia, degradación o incumplimiento de los controles definidos para asset license.</x:v>
      </x:c>
      <x:c r="H94" s="36" t="str">
        <x:v>Asset carece de licencia/provenance suficiente</x:v>
      </x:c>
      <x:c r="I94" s="36" t="str">
        <x:v>Puede afectar a Game content, bloquear un gate, causar retrabajo, pérdida de datos/confianza o interrupción operativa.</x:v>
      </x:c>
      <x:c r="J94" s="38" t="n">
        <x:v>3</x:v>
      </x:c>
      <x:c r="K94" s="38" t="n">
        <x:v>5</x:v>
      </x:c>
      <x:c r="L94" s="38" t="n">
        <x:f>J94*K94</x:f>
        <x:v>15</x:v>
      </x:c>
      <x:c r="M94" s="27" t="str">
        <x:f>IF(L94&gt;=20,"CRITICAL",IF(L94&gt;=12,"HIGH",IF(L94&gt;=6,"MEDIUM","LOW")))</x:f>
        <x:v>HIGH</x:v>
      </x:c>
      <x:c r="N94" s="27" t="str">
        <x:v>FAST</x:v>
      </x:c>
      <x:c r="O94" s="27" t="str">
        <x:v>HARD</x:v>
      </x:c>
      <x:c r="P94" s="36" t="str">
        <x:v>Registro de licencias, provenance, clearance y claims condicionados a evidencia.</x:v>
      </x:c>
      <x:c r="Q94" s="27" t="str">
        <x:v>PARTIAL</x:v>
      </x:c>
      <x:c r="R94" s="27" t="str">
        <x:v>MITIGATE</x:v>
      </x:c>
      <x:c r="S94" s="36" t="str">
        <x:v>Obtener permiso, sustituir asset/copy, limitar claim o retirar distribución.</x:v>
      </x:c>
      <x:c r="T94" s="38" t="n">
        <x:v>3</x:v>
      </x:c>
      <x:c r="U94" s="38" t="n">
        <x:v>5</x:v>
      </x:c>
      <x:c r="V94" s="38" t="n">
        <x:f>T94*U94</x:f>
        <x:v>15</x:v>
      </x:c>
      <x:c r="W94" s="27" t="str">
        <x:f>IF(V94&gt;=20,"CRITICAL",IF(V94&gt;=12,"HIGH",IF(V94&gt;=6,"MEDIUM","LOW")))</x:f>
        <x:v>HIGH</x:v>
      </x:c>
      <x:c r="X94" s="27" t="str">
        <x:v>ZERO</x:v>
      </x:c>
      <x:c r="Y94" s="27" t="str">
        <x:f>IF(X94="ZERO",IF(V94=0,"WITHIN TOLERANCE","OUTSIDE TOLERANCE"),IF(X94="LOW",IF(V94&lt;=4,"WITHIN TOLERANCE","OUTSIDE TOLERANCE"),IF(X94="MODERATE",IF(V94&lt;=9,"WITHIN TOLERANCE","OUTSIDE TOLERANCE"),IF(X94="HIGH",IF(V94&lt;=16,"WITHIN TOLERANCE","OUTSIDE TOLERANCE"),"REVIEW"))))</x:f>
        <x:v>OUTSIDE TOLERANCE</x:v>
      </x:c>
      <x:c r="Z94" s="36" t="str">
        <x:v>Legal / Project Owner</x:v>
      </x:c>
      <x:c r="AA94" s="36" t="str">
        <x:v>Production</x:v>
      </x:c>
      <x:c r="AB94" s="36" t="str">
        <x:v>Registro 23 incompleto</x:v>
      </x:c>
      <x:c r="AC94" s="36" t="str">
        <x:v>Umbral: evidencia positiva, tendencia adversa o gate bloqueado.</x:v>
      </x:c>
      <x:c r="AD94" s="36" t="str">
        <x:v>Detener publicación o uso del elemento afectado.</x:v>
      </x:c>
      <x:c r="AE94" s="36" t="str">
        <x:v>Sustituir, actualizar credits/notices y reconstruir paquete.</x:v>
      </x:c>
      <x:c r="AF94" s="27" t="str">
        <x:v>BIA-10</x:v>
      </x:c>
      <x:c r="AG94" s="27" t="str">
        <x:v>PB-10</x:v>
      </x:c>
      <x:c r="AH94" s="27" t="str">
        <x:v>TA-LEG-002</x:v>
      </x:c>
      <x:c r="AI94" s="36" t="str">
        <x:v>17, 18, 19, 21, 22, 23, 24, 26, 28, 29, 31</x:v>
      </x:c>
      <x:c r="AJ94" s="36" t="str">
        <x:v>Legal/Credits/Licenses v0.3–v0.6 y provenance de assets</x:v>
      </x:c>
      <x:c r="AK94" s="27" t="str">
        <x:v>OPEN</x:v>
      </x:c>
      <x:c r="AL94" s="27" t="str">
        <x:v>WEEKLY</x:v>
      </x:c>
      <x:c r="AM94" s="40" t="str">
        <x:v>2026-07-01</x:v>
      </x:c>
      <x:c r="AN94" s="40" t="str">
        <x:v>2026-07-08</x:v>
      </x:c>
      <x:c r="AO94" s="27" t="str">
        <x:v>UNVERIFIED</x:v>
      </x:c>
      <x:c r="AP94" s="36" t="str">
        <x:v>Registro inicial consolidado; validar owner, controles y residual.</x:v>
      </x:c>
      <x:c r="AQ94" s="27" t="n">
        <x:f>IF(OR(M94="CRITICAL",W94="CRITICAL",Y94="OUTSIDE TOLERANCE",AK94="ESCALATED",AK94="ACCEPTANCE REQUESTED"),1,0)</x:f>
        <x:v>1</x:v>
      </x:c>
    </x:row>
    <x:row r="95">
      <x:c r="A95" s="27" t="str">
        <x:v>R-LEG-003</x:v>
      </x:c>
      <x:c r="B95" s="36" t="str">
        <x:v>Legal, IP &amp; Compliance</x:v>
      </x:c>
      <x:c r="C95" s="36" t="str">
        <x:v>Music/SFX rights</x:v>
      </x:c>
      <x:c r="D95" s="36" t="str">
        <x:v>Existe el riesgo de que ocurra lo siguiente: Audio final no permite distribución comercial.</x:v>
      </x:c>
      <x:c r="E95" s="36" t="str">
        <x:v>Audio / release</x:v>
      </x:c>
      <x:c r="F95" s="36" t="str">
        <x:v>Release</x:v>
      </x:c>
      <x:c r="G95" s="36" t="str">
        <x:v>Ausencia, degradación o incumplimiento de los controles definidos para music/sfx rights.</x:v>
      </x:c>
      <x:c r="H95" s="36" t="str">
        <x:v>Audio final no permite distribución comercial</x:v>
      </x:c>
      <x:c r="I95" s="36" t="str">
        <x:v>Puede afectar a Audio / release, bloquear un gate, causar retrabajo, pérdida de datos/confianza o interrupción operativa.</x:v>
      </x:c>
      <x:c r="J95" s="38" t="n">
        <x:v>3</x:v>
      </x:c>
      <x:c r="K95" s="38" t="n">
        <x:v>5</x:v>
      </x:c>
      <x:c r="L95" s="38" t="n">
        <x:f>J95*K95</x:f>
        <x:v>15</x:v>
      </x:c>
      <x:c r="M95" s="27" t="str">
        <x:f>IF(L95&gt;=20,"CRITICAL",IF(L95&gt;=12,"HIGH",IF(L95&gt;=6,"MEDIUM","LOW")))</x:f>
        <x:v>HIGH</x:v>
      </x:c>
      <x:c r="N95" s="27" t="str">
        <x:v>FAST</x:v>
      </x:c>
      <x:c r="O95" s="27" t="str">
        <x:v>HARD</x:v>
      </x:c>
      <x:c r="P95" s="36" t="str">
        <x:v>Registro de licencias, provenance, clearance y claims condicionados a evidencia.</x:v>
      </x:c>
      <x:c r="Q95" s="27" t="str">
        <x:v>PARTIAL</x:v>
      </x:c>
      <x:c r="R95" s="27" t="str">
        <x:v>MITIGATE</x:v>
      </x:c>
      <x:c r="S95" s="36" t="str">
        <x:v>Obtener permiso, sustituir asset/copy, limitar claim o retirar distribución.</x:v>
      </x:c>
      <x:c r="T95" s="38" t="n">
        <x:v>3</x:v>
      </x:c>
      <x:c r="U95" s="38" t="n">
        <x:v>5</x:v>
      </x:c>
      <x:c r="V95" s="38" t="n">
        <x:f>T95*U95</x:f>
        <x:v>15</x:v>
      </x:c>
      <x:c r="W95" s="27" t="str">
        <x:f>IF(V95&gt;=20,"CRITICAL",IF(V95&gt;=12,"HIGH",IF(V95&gt;=6,"MEDIUM","LOW")))</x:f>
        <x:v>HIGH</x:v>
      </x:c>
      <x:c r="X95" s="27" t="str">
        <x:v>ZERO</x:v>
      </x:c>
      <x:c r="Y95" s="27" t="str">
        <x:f>IF(X95="ZERO",IF(V95=0,"WITHIN TOLERANCE","OUTSIDE TOLERANCE"),IF(X95="LOW",IF(V95&lt;=4,"WITHIN TOLERANCE","OUTSIDE TOLERANCE"),IF(X95="MODERATE",IF(V95&lt;=9,"WITHIN TOLERANCE","OUTSIDE TOLERANCE"),IF(X95="HIGH",IF(V95&lt;=16,"WITHIN TOLERANCE","OUTSIDE TOLERANCE"),"REVIEW"))))</x:f>
        <x:v>OUTSIDE TOLERANCE</x:v>
      </x:c>
      <x:c r="Z95" s="36" t="str">
        <x:v>Legal / Project Owner</x:v>
      </x:c>
      <x:c r="AA95" s="36" t="str">
        <x:v>Production</x:v>
      </x:c>
      <x:c r="AB95" s="36" t="str">
        <x:v>Licencia incompatible/ausente</x:v>
      </x:c>
      <x:c r="AC95" s="36" t="str">
        <x:v>Umbral: evidencia positiva, tendencia adversa o gate bloqueado.</x:v>
      </x:c>
      <x:c r="AD95" s="36" t="str">
        <x:v>Detener publicación o uso del elemento afectado.</x:v>
      </x:c>
      <x:c r="AE95" s="36" t="str">
        <x:v>Sustituir, actualizar credits/notices y reconstruir paquete.</x:v>
      </x:c>
      <x:c r="AF95" s="27" t="str">
        <x:v>BIA-10</x:v>
      </x:c>
      <x:c r="AG95" s="27" t="str">
        <x:v>PB-10</x:v>
      </x:c>
      <x:c r="AH95" s="27" t="str">
        <x:v>TA-LEG-003</x:v>
      </x:c>
      <x:c r="AI95" s="36" t="str">
        <x:v>17, 18, 19, 21, 22, 23, 24, 26, 28, 29, 31</x:v>
      </x:c>
      <x:c r="AJ95" s="36" t="str">
        <x:v>Legal/Credits/Licenses v0.3–v0.6 y provenance de assets</x:v>
      </x:c>
      <x:c r="AK95" s="27" t="str">
        <x:v>OPEN</x:v>
      </x:c>
      <x:c r="AL95" s="27" t="str">
        <x:v>WEEKLY</x:v>
      </x:c>
      <x:c r="AM95" s="40" t="str">
        <x:v>2026-07-01</x:v>
      </x:c>
      <x:c r="AN95" s="40" t="str">
        <x:v>2026-07-08</x:v>
      </x:c>
      <x:c r="AO95" s="27" t="str">
        <x:v>UNVERIFIED</x:v>
      </x:c>
      <x:c r="AP95" s="36" t="str">
        <x:v>Registro inicial consolidado; validar owner, controles y residual.</x:v>
      </x:c>
      <x:c r="AQ95" s="27" t="n">
        <x:f>IF(OR(M95="CRITICAL",W95="CRITICAL",Y95="OUTSIDE TOLERANCE",AK95="ESCALATED",AK95="ACCEPTANCE REQUESTED"),1,0)</x:f>
        <x:v>1</x:v>
      </x:c>
    </x:row>
    <x:row r="96">
      <x:c r="A96" s="27" t="str">
        <x:v>R-LEG-004</x:v>
      </x:c>
      <x:c r="B96" s="36" t="str">
        <x:v>Legal, IP &amp; Compliance</x:v>
      </x:c>
      <x:c r="C96" s="36" t="str">
        <x:v>Font license</x:v>
      </x:c>
      <x:c r="D96" s="36" t="str">
        <x:v>Existe el riesgo de que ocurra lo siguiente: Fuente UI no autoriza uso/redistribución.</x:v>
      </x:c>
      <x:c r="E96" s="36" t="str">
        <x:v>UI / release</x:v>
      </x:c>
      <x:c r="F96" s="36" t="str">
        <x:v>Release</x:v>
      </x:c>
      <x:c r="G96" s="36" t="str">
        <x:v>Ausencia, degradación o incumplimiento de los controles definidos para font license.</x:v>
      </x:c>
      <x:c r="H96" s="36" t="str">
        <x:v>Fuente UI no autoriza uso/redistribución</x:v>
      </x:c>
      <x:c r="I96" s="36" t="str">
        <x:v>Puede afectar a UI / release, bloquear un gate, causar retrabajo, pérdida de datos/confianza o interrupción operativa.</x:v>
      </x:c>
      <x:c r="J96" s="38" t="n">
        <x:v>3</x:v>
      </x:c>
      <x:c r="K96" s="38" t="n">
        <x:v>4</x:v>
      </x:c>
      <x:c r="L96" s="38" t="n">
        <x:f>J96*K96</x:f>
        <x:v>12</x:v>
      </x:c>
      <x:c r="M96" s="27" t="str">
        <x:f>IF(L96&gt;=20,"CRITICAL",IF(L96&gt;=12,"HIGH",IF(L96&gt;=6,"MEDIUM","LOW")))</x:f>
        <x:v>HIGH</x:v>
      </x:c>
      <x:c r="N96" s="27" t="str">
        <x:v>FAST</x:v>
      </x:c>
      <x:c r="O96" s="27" t="str">
        <x:v>HARD</x:v>
      </x:c>
      <x:c r="P96" s="36" t="str">
        <x:v>Registro de licencias, provenance, clearance y claims condicionados a evidencia.</x:v>
      </x:c>
      <x:c r="Q96" s="27" t="str">
        <x:v>PARTIAL</x:v>
      </x:c>
      <x:c r="R96" s="27" t="str">
        <x:v>MITIGATE</x:v>
      </x:c>
      <x:c r="S96" s="36" t="str">
        <x:v>Obtener permiso, sustituir asset/copy, limitar claim o retirar distribución.</x:v>
      </x:c>
      <x:c r="T96" s="38" t="n">
        <x:v>3</x:v>
      </x:c>
      <x:c r="U96" s="38" t="n">
        <x:v>4</x:v>
      </x:c>
      <x:c r="V96" s="38" t="n">
        <x:f>T96*U96</x:f>
        <x:v>12</x:v>
      </x:c>
      <x:c r="W96" s="27" t="str">
        <x:f>IF(V96&gt;=20,"CRITICAL",IF(V96&gt;=12,"HIGH",IF(V96&gt;=6,"MEDIUM","LOW")))</x:f>
        <x:v>HIGH</x:v>
      </x:c>
      <x:c r="X96" s="27" t="str">
        <x:v>ZERO</x:v>
      </x:c>
      <x:c r="Y96" s="27" t="str">
        <x:f>IF(X96="ZERO",IF(V96=0,"WITHIN TOLERANCE","OUTSIDE TOLERANCE"),IF(X96="LOW",IF(V96&lt;=4,"WITHIN TOLERANCE","OUTSIDE TOLERANCE"),IF(X96="MODERATE",IF(V96&lt;=9,"WITHIN TOLERANCE","OUTSIDE TOLERANCE"),IF(X96="HIGH",IF(V96&lt;=16,"WITHIN TOLERANCE","OUTSIDE TOLERANCE"),"REVIEW"))))</x:f>
        <x:v>OUTSIDE TOLERANCE</x:v>
      </x:c>
      <x:c r="Z96" s="36" t="str">
        <x:v>Legal / Project Owner</x:v>
      </x:c>
      <x:c r="AA96" s="36" t="str">
        <x:v>Production</x:v>
      </x:c>
      <x:c r="AB96" s="36" t="str">
        <x:v>Fuente final sin notice</x:v>
      </x:c>
      <x:c r="AC96" s="36" t="str">
        <x:v>Umbral: evidencia positiva, tendencia adversa o gate bloqueado.</x:v>
      </x:c>
      <x:c r="AD96" s="36" t="str">
        <x:v>Detener publicación o uso del elemento afectado.</x:v>
      </x:c>
      <x:c r="AE96" s="36" t="str">
        <x:v>Sustituir, actualizar credits/notices y reconstruir paquete.</x:v>
      </x:c>
      <x:c r="AF96" s="27" t="str">
        <x:v>BIA-10</x:v>
      </x:c>
      <x:c r="AG96" s="27" t="str">
        <x:v>PB-10</x:v>
      </x:c>
      <x:c r="AH96" s="27" t="str">
        <x:v>TA-LEG-004</x:v>
      </x:c>
      <x:c r="AI96" s="36" t="str">
        <x:v>17, 18, 19, 21, 22, 23, 24, 26, 28, 29, 31</x:v>
      </x:c>
      <x:c r="AJ96" s="36" t="str">
        <x:v>Legal/Credits/Licenses v0.3–v0.6 y provenance de assets</x:v>
      </x:c>
      <x:c r="AK96" s="27" t="str">
        <x:v>OPEN</x:v>
      </x:c>
      <x:c r="AL96" s="27" t="str">
        <x:v>WEEKLY</x:v>
      </x:c>
      <x:c r="AM96" s="40" t="str">
        <x:v>2026-07-01</x:v>
      </x:c>
      <x:c r="AN96" s="40" t="str">
        <x:v>2026-07-08</x:v>
      </x:c>
      <x:c r="AO96" s="27" t="str">
        <x:v>UNVERIFIED</x:v>
      </x:c>
      <x:c r="AP96" s="36" t="str">
        <x:v>Registro inicial consolidado; validar owner, controles y residual.</x:v>
      </x:c>
      <x:c r="AQ96" s="27" t="n">
        <x:f>IF(OR(M96="CRITICAL",W96="CRITICAL",Y96="OUTSIDE TOLERANCE",AK96="ESCALATED",AK96="ACCEPTANCE REQUESTED"),1,0)</x:f>
        <x:v>1</x:v>
      </x:c>
    </x:row>
    <x:row r="97">
      <x:c r="A97" s="27" t="str">
        <x:v>R-LEG-005</x:v>
      </x:c>
      <x:c r="B97" s="36" t="str">
        <x:v>Legal, IP &amp; Compliance</x:v>
      </x:c>
      <x:c r="C97" s="36" t="str">
        <x:v>Third-party notices</x:v>
      </x:c>
      <x:c r="D97" s="36" t="str">
        <x:v>Existe el riesgo de que ocurra lo siguiente: Notices o credits están incompletos.</x:v>
      </x:c>
      <x:c r="E97" s="36" t="str">
        <x:v>Compliance</x:v>
      </x:c>
      <x:c r="F97" s="36" t="str">
        <x:v>Release</x:v>
      </x:c>
      <x:c r="G97" s="36" t="str">
        <x:v>Ausencia, degradación o incumplimiento de los controles definidos para third-party notices.</x:v>
      </x:c>
      <x:c r="H97" s="36" t="str">
        <x:v>Notices o credits están incompletos</x:v>
      </x:c>
      <x:c r="I97" s="36" t="str">
        <x:v>Puede afectar a Compliance, bloquear un gate, causar retrabajo, pérdida de datos/confianza o interrupción operativa.</x:v>
      </x:c>
      <x:c r="J97" s="38" t="n">
        <x:v>3</x:v>
      </x:c>
      <x:c r="K97" s="38" t="n">
        <x:v>4</x:v>
      </x:c>
      <x:c r="L97" s="38" t="n">
        <x:f>J97*K97</x:f>
        <x:v>12</x:v>
      </x:c>
      <x:c r="M97" s="27" t="str">
        <x:f>IF(L97&gt;=20,"CRITICAL",IF(L97&gt;=12,"HIGH",IF(L97&gt;=6,"MEDIUM","LOW")))</x:f>
        <x:v>HIGH</x:v>
      </x:c>
      <x:c r="N97" s="27" t="str">
        <x:v>MEDIUM</x:v>
      </x:c>
      <x:c r="O97" s="27" t="str">
        <x:v>MODERATE</x:v>
      </x:c>
      <x:c r="P97" s="36" t="str">
        <x:v>Registro de licencias, provenance, clearance y claims condicionados a evidencia.</x:v>
      </x:c>
      <x:c r="Q97" s="27" t="str">
        <x:v>PARTIAL</x:v>
      </x:c>
      <x:c r="R97" s="27" t="str">
        <x:v>MITIGATE</x:v>
      </x:c>
      <x:c r="S97" s="36" t="str">
        <x:v>Obtener permiso, sustituir asset/copy, limitar claim o retirar distribución.</x:v>
      </x:c>
      <x:c r="T97" s="38" t="n">
        <x:v>3</x:v>
      </x:c>
      <x:c r="U97" s="38" t="n">
        <x:v>4</x:v>
      </x:c>
      <x:c r="V97" s="38" t="n">
        <x:f>T97*U97</x:f>
        <x:v>12</x:v>
      </x:c>
      <x:c r="W97" s="27" t="str">
        <x:f>IF(V97&gt;=20,"CRITICAL",IF(V97&gt;=12,"HIGH",IF(V97&gt;=6,"MEDIUM","LOW")))</x:f>
        <x:v>HIGH</x:v>
      </x:c>
      <x:c r="X97" s="27" t="str">
        <x:v>ZERO</x:v>
      </x:c>
      <x:c r="Y97" s="27" t="str">
        <x:f>IF(X97="ZERO",IF(V97=0,"WITHIN TOLERANCE","OUTSIDE TOLERANCE"),IF(X97="LOW",IF(V97&lt;=4,"WITHIN TOLERANCE","OUTSIDE TOLERANCE"),IF(X97="MODERATE",IF(V97&lt;=9,"WITHIN TOLERANCE","OUTSIDE TOLERANCE"),IF(X97="HIGH",IF(V97&lt;=16,"WITHIN TOLERANCE","OUTSIDE TOLERANCE"),"REVIEW"))))</x:f>
        <x:v>OUTSIDE TOLERANCE</x:v>
      </x:c>
      <x:c r="Z97" s="36" t="str">
        <x:v>Legal / Project Owner</x:v>
      </x:c>
      <x:c r="AA97" s="36" t="str">
        <x:v>Production</x:v>
      </x:c>
      <x:c r="AB97" s="36" t="str">
        <x:v>SBOM/licencias no reconciliados</x:v>
      </x:c>
      <x:c r="AC97" s="36" t="str">
        <x:v>Umbral: evidencia positiva, tendencia adversa o gate bloqueado.</x:v>
      </x:c>
      <x:c r="AD97" s="36" t="str">
        <x:v>Detener publicación o uso del elemento afectado.</x:v>
      </x:c>
      <x:c r="AE97" s="36" t="str">
        <x:v>Sustituir, actualizar credits/notices y reconstruir paquete.</x:v>
      </x:c>
      <x:c r="AF97" s="27" t="str">
        <x:v>BIA-10</x:v>
      </x:c>
      <x:c r="AG97" s="27" t="str">
        <x:v>PB-10</x:v>
      </x:c>
      <x:c r="AH97" s="27" t="str">
        <x:v>TA-LEG-005</x:v>
      </x:c>
      <x:c r="AI97" s="36" t="str">
        <x:v>17, 18, 19, 21, 22, 23, 24, 26, 28, 29, 31</x:v>
      </x:c>
      <x:c r="AJ97" s="36" t="str">
        <x:v>Legal/Credits/Licenses v0.3–v0.6 y provenance de assets</x:v>
      </x:c>
      <x:c r="AK97" s="27" t="str">
        <x:v>OPEN</x:v>
      </x:c>
      <x:c r="AL97" s="27" t="str">
        <x:v>MONTHLY</x:v>
      </x:c>
      <x:c r="AM97" s="40" t="str">
        <x:v>2026-07-01</x:v>
      </x:c>
      <x:c r="AN97" s="40" t="str">
        <x:v>2026-07-31</x:v>
      </x:c>
      <x:c r="AO97" s="27" t="str">
        <x:v>UNVERIFIED</x:v>
      </x:c>
      <x:c r="AP97" s="36" t="str">
        <x:v>Registro inicial consolidado; validar owner, controles y residual.</x:v>
      </x:c>
      <x:c r="AQ97" s="27" t="n">
        <x:f>IF(OR(M97="CRITICAL",W97="CRITICAL",Y97="OUTSIDE TOLERANCE",AK97="ESCALATED",AK97="ACCEPTANCE REQUESTED"),1,0)</x:f>
        <x:v>1</x:v>
      </x:c>
    </x:row>
    <x:row r="98">
      <x:c r="A98" s="27" t="str">
        <x:v>R-LEG-006</x:v>
      </x:c>
      <x:c r="B98" s="36" t="str">
        <x:v>Legal, IP &amp; Compliance</x:v>
      </x:c>
      <x:c r="C98" s="36" t="str">
        <x:v>Store claims</x:v>
      </x:c>
      <x:c r="D98" s="36" t="str">
        <x:v>Existe el riesgo de que ocurra lo siguiente: Store page realiza claim no demostrable.</x:v>
      </x:c>
      <x:c r="E98" s="36" t="str">
        <x:v>Consumer protection</x:v>
      </x:c>
      <x:c r="F98" s="36" t="str">
        <x:v>Publishing</x:v>
      </x:c>
      <x:c r="G98" s="36" t="str">
        <x:v>Ausencia, degradación o incumplimiento de los controles definidos para store claims.</x:v>
      </x:c>
      <x:c r="H98" s="36" t="str">
        <x:v>Store page realiza claim no demostrable</x:v>
      </x:c>
      <x:c r="I98" s="36" t="str">
        <x:v>Puede afectar a Consumer protection, bloquear un gate, causar retrabajo, pérdida de datos/confianza o interrupción operativa.</x:v>
      </x:c>
      <x:c r="J98" s="38" t="n">
        <x:v>3</x:v>
      </x:c>
      <x:c r="K98" s="38" t="n">
        <x:v>5</x:v>
      </x:c>
      <x:c r="L98" s="38" t="n">
        <x:f>J98*K98</x:f>
        <x:v>15</x:v>
      </x:c>
      <x:c r="M98" s="27" t="str">
        <x:f>IF(L98&gt;=20,"CRITICAL",IF(L98&gt;=12,"HIGH",IF(L98&gt;=6,"MEDIUM","LOW")))</x:f>
        <x:v>HIGH</x:v>
      </x:c>
      <x:c r="N98" s="27" t="str">
        <x:v>FAST</x:v>
      </x:c>
      <x:c r="O98" s="27" t="str">
        <x:v>HARD</x:v>
      </x:c>
      <x:c r="P98" s="36" t="str">
        <x:v>Registro de licencias, provenance, clearance y claims condicionados a evidencia.</x:v>
      </x:c>
      <x:c r="Q98" s="27" t="str">
        <x:v>PARTIAL</x:v>
      </x:c>
      <x:c r="R98" s="27" t="str">
        <x:v>MITIGATE</x:v>
      </x:c>
      <x:c r="S98" s="36" t="str">
        <x:v>Obtener permiso, sustituir asset/copy, limitar claim o retirar distribución.</x:v>
      </x:c>
      <x:c r="T98" s="38" t="n">
        <x:v>3</x:v>
      </x:c>
      <x:c r="U98" s="38" t="n">
        <x:v>5</x:v>
      </x:c>
      <x:c r="V98" s="38" t="n">
        <x:f>T98*U98</x:f>
        <x:v>15</x:v>
      </x:c>
      <x:c r="W98" s="27" t="str">
        <x:f>IF(V98&gt;=20,"CRITICAL",IF(V98&gt;=12,"HIGH",IF(V98&gt;=6,"MEDIUM","LOW")))</x:f>
        <x:v>HIGH</x:v>
      </x:c>
      <x:c r="X98" s="27" t="str">
        <x:v>ZERO</x:v>
      </x:c>
      <x:c r="Y98" s="27" t="str">
        <x:f>IF(X98="ZERO",IF(V98=0,"WITHIN TOLERANCE","OUTSIDE TOLERANCE"),IF(X98="LOW",IF(V98&lt;=4,"WITHIN TOLERANCE","OUTSIDE TOLERANCE"),IF(X98="MODERATE",IF(V98&lt;=9,"WITHIN TOLERANCE","OUTSIDE TOLERANCE"),IF(X98="HIGH",IF(V98&lt;=16,"WITHIN TOLERANCE","OUTSIDE TOLERANCE"),"REVIEW"))))</x:f>
        <x:v>OUTSIDE TOLERANCE</x:v>
      </x:c>
      <x:c r="Z98" s="36" t="str">
        <x:v>Legal / Project Owner</x:v>
      </x:c>
      <x:c r="AA98" s="36" t="str">
        <x:v>Production</x:v>
      </x:c>
      <x:c r="AB98" s="36" t="str">
        <x:v>Claim sin evidence ID</x:v>
      </x:c>
      <x:c r="AC98" s="36" t="str">
        <x:v>Umbral: evidencia positiva, tendencia adversa o gate bloqueado.</x:v>
      </x:c>
      <x:c r="AD98" s="36" t="str">
        <x:v>Detener publicación o uso del elemento afectado.</x:v>
      </x:c>
      <x:c r="AE98" s="36" t="str">
        <x:v>Sustituir, actualizar credits/notices y reconstruir paquete.</x:v>
      </x:c>
      <x:c r="AF98" s="27" t="str">
        <x:v>BIA-10</x:v>
      </x:c>
      <x:c r="AG98" s="27" t="str">
        <x:v>PB-10</x:v>
      </x:c>
      <x:c r="AH98" s="27" t="str">
        <x:v>TA-LEG-006</x:v>
      </x:c>
      <x:c r="AI98" s="36" t="str">
        <x:v>17, 18, 19, 21, 22, 23, 24, 26, 28, 29, 31</x:v>
      </x:c>
      <x:c r="AJ98" s="36" t="str">
        <x:v>Legal/Credits/Licenses v0.3–v0.6 y provenance de assets</x:v>
      </x:c>
      <x:c r="AK98" s="27" t="str">
        <x:v>OPEN</x:v>
      </x:c>
      <x:c r="AL98" s="27" t="str">
        <x:v>WEEKLY</x:v>
      </x:c>
      <x:c r="AM98" s="40" t="str">
        <x:v>2026-07-01</x:v>
      </x:c>
      <x:c r="AN98" s="40" t="str">
        <x:v>2026-07-08</x:v>
      </x:c>
      <x:c r="AO98" s="27" t="str">
        <x:v>UNVERIFIED</x:v>
      </x:c>
      <x:c r="AP98" s="36" t="str">
        <x:v>Registro inicial consolidado; validar owner, controles y residual.</x:v>
      </x:c>
      <x:c r="AQ98" s="27" t="n">
        <x:f>IF(OR(M98="CRITICAL",W98="CRITICAL",Y98="OUTSIDE TOLERANCE",AK98="ESCALATED",AK98="ACCEPTANCE REQUESTED"),1,0)</x:f>
        <x:v>1</x:v>
      </x:c>
    </x:row>
    <x:row r="99">
      <x:c r="A99" s="27" t="str">
        <x:v>R-LEG-007</x:v>
      </x:c>
      <x:c r="B99" s="36" t="str">
        <x:v>Legal, IP &amp; Compliance</x:v>
      </x:c>
      <x:c r="C99" s="36" t="str">
        <x:v>Privacy notice</x:v>
      </x:c>
      <x:c r="D99" s="36" t="str">
        <x:v>Existe el riesgo de que ocurra lo siguiente: Política no refleja prácticas reales.</x:v>
      </x:c>
      <x:c r="E99" s="36" t="str">
        <x:v>Compliance</x:v>
      </x:c>
      <x:c r="F99" s="36" t="str">
        <x:v>Release/Post-launch</x:v>
      </x:c>
      <x:c r="G99" s="36" t="str">
        <x:v>Ausencia, degradación o incumplimiento de los controles definidos para privacy notice.</x:v>
      </x:c>
      <x:c r="H99" s="36" t="str">
        <x:v>Política no refleja prácticas reales</x:v>
      </x:c>
      <x:c r="I99" s="36" t="str">
        <x:v>Puede afectar a Compliance, bloquear un gate, causar retrabajo, pérdida de datos/confianza o interrupción operativa.</x:v>
      </x:c>
      <x:c r="J99" s="38" t="n">
        <x:v>2</x:v>
      </x:c>
      <x:c r="K99" s="38" t="n">
        <x:v>5</x:v>
      </x:c>
      <x:c r="L99" s="38" t="n">
        <x:f>J99*K99</x:f>
        <x:v>10</x:v>
      </x:c>
      <x:c r="M99" s="27" t="str">
        <x:f>IF(L99&gt;=20,"CRITICAL",IF(L99&gt;=12,"HIGH",IF(L99&gt;=6,"MEDIUM","LOW")))</x:f>
        <x:v>MEDIUM</x:v>
      </x:c>
      <x:c r="N99" s="27" t="str">
        <x:v>FAST</x:v>
      </x:c>
      <x:c r="O99" s="27" t="str">
        <x:v>HARD</x:v>
      </x:c>
      <x:c r="P99" s="36" t="str">
        <x:v>Registro de licencias, provenance, clearance y claims condicionados a evidencia.</x:v>
      </x:c>
      <x:c r="Q99" s="27" t="str">
        <x:v>PARTIAL</x:v>
      </x:c>
      <x:c r="R99" s="27" t="str">
        <x:v>MITIGATE</x:v>
      </x:c>
      <x:c r="S99" s="36" t="str">
        <x:v>Obtener permiso, sustituir asset/copy, limitar claim o retirar distribución.</x:v>
      </x:c>
      <x:c r="T99" s="38" t="n">
        <x:v>2</x:v>
      </x:c>
      <x:c r="U99" s="38" t="n">
        <x:v>5</x:v>
      </x:c>
      <x:c r="V99" s="38" t="n">
        <x:f>T99*U99</x:f>
        <x:v>10</x:v>
      </x:c>
      <x:c r="W99" s="27" t="str">
        <x:f>IF(V99&gt;=20,"CRITICAL",IF(V99&gt;=12,"HIGH",IF(V99&gt;=6,"MEDIUM","LOW")))</x:f>
        <x:v>MEDIUM</x:v>
      </x:c>
      <x:c r="X99" s="27" t="str">
        <x:v>ZERO</x:v>
      </x:c>
      <x:c r="Y99" s="27" t="str">
        <x:f>IF(X99="ZERO",IF(V99=0,"WITHIN TOLERANCE","OUTSIDE TOLERANCE"),IF(X99="LOW",IF(V99&lt;=4,"WITHIN TOLERANCE","OUTSIDE TOLERANCE"),IF(X99="MODERATE",IF(V99&lt;=9,"WITHIN TOLERANCE","OUTSIDE TOLERANCE"),IF(X99="HIGH",IF(V99&lt;=16,"WITHIN TOLERANCE","OUTSIDE TOLERANCE"),"REVIEW"))))</x:f>
        <x:v>OUTSIDE TOLERANCE</x:v>
      </x:c>
      <x:c r="Z99" s="36" t="str">
        <x:v>Legal / Project Owner</x:v>
      </x:c>
      <x:c r="AA99" s="36" t="str">
        <x:v>Production</x:v>
      </x:c>
      <x:c r="AB99" s="36" t="str">
        <x:v>Cambio de datos sin update</x:v>
      </x:c>
      <x:c r="AC99" s="36" t="str">
        <x:v>Umbral: evidencia positiva, tendencia adversa o gate bloqueado.</x:v>
      </x:c>
      <x:c r="AD99" s="36" t="str">
        <x:v>Detener publicación o uso del elemento afectado.</x:v>
      </x:c>
      <x:c r="AE99" s="36" t="str">
        <x:v>Sustituir, actualizar credits/notices y reconstruir paquete.</x:v>
      </x:c>
      <x:c r="AF99" s="27" t="str">
        <x:v>BIA-10</x:v>
      </x:c>
      <x:c r="AG99" s="27" t="str">
        <x:v>PB-10</x:v>
      </x:c>
      <x:c r="AH99" s="27" t="str">
        <x:v>TA-LEG-007</x:v>
      </x:c>
      <x:c r="AI99" s="36" t="str">
        <x:v>17, 18, 19, 21, 22, 23, 24, 26, 28, 29, 31</x:v>
      </x:c>
      <x:c r="AJ99" s="36" t="str">
        <x:v>Legal/Credits/Licenses v0.3–v0.6 y provenance de assets</x:v>
      </x:c>
      <x:c r="AK99" s="27" t="str">
        <x:v>OPEN</x:v>
      </x:c>
      <x:c r="AL99" s="27" t="str">
        <x:v>WEEKLY</x:v>
      </x:c>
      <x:c r="AM99" s="40" t="str">
        <x:v>2026-07-01</x:v>
      </x:c>
      <x:c r="AN99" s="40" t="str">
        <x:v>2026-07-08</x:v>
      </x:c>
      <x:c r="AO99" s="27" t="str">
        <x:v>UNVERIFIED</x:v>
      </x:c>
      <x:c r="AP99" s="36" t="str">
        <x:v>Registro inicial consolidado; validar owner, controles y residual.</x:v>
      </x:c>
      <x:c r="AQ99" s="27" t="n">
        <x:f>IF(OR(M99="CRITICAL",W99="CRITICAL",Y99="OUTSIDE TOLERANCE",AK99="ESCALATED",AK99="ACCEPTANCE REQUESTED"),1,0)</x:f>
        <x:v>1</x:v>
      </x:c>
    </x:row>
    <x:row r="100">
      <x:c r="A100" s="27" t="str">
        <x:v>R-LEG-008</x:v>
      </x:c>
      <x:c r="B100" s="36" t="str">
        <x:v>Legal, IP &amp; Compliance</x:v>
      </x:c>
      <x:c r="C100" s="36" t="str">
        <x:v>Regional requirement</x:v>
      </x:c>
      <x:c r="D100" s="36" t="str">
        <x:v>Existe el riesgo de que ocurra lo siguiente: Distribución entra en territorio/requisito no cubierto.</x:v>
      </x:c>
      <x:c r="E100" s="36" t="str">
        <x:v>Commercial compliance</x:v>
      </x:c>
      <x:c r="F100" s="36" t="str">
        <x:v>Release</x:v>
      </x:c>
      <x:c r="G100" s="36" t="str">
        <x:v>Ausencia, degradación o incumplimiento de los controles definidos para regional requirement.</x:v>
      </x:c>
      <x:c r="H100" s="36" t="str">
        <x:v>Distribución entra en territorio/requisito no cubierto</x:v>
      </x:c>
      <x:c r="I100" s="36" t="str">
        <x:v>Puede afectar a Commercial compliance, bloquear un gate, causar retrabajo, pérdida de datos/confianza o interrupción operativa.</x:v>
      </x:c>
      <x:c r="J100" s="38" t="n">
        <x:v>2</x:v>
      </x:c>
      <x:c r="K100" s="38" t="n">
        <x:v>4</x:v>
      </x:c>
      <x:c r="L100" s="38" t="n">
        <x:f>J100*K100</x:f>
        <x:v>8</x:v>
      </x:c>
      <x:c r="M100" s="27" t="str">
        <x:f>IF(L100&gt;=20,"CRITICAL",IF(L100&gt;=12,"HIGH",IF(L100&gt;=6,"MEDIUM","LOW")))</x:f>
        <x:v>MEDIUM</x:v>
      </x:c>
      <x:c r="N100" s="27" t="str">
        <x:v>SLOW</x:v>
      </x:c>
      <x:c r="O100" s="27" t="str">
        <x:v>MODERATE</x:v>
      </x:c>
      <x:c r="P100" s="36" t="str">
        <x:v>Registro de licencias, provenance, clearance y claims condicionados a evidencia.</x:v>
      </x:c>
      <x:c r="Q100" s="27" t="str">
        <x:v>PARTIAL</x:v>
      </x:c>
      <x:c r="R100" s="27" t="str">
        <x:v>MITIGATE</x:v>
      </x:c>
      <x:c r="S100" s="36" t="str">
        <x:v>Obtener permiso, sustituir asset/copy, limitar claim o retirar distribución.</x:v>
      </x:c>
      <x:c r="T100" s="38" t="n">
        <x:v>2</x:v>
      </x:c>
      <x:c r="U100" s="38" t="n">
        <x:v>4</x:v>
      </x:c>
      <x:c r="V100" s="38" t="n">
        <x:f>T100*U100</x:f>
        <x:v>8</x:v>
      </x:c>
      <x:c r="W100" s="27" t="str">
        <x:f>IF(V100&gt;=20,"CRITICAL",IF(V100&gt;=12,"HIGH",IF(V100&gt;=6,"MEDIUM","LOW")))</x:f>
        <x:v>MEDIUM</x:v>
      </x:c>
      <x:c r="X100" s="27" t="str">
        <x:v>ZERO</x:v>
      </x:c>
      <x:c r="Y100" s="27" t="str">
        <x:f>IF(X100="ZERO",IF(V100=0,"WITHIN TOLERANCE","OUTSIDE TOLERANCE"),IF(X100="LOW",IF(V100&lt;=4,"WITHIN TOLERANCE","OUTSIDE TOLERANCE"),IF(X100="MODERATE",IF(V100&lt;=9,"WITHIN TOLERANCE","OUTSIDE TOLERANCE"),IF(X100="HIGH",IF(V100&lt;=16,"WITHIN TOLERANCE","OUTSIDE TOLERANCE"),"REVIEW"))))</x:f>
        <x:v>OUTSIDE TOLERANCE</x:v>
      </x:c>
      <x:c r="Z100" s="36" t="str">
        <x:v>Legal / Project Owner</x:v>
      </x:c>
      <x:c r="AA100" s="36" t="str">
        <x:v>Production</x:v>
      </x:c>
      <x:c r="AB100" s="36" t="str">
        <x:v>Expansión regional no revisada</x:v>
      </x:c>
      <x:c r="AC100" s="36" t="str">
        <x:v>Umbral: evidencia positiva, tendencia adversa o gate bloqueado.</x:v>
      </x:c>
      <x:c r="AD100" s="36" t="str">
        <x:v>Detener publicación o uso del elemento afectado.</x:v>
      </x:c>
      <x:c r="AE100" s="36" t="str">
        <x:v>Sustituir, actualizar credits/notices y reconstruir paquete.</x:v>
      </x:c>
      <x:c r="AF100" s="27" t="str">
        <x:v>BIA-10</x:v>
      </x:c>
      <x:c r="AG100" s="27" t="str">
        <x:v>PB-10</x:v>
      </x:c>
      <x:c r="AH100" s="27" t="str">
        <x:v>TA-LEG-008</x:v>
      </x:c>
      <x:c r="AI100" s="36" t="str">
        <x:v>17, 18, 19, 21, 22, 23, 24, 26, 28, 29, 31</x:v>
      </x:c>
      <x:c r="AJ100" s="36" t="str">
        <x:v>Legal/Credits/Licenses v0.3–v0.6 y provenance de assets</x:v>
      </x:c>
      <x:c r="AK100" s="27" t="str">
        <x:v>OPEN</x:v>
      </x:c>
      <x:c r="AL100" s="27" t="str">
        <x:v>MONTHLY</x:v>
      </x:c>
      <x:c r="AM100" s="40" t="str">
        <x:v>2026-07-01</x:v>
      </x:c>
      <x:c r="AN100" s="40" t="str">
        <x:v>2026-07-31</x:v>
      </x:c>
      <x:c r="AO100" s="27" t="str">
        <x:v>UNVERIFIED</x:v>
      </x:c>
      <x:c r="AP100" s="36" t="str">
        <x:v>Registro inicial consolidado; validar owner, controles y residual.</x:v>
      </x:c>
      <x:c r="AQ100" s="27" t="n">
        <x:f>IF(OR(M100="CRITICAL",W100="CRITICAL",Y100="OUTSIDE TOLERANCE",AK100="ESCALATED",AK100="ACCEPTANCE REQUESTED"),1,0)</x:f>
        <x:v>1</x:v>
      </x:c>
    </x:row>
    <x:row r="101">
      <x:c r="A101" s="27" t="str">
        <x:v>R-PUB-001</x:v>
      </x:c>
      <x:c r="B101" s="36" t="str">
        <x:v>Publishing, Marketing &amp; Reputation</x:v>
      </x:c>
      <x:c r="C101" s="36" t="str">
        <x:v>Premature store</x:v>
      </x:c>
      <x:c r="D101" s="36" t="str">
        <x:v>Existe el riesgo de que ocurra lo siguiente: Steam Coming Soon se publica antes de gates.</x:v>
      </x:c>
      <x:c r="E101" s="36" t="str">
        <x:v>Store presence</x:v>
      </x:c>
      <x:c r="F101" s="36" t="str">
        <x:v>Publishing</x:v>
      </x:c>
      <x:c r="G101" s="36" t="str">
        <x:v>Ausencia, degradación o incumplimiento de los controles definidos para premature store.</x:v>
      </x:c>
      <x:c r="H101" s="36" t="str">
        <x:v>Steam Coming Soon se publica antes de gates</x:v>
      </x:c>
      <x:c r="I101" s="36" t="str">
        <x:v>Puede afectar a Store presence, bloquear un gate, causar retrabajo, pérdida de datos/confianza o interrupción operativa.</x:v>
      </x:c>
      <x:c r="J101" s="38" t="n">
        <x:v>3</x:v>
      </x:c>
      <x:c r="K101" s="38" t="n">
        <x:v>5</x:v>
      </x:c>
      <x:c r="L101" s="38" t="n">
        <x:f>J101*K101</x:f>
        <x:v>15</x:v>
      </x:c>
      <x:c r="M101" s="27" t="str">
        <x:f>IF(L101&gt;=20,"CRITICAL",IF(L101&gt;=12,"HIGH",IF(L101&gt;=6,"MEDIUM","LOW")))</x:f>
        <x:v>HIGH</x:v>
      </x:c>
      <x:c r="N101" s="27" t="str">
        <x:v>FAST</x:v>
      </x:c>
      <x:c r="O101" s="27" t="str">
        <x:v>HARD</x:v>
      </x:c>
      <x:c r="P101" s="36" t="str">
        <x:v>Gates de claims, asset review, calendario, moderación y aprobación de Store.</x:v>
      </x:c>
      <x:c r="Q101" s="27" t="str">
        <x:v>PARTIAL</x:v>
      </x:c>
      <x:c r="R101" s="27" t="str">
        <x:v>MITIGATE</x:v>
      </x:c>
      <x:c r="S101" s="36" t="str">
        <x:v>Alinear mensaje con build, corregir expectativas y preparar respuesta pública.</x:v>
      </x:c>
      <x:c r="T101" s="38" t="n">
        <x:v>3</x:v>
      </x:c>
      <x:c r="U101" s="38" t="n">
        <x:v>5</x:v>
      </x:c>
      <x:c r="V101" s="38" t="n">
        <x:f>T101*U101</x:f>
        <x:v>15</x:v>
      </x:c>
      <x:c r="W101" s="27" t="str">
        <x:f>IF(V101&gt;=20,"CRITICAL",IF(V101&gt;=12,"HIGH",IF(V101&gt;=6,"MEDIUM","LOW")))</x:f>
        <x:v>HIGH</x:v>
      </x:c>
      <x:c r="X101" s="27" t="str">
        <x:v>MODERATE</x:v>
      </x:c>
      <x:c r="Y101" s="27" t="str">
        <x:f>IF(X101="ZERO",IF(V101=0,"WITHIN TOLERANCE","OUTSIDE TOLERANCE"),IF(X101="LOW",IF(V101&lt;=4,"WITHIN TOLERANCE","OUTSIDE TOLERANCE"),IF(X101="MODERATE",IF(V101&lt;=9,"WITHIN TOLERANCE","OUTSIDE TOLERANCE"),IF(X101="HIGH",IF(V101&lt;=16,"WITHIN TOLERANCE","OUTSIDE TOLERANCE"),"REVIEW"))))</x:f>
        <x:v>OUTSIDE TOLERANCE</x:v>
      </x:c>
      <x:c r="Z101" s="36" t="str">
        <x:v>Publishing / Marketing</x:v>
      </x:c>
      <x:c r="AA101" s="36" t="str">
        <x:v>Project Owner</x:v>
      </x:c>
      <x:c r="AB101" s="36" t="str">
        <x:v>Checklist store incompleto</x:v>
      </x:c>
      <x:c r="AC101" s="36" t="str">
        <x:v>Umbral: evidencia positiva, tendencia adversa o gate bloqueado.</x:v>
      </x:c>
      <x:c r="AD101" s="36" t="str">
        <x:v>Pausar campaña/publicación y centralizar comunicación.</x:v>
      </x:c>
      <x:c r="AE101" s="36" t="str">
        <x:v>Publicar corrección transparente, actualizar store/assets y monitorizar impacto.</x:v>
      </x:c>
      <x:c r="AF101" s="27" t="str">
        <x:v>BIA-11</x:v>
      </x:c>
      <x:c r="AG101" s="27" t="str">
        <x:v>PB-11</x:v>
      </x:c>
      <x:c r="AH101" s="27" t="str">
        <x:v>TA-PUB-001</x:v>
      </x:c>
      <x:c r="AI101" s="36" t="str">
        <x:v>23, 24, 25, 27, 28, 29, 30, 31</x:v>
      </x:c>
      <x:c r="AJ101" s="36" t="str">
        <x:v>Steam/Marketing Plans v0.3–v0.6 y requisitos de publicación</x:v>
      </x:c>
      <x:c r="AK101" s="27" t="str">
        <x:v>OPEN</x:v>
      </x:c>
      <x:c r="AL101" s="27" t="str">
        <x:v>WEEKLY</x:v>
      </x:c>
      <x:c r="AM101" s="40" t="str">
        <x:v>2026-07-01</x:v>
      </x:c>
      <x:c r="AN101" s="40" t="str">
        <x:v>2026-07-08</x:v>
      </x:c>
      <x:c r="AO101" s="27" t="str">
        <x:v>UNVERIFIED</x:v>
      </x:c>
      <x:c r="AP101" s="36" t="str">
        <x:v>Registro inicial consolidado; validar owner, controles y residual.</x:v>
      </x:c>
      <x:c r="AQ101" s="27" t="n">
        <x:f>IF(OR(M101="CRITICAL",W101="CRITICAL",Y101="OUTSIDE TOLERANCE",AK101="ESCALATED",AK101="ACCEPTANCE REQUESTED"),1,0)</x:f>
        <x:v>1</x:v>
      </x:c>
    </x:row>
    <x:row r="102">
      <x:c r="A102" s="27" t="str">
        <x:v>R-PUB-002</x:v>
      </x:c>
      <x:c r="B102" s="36" t="str">
        <x:v>Publishing, Marketing &amp; Reputation</x:v>
      </x:c>
      <x:c r="C102" s="36" t="str">
        <x:v>Build mismatch</x:v>
      </x:c>
      <x:c r="D102" s="36" t="str">
        <x:v>Existe el riesgo de que ocurra lo siguiente: Build enviada no corresponde a assets/copy.</x:v>
      </x:c>
      <x:c r="E102" s="36" t="str">
        <x:v>Public expectation</x:v>
      </x:c>
      <x:c r="F102" s="36" t="str">
        <x:v>Release</x:v>
      </x:c>
      <x:c r="G102" s="36" t="str">
        <x:v>Ausencia, degradación o incumplimiento de los controles definidos para build mismatch.</x:v>
      </x:c>
      <x:c r="H102" s="36" t="str">
        <x:v>Build enviada no corresponde a assets/copy</x:v>
      </x:c>
      <x:c r="I102" s="36" t="str">
        <x:v>Puede afectar a Public expectation, bloquear un gate, causar retrabajo, pérdida de datos/confianza o interrupción operativa.</x:v>
      </x:c>
      <x:c r="J102" s="38" t="n">
        <x:v>2</x:v>
      </x:c>
      <x:c r="K102" s="38" t="n">
        <x:v>5</x:v>
      </x:c>
      <x:c r="L102" s="38" t="n">
        <x:f>J102*K102</x:f>
        <x:v>10</x:v>
      </x:c>
      <x:c r="M102" s="27" t="str">
        <x:f>IF(L102&gt;=20,"CRITICAL",IF(L102&gt;=12,"HIGH",IF(L102&gt;=6,"MEDIUM","LOW")))</x:f>
        <x:v>MEDIUM</x:v>
      </x:c>
      <x:c r="N102" s="27" t="str">
        <x:v>FAST</x:v>
      </x:c>
      <x:c r="O102" s="27" t="str">
        <x:v>HARD</x:v>
      </x:c>
      <x:c r="P102" s="36" t="str">
        <x:v>Gates de claims, asset review, calendario, moderación y aprobación de Store.</x:v>
      </x:c>
      <x:c r="Q102" s="27" t="str">
        <x:v>PARTIAL</x:v>
      </x:c>
      <x:c r="R102" s="27" t="str">
        <x:v>MITIGATE</x:v>
      </x:c>
      <x:c r="S102" s="36" t="str">
        <x:v>Alinear mensaje con build, corregir expectativas y preparar respuesta pública.</x:v>
      </x:c>
      <x:c r="T102" s="38" t="n">
        <x:v>2</x:v>
      </x:c>
      <x:c r="U102" s="38" t="n">
        <x:v>5</x:v>
      </x:c>
      <x:c r="V102" s="38" t="n">
        <x:f>T102*U102</x:f>
        <x:v>10</x:v>
      </x:c>
      <x:c r="W102" s="27" t="str">
        <x:f>IF(V102&gt;=20,"CRITICAL",IF(V102&gt;=12,"HIGH",IF(V102&gt;=6,"MEDIUM","LOW")))</x:f>
        <x:v>MEDIUM</x:v>
      </x:c>
      <x:c r="X102" s="27" t="str">
        <x:v>MODERATE</x:v>
      </x:c>
      <x:c r="Y102" s="27" t="str">
        <x:f>IF(X102="ZERO",IF(V102=0,"WITHIN TOLERANCE","OUTSIDE TOLERANCE"),IF(X102="LOW",IF(V102&lt;=4,"WITHIN TOLERANCE","OUTSIDE TOLERANCE"),IF(X102="MODERATE",IF(V102&lt;=9,"WITHIN TOLERANCE","OUTSIDE TOLERANCE"),IF(X102="HIGH",IF(V102&lt;=16,"WITHIN TOLERANCE","OUTSIDE TOLERANCE"),"REVIEW"))))</x:f>
        <x:v>OUTSIDE TOLERANCE</x:v>
      </x:c>
      <x:c r="Z102" s="36" t="str">
        <x:v>Publishing / Marketing</x:v>
      </x:c>
      <x:c r="AA102" s="36" t="str">
        <x:v>Project Owner</x:v>
      </x:c>
      <x:c r="AB102" s="36" t="str">
        <x:v>Build ID/hash no registrado</x:v>
      </x:c>
      <x:c r="AC102" s="36" t="str">
        <x:v>Umbral: evidencia positiva, tendencia adversa o gate bloqueado.</x:v>
      </x:c>
      <x:c r="AD102" s="36" t="str">
        <x:v>Pausar campaña/publicación y centralizar comunicación.</x:v>
      </x:c>
      <x:c r="AE102" s="36" t="str">
        <x:v>Publicar corrección transparente, actualizar store/assets y monitorizar impacto.</x:v>
      </x:c>
      <x:c r="AF102" s="27" t="str">
        <x:v>BIA-11</x:v>
      </x:c>
      <x:c r="AG102" s="27" t="str">
        <x:v>PB-11</x:v>
      </x:c>
      <x:c r="AH102" s="27" t="str">
        <x:v>TA-PUB-002</x:v>
      </x:c>
      <x:c r="AI102" s="36" t="str">
        <x:v>23, 24, 25, 27, 28, 29, 30, 31</x:v>
      </x:c>
      <x:c r="AJ102" s="36" t="str">
        <x:v>Steam/Marketing Plans v0.3–v0.6 y requisitos de publicación</x:v>
      </x:c>
      <x:c r="AK102" s="27" t="str">
        <x:v>OPEN</x:v>
      </x:c>
      <x:c r="AL102" s="27" t="str">
        <x:v>WEEKLY</x:v>
      </x:c>
      <x:c r="AM102" s="40" t="str">
        <x:v>2026-07-01</x:v>
      </x:c>
      <x:c r="AN102" s="40" t="str">
        <x:v>2026-07-08</x:v>
      </x:c>
      <x:c r="AO102" s="27" t="str">
        <x:v>UNVERIFIED</x:v>
      </x:c>
      <x:c r="AP102" s="36" t="str">
        <x:v>Registro inicial consolidado; validar owner, controles y residual.</x:v>
      </x:c>
      <x:c r="AQ102" s="27" t="n">
        <x:f>IF(OR(M102="CRITICAL",W102="CRITICAL",Y102="OUTSIDE TOLERANCE",AK102="ESCALATED",AK102="ACCEPTANCE REQUESTED"),1,0)</x:f>
        <x:v>1</x:v>
      </x:c>
    </x:row>
    <x:row r="103">
      <x:c r="A103" s="27" t="str">
        <x:v>R-PUB-003</x:v>
      </x:c>
      <x:c r="B103" s="36" t="str">
        <x:v>Publishing, Marketing &amp; Reputation</x:v>
      </x:c>
      <x:c r="C103" s="36" t="str">
        <x:v>Overpromise</x:v>
      </x:c>
      <x:c r="D103" s="36" t="str">
        <x:v>Existe el riesgo de que ocurra lo siguiente: Campaña promete sistemas o calidad futura.</x:v>
      </x:c>
      <x:c r="E103" s="36" t="str">
        <x:v>Reputation</x:v>
      </x:c>
      <x:c r="F103" s="36" t="str">
        <x:v>Marketing</x:v>
      </x:c>
      <x:c r="G103" s="36" t="str">
        <x:v>Ausencia, degradación o incumplimiento de los controles definidos para overpromise.</x:v>
      </x:c>
      <x:c r="H103" s="36" t="str">
        <x:v>Campaña promete sistemas o calidad futura</x:v>
      </x:c>
      <x:c r="I103" s="36" t="str">
        <x:v>Puede afectar a Reputation, bloquear un gate, causar retrabajo, pérdida de datos/confianza o interrupción operativa.</x:v>
      </x:c>
      <x:c r="J103" s="38" t="n">
        <x:v>4</x:v>
      </x:c>
      <x:c r="K103" s="38" t="n">
        <x:v>5</x:v>
      </x:c>
      <x:c r="L103" s="38" t="n">
        <x:f>J103*K103</x:f>
        <x:v>20</x:v>
      </x:c>
      <x:c r="M103" s="27" t="str">
        <x:f>IF(L103&gt;=20,"CRITICAL",IF(L103&gt;=12,"HIGH",IF(L103&gt;=6,"MEDIUM","LOW")))</x:f>
        <x:v>CRITICAL</x:v>
      </x:c>
      <x:c r="N103" s="27" t="str">
        <x:v>FAST</x:v>
      </x:c>
      <x:c r="O103" s="27" t="str">
        <x:v>HARD</x:v>
      </x:c>
      <x:c r="P103" s="36" t="str">
        <x:v>Gates de claims, asset review, calendario, moderación y aprobación de Store.</x:v>
      </x:c>
      <x:c r="Q103" s="27" t="str">
        <x:v>PARTIAL</x:v>
      </x:c>
      <x:c r="R103" s="27" t="str">
        <x:v>MITIGATE</x:v>
      </x:c>
      <x:c r="S103" s="36" t="str">
        <x:v>Alinear mensaje con build, corregir expectativas y preparar respuesta pública.</x:v>
      </x:c>
      <x:c r="T103" s="38" t="n">
        <x:v>4</x:v>
      </x:c>
      <x:c r="U103" s="38" t="n">
        <x:v>5</x:v>
      </x:c>
      <x:c r="V103" s="38" t="n">
        <x:f>T103*U103</x:f>
        <x:v>20</x:v>
      </x:c>
      <x:c r="W103" s="27" t="str">
        <x:f>IF(V103&gt;=20,"CRITICAL",IF(V103&gt;=12,"HIGH",IF(V103&gt;=6,"MEDIUM","LOW")))</x:f>
        <x:v>CRITICAL</x:v>
      </x:c>
      <x:c r="X103" s="27" t="str">
        <x:v>MODERATE</x:v>
      </x:c>
      <x:c r="Y103" s="27" t="str">
        <x:f>IF(X103="ZERO",IF(V103=0,"WITHIN TOLERANCE","OUTSIDE TOLERANCE"),IF(X103="LOW",IF(V103&lt;=4,"WITHIN TOLERANCE","OUTSIDE TOLERANCE"),IF(X103="MODERATE",IF(V103&lt;=9,"WITHIN TOLERANCE","OUTSIDE TOLERANCE"),IF(X103="HIGH",IF(V103&lt;=16,"WITHIN TOLERANCE","OUTSIDE TOLERANCE"),"REVIEW"))))</x:f>
        <x:v>OUTSIDE TOLERANCE</x:v>
      </x:c>
      <x:c r="Z103" s="36" t="str">
        <x:v>Publishing / Marketing</x:v>
      </x:c>
      <x:c r="AA103" s="36" t="str">
        <x:v>Project Owner</x:v>
      </x:c>
      <x:c r="AB103" s="36" t="str">
        <x:v>Claim excede build</x:v>
      </x:c>
      <x:c r="AC103" s="36" t="str">
        <x:v>Umbral: evidencia positiva, tendencia adversa o gate bloqueado.</x:v>
      </x:c>
      <x:c r="AD103" s="36" t="str">
        <x:v>Pausar campaña/publicación y centralizar comunicación.</x:v>
      </x:c>
      <x:c r="AE103" s="36" t="str">
        <x:v>Publicar corrección transparente, actualizar store/assets y monitorizar impacto.</x:v>
      </x:c>
      <x:c r="AF103" s="27" t="str">
        <x:v>BIA-11</x:v>
      </x:c>
      <x:c r="AG103" s="27" t="str">
        <x:v>PB-11</x:v>
      </x:c>
      <x:c r="AH103" s="27" t="str">
        <x:v>TA-PUB-003</x:v>
      </x:c>
      <x:c r="AI103" s="36" t="str">
        <x:v>23, 24, 25, 27, 28, 29, 30, 31</x:v>
      </x:c>
      <x:c r="AJ103" s="36" t="str">
        <x:v>Steam/Marketing Plans v0.3–v0.6 y requisitos de publicación</x:v>
      </x:c>
      <x:c r="AK103" s="27" t="str">
        <x:v>OPEN</x:v>
      </x:c>
      <x:c r="AL103" s="27" t="str">
        <x:v>WEEKLY</x:v>
      </x:c>
      <x:c r="AM103" s="40" t="str">
        <x:v>2026-07-01</x:v>
      </x:c>
      <x:c r="AN103" s="40" t="str">
        <x:v>2026-07-08</x:v>
      </x:c>
      <x:c r="AO103" s="27" t="str">
        <x:v>UNVERIFIED</x:v>
      </x:c>
      <x:c r="AP103" s="36" t="str">
        <x:v>Registro inicial consolidado; validar owner, controles y residual.</x:v>
      </x:c>
      <x:c r="AQ103" s="27" t="n">
        <x:f>IF(OR(M103="CRITICAL",W103="CRITICAL",Y103="OUTSIDE TOLERANCE",AK103="ESCALATED",AK103="ACCEPTANCE REQUESTED"),1,0)</x:f>
        <x:v>1</x:v>
      </x:c>
    </x:row>
    <x:row r="104">
      <x:c r="A104" s="27" t="str">
        <x:v>R-PUB-004</x:v>
      </x:c>
      <x:c r="B104" s="36" t="str">
        <x:v>Publishing, Marketing &amp; Reputation</x:v>
      </x:c>
      <x:c r="C104" s="36" t="str">
        <x:v>Community overload</x:v>
      </x:c>
      <x:c r="D104" s="36" t="str">
        <x:v>Existe el riesgo de que ocurra lo siguiente: Canales abiertos superan capacidad de moderación.</x:v>
      </x:c>
      <x:c r="E104" s="36" t="str">
        <x:v>Community</x:v>
      </x:c>
      <x:c r="F104" s="36" t="str">
        <x:v>Marketing/Post-launch</x:v>
      </x:c>
      <x:c r="G104" s="36" t="str">
        <x:v>Ausencia, degradación o incumplimiento de los controles definidos para community overload.</x:v>
      </x:c>
      <x:c r="H104" s="36" t="str">
        <x:v>Canales abiertos superan capacidad de moderación</x:v>
      </x:c>
      <x:c r="I104" s="36" t="str">
        <x:v>Puede afectar a Community, bloquear un gate, causar retrabajo, pérdida de datos/confianza o interrupción operativa.</x:v>
      </x:c>
      <x:c r="J104" s="38" t="n">
        <x:v>4</x:v>
      </x:c>
      <x:c r="K104" s="38" t="n">
        <x:v>3</x:v>
      </x:c>
      <x:c r="L104" s="38" t="n">
        <x:f>J104*K104</x:f>
        <x:v>12</x:v>
      </x:c>
      <x:c r="M104" s="27" t="str">
        <x:f>IF(L104&gt;=20,"CRITICAL",IF(L104&gt;=12,"HIGH",IF(L104&gt;=6,"MEDIUM","LOW")))</x:f>
        <x:v>HIGH</x:v>
      </x:c>
      <x:c r="N104" s="27" t="str">
        <x:v>SLOW</x:v>
      </x:c>
      <x:c r="O104" s="27" t="str">
        <x:v>MODERATE</x:v>
      </x:c>
      <x:c r="P104" s="36" t="str">
        <x:v>Gates de claims, asset review, calendario, moderación y aprobación de Store.</x:v>
      </x:c>
      <x:c r="Q104" s="27" t="str">
        <x:v>PARTIAL</x:v>
      </x:c>
      <x:c r="R104" s="27" t="str">
        <x:v>MITIGATE</x:v>
      </x:c>
      <x:c r="S104" s="36" t="str">
        <x:v>Alinear mensaje con build, corregir expectativas y preparar respuesta pública.</x:v>
      </x:c>
      <x:c r="T104" s="38" t="n">
        <x:v>4</x:v>
      </x:c>
      <x:c r="U104" s="38" t="n">
        <x:v>3</x:v>
      </x:c>
      <x:c r="V104" s="38" t="n">
        <x:f>T104*U104</x:f>
        <x:v>12</x:v>
      </x:c>
      <x:c r="W104" s="27" t="str">
        <x:f>IF(V104&gt;=20,"CRITICAL",IF(V104&gt;=12,"HIGH",IF(V104&gt;=6,"MEDIUM","LOW")))</x:f>
        <x:v>HIGH</x:v>
      </x:c>
      <x:c r="X104" s="27" t="str">
        <x:v>MODERATE</x:v>
      </x:c>
      <x:c r="Y104" s="27" t="str">
        <x:f>IF(X104="ZERO",IF(V104=0,"WITHIN TOLERANCE","OUTSIDE TOLERANCE"),IF(X104="LOW",IF(V104&lt;=4,"WITHIN TOLERANCE","OUTSIDE TOLERANCE"),IF(X104="MODERATE",IF(V104&lt;=9,"WITHIN TOLERANCE","OUTSIDE TOLERANCE"),IF(X104="HIGH",IF(V104&lt;=16,"WITHIN TOLERANCE","OUTSIDE TOLERANCE"),"REVIEW"))))</x:f>
        <x:v>OUTSIDE TOLERANCE</x:v>
      </x:c>
      <x:c r="Z104" s="36" t="str">
        <x:v>Publishing / Marketing</x:v>
      </x:c>
      <x:c r="AA104" s="36" t="str">
        <x:v>Project Owner</x:v>
      </x:c>
      <x:c r="AB104" s="36" t="str">
        <x:v>Response SLA incumplido</x:v>
      </x:c>
      <x:c r="AC104" s="36" t="str">
        <x:v>Umbral: evidencia positiva, tendencia adversa o gate bloqueado.</x:v>
      </x:c>
      <x:c r="AD104" s="36" t="str">
        <x:v>Pausar campaña/publicación y centralizar comunicación.</x:v>
      </x:c>
      <x:c r="AE104" s="36" t="str">
        <x:v>Publicar corrección transparente, actualizar store/assets y monitorizar impacto.</x:v>
      </x:c>
      <x:c r="AF104" s="27" t="str">
        <x:v>BIA-11</x:v>
      </x:c>
      <x:c r="AG104" s="27" t="str">
        <x:v>PB-11</x:v>
      </x:c>
      <x:c r="AH104" s="27" t="str">
        <x:v>TA-PUB-004</x:v>
      </x:c>
      <x:c r="AI104" s="36" t="str">
        <x:v>23, 24, 25, 27, 28, 29, 30, 31</x:v>
      </x:c>
      <x:c r="AJ104" s="36" t="str">
        <x:v>Steam/Marketing Plans v0.3–v0.6 y requisitos de publicación</x:v>
      </x:c>
      <x:c r="AK104" s="27" t="str">
        <x:v>OPEN</x:v>
      </x:c>
      <x:c r="AL104" s="27" t="str">
        <x:v>MONTHLY</x:v>
      </x:c>
      <x:c r="AM104" s="40" t="str">
        <x:v>2026-07-01</x:v>
      </x:c>
      <x:c r="AN104" s="40" t="str">
        <x:v>2026-07-31</x:v>
      </x:c>
      <x:c r="AO104" s="27" t="str">
        <x:v>UNVERIFIED</x:v>
      </x:c>
      <x:c r="AP104" s="36" t="str">
        <x:v>Registro inicial consolidado; validar owner, controles y residual.</x:v>
      </x:c>
      <x:c r="AQ104" s="27" t="n">
        <x:f>IF(OR(M104="CRITICAL",W104="CRITICAL",Y104="OUTSIDE TOLERANCE",AK104="ESCALATED",AK104="ACCEPTANCE REQUESTED"),1,0)</x:f>
        <x:v>1</x:v>
      </x:c>
    </x:row>
    <x:row r="105">
      <x:c r="A105" s="27" t="str">
        <x:v>R-PUB-005</x:v>
      </x:c>
      <x:c r="B105" s="36" t="str">
        <x:v>Publishing, Marketing &amp; Reputation</x:v>
      </x:c>
      <x:c r="C105" s="36" t="str">
        <x:v>Negative reception</x:v>
      </x:c>
      <x:c r="D105" s="36" t="str">
        <x:v>Existe el riesgo de que ocurra lo siguiente: Demo o reveal inmaduro fija percepción adversa.</x:v>
      </x:c>
      <x:c r="E105" s="36" t="str">
        <x:v>Brand</x:v>
      </x:c>
      <x:c r="F105" s="36" t="str">
        <x:v>Marketing</x:v>
      </x:c>
      <x:c r="G105" s="36" t="str">
        <x:v>Ausencia, degradación o incumplimiento de los controles definidos para negative reception.</x:v>
      </x:c>
      <x:c r="H105" s="36" t="str">
        <x:v>Demo o reveal inmaduro fija percepción adversa</x:v>
      </x:c>
      <x:c r="I105" s="36" t="str">
        <x:v>Puede afectar a Brand, bloquear un gate, causar retrabajo, pérdida de datos/confianza o interrupción operativa.</x:v>
      </x:c>
      <x:c r="J105" s="38" t="n">
        <x:v>3</x:v>
      </x:c>
      <x:c r="K105" s="38" t="n">
        <x:v>5</x:v>
      </x:c>
      <x:c r="L105" s="38" t="n">
        <x:f>J105*K105</x:f>
        <x:v>15</x:v>
      </x:c>
      <x:c r="M105" s="27" t="str">
        <x:f>IF(L105&gt;=20,"CRITICAL",IF(L105&gt;=12,"HIGH",IF(L105&gt;=6,"MEDIUM","LOW")))</x:f>
        <x:v>HIGH</x:v>
      </x:c>
      <x:c r="N105" s="27" t="str">
        <x:v>FAST</x:v>
      </x:c>
      <x:c r="O105" s="27" t="str">
        <x:v>HARD</x:v>
      </x:c>
      <x:c r="P105" s="36" t="str">
        <x:v>Gates de claims, asset review, calendario, moderación y aprobación de Store.</x:v>
      </x:c>
      <x:c r="Q105" s="27" t="str">
        <x:v>PARTIAL</x:v>
      </x:c>
      <x:c r="R105" s="27" t="str">
        <x:v>MITIGATE</x:v>
      </x:c>
      <x:c r="S105" s="36" t="str">
        <x:v>Alinear mensaje con build, corregir expectativas y preparar respuesta pública.</x:v>
      </x:c>
      <x:c r="T105" s="38" t="n">
        <x:v>3</x:v>
      </x:c>
      <x:c r="U105" s="38" t="n">
        <x:v>5</x:v>
      </x:c>
      <x:c r="V105" s="38" t="n">
        <x:f>T105*U105</x:f>
        <x:v>15</x:v>
      </x:c>
      <x:c r="W105" s="27" t="str">
        <x:f>IF(V105&gt;=20,"CRITICAL",IF(V105&gt;=12,"HIGH",IF(V105&gt;=6,"MEDIUM","LOW")))</x:f>
        <x:v>HIGH</x:v>
      </x:c>
      <x:c r="X105" s="27" t="str">
        <x:v>MODERATE</x:v>
      </x:c>
      <x:c r="Y105" s="27" t="str">
        <x:f>IF(X105="ZERO",IF(V105=0,"WITHIN TOLERANCE","OUTSIDE TOLERANCE"),IF(X105="LOW",IF(V105&lt;=4,"WITHIN TOLERANCE","OUTSIDE TOLERANCE"),IF(X105="MODERATE",IF(V105&lt;=9,"WITHIN TOLERANCE","OUTSIDE TOLERANCE"),IF(X105="HIGH",IF(V105&lt;=16,"WITHIN TOLERANCE","OUTSIDE TOLERANCE"),"REVIEW"))))</x:f>
        <x:v>OUTSIDE TOLERANCE</x:v>
      </x:c>
      <x:c r="Z105" s="36" t="str">
        <x:v>Publishing / Marketing</x:v>
      </x:c>
      <x:c r="AA105" s="36" t="str">
        <x:v>Project Owner</x:v>
      </x:c>
      <x:c r="AB105" s="36" t="str">
        <x:v>Feedback negativo concentrado</x:v>
      </x:c>
      <x:c r="AC105" s="36" t="str">
        <x:v>Umbral: evidencia positiva, tendencia adversa o gate bloqueado.</x:v>
      </x:c>
      <x:c r="AD105" s="36" t="str">
        <x:v>Pausar campaña/publicación y centralizar comunicación.</x:v>
      </x:c>
      <x:c r="AE105" s="36" t="str">
        <x:v>Publicar corrección transparente, actualizar store/assets y monitorizar impacto.</x:v>
      </x:c>
      <x:c r="AF105" s="27" t="str">
        <x:v>BIA-11</x:v>
      </x:c>
      <x:c r="AG105" s="27" t="str">
        <x:v>PB-11</x:v>
      </x:c>
      <x:c r="AH105" s="27" t="str">
        <x:v>TA-PUB-005</x:v>
      </x:c>
      <x:c r="AI105" s="36" t="str">
        <x:v>23, 24, 25, 27, 28, 29, 30, 31</x:v>
      </x:c>
      <x:c r="AJ105" s="36" t="str">
        <x:v>Steam/Marketing Plans v0.3–v0.6 y requisitos de publicación</x:v>
      </x:c>
      <x:c r="AK105" s="27" t="str">
        <x:v>OPEN</x:v>
      </x:c>
      <x:c r="AL105" s="27" t="str">
        <x:v>WEEKLY</x:v>
      </x:c>
      <x:c r="AM105" s="40" t="str">
        <x:v>2026-07-01</x:v>
      </x:c>
      <x:c r="AN105" s="40" t="str">
        <x:v>2026-07-08</x:v>
      </x:c>
      <x:c r="AO105" s="27" t="str">
        <x:v>UNVERIFIED</x:v>
      </x:c>
      <x:c r="AP105" s="36" t="str">
        <x:v>Registro inicial consolidado; validar owner, controles y residual.</x:v>
      </x:c>
      <x:c r="AQ105" s="27" t="n">
        <x:f>IF(OR(M105="CRITICAL",W105="CRITICAL",Y105="OUTSIDE TOLERANCE",AK105="ESCALATED",AK105="ACCEPTANCE REQUESTED"),1,0)</x:f>
        <x:v>1</x:v>
      </x:c>
    </x:row>
    <x:row r="106">
      <x:c r="A106" s="27" t="str">
        <x:v>R-PUB-006</x:v>
      </x:c>
      <x:c r="B106" s="36" t="str">
        <x:v>Publishing, Marketing &amp; Reputation</x:v>
      </x:c>
      <x:c r="C106" s="36" t="str">
        <x:v>Impersonation</x:v>
      </x:c>
      <x:c r="D106" s="36" t="str">
        <x:v>Existe el riesgo de que ocurra lo siguiente: Tercero suplanta estudio/producto.</x:v>
      </x:c>
      <x:c r="E106" s="36" t="str">
        <x:v>Brand / users</x:v>
      </x:c>
      <x:c r="F106" s="36" t="str">
        <x:v>Marketing/Post-launch</x:v>
      </x:c>
      <x:c r="G106" s="36" t="str">
        <x:v>Ausencia, degradación o incumplimiento de los controles definidos para impersonation.</x:v>
      </x:c>
      <x:c r="H106" s="36" t="str">
        <x:v>Tercero suplanta estudio/producto</x:v>
      </x:c>
      <x:c r="I106" s="36" t="str">
        <x:v>Puede afectar a Brand / users, bloquear un gate, causar retrabajo, pérdida de datos/confianza o interrupción operativa.</x:v>
      </x:c>
      <x:c r="J106" s="38" t="n">
        <x:v>2</x:v>
      </x:c>
      <x:c r="K106" s="38" t="n">
        <x:v>4</x:v>
      </x:c>
      <x:c r="L106" s="38" t="n">
        <x:f>J106*K106</x:f>
        <x:v>8</x:v>
      </x:c>
      <x:c r="M106" s="27" t="str">
        <x:f>IF(L106&gt;=20,"CRITICAL",IF(L106&gt;=12,"HIGH",IF(L106&gt;=6,"MEDIUM","LOW")))</x:f>
        <x:v>MEDIUM</x:v>
      </x:c>
      <x:c r="N106" s="27" t="str">
        <x:v>FAST</x:v>
      </x:c>
      <x:c r="O106" s="27" t="str">
        <x:v>HARD</x:v>
      </x:c>
      <x:c r="P106" s="36" t="str">
        <x:v>Gates de claims, asset review, calendario, moderación y aprobación de Store.</x:v>
      </x:c>
      <x:c r="Q106" s="27" t="str">
        <x:v>PARTIAL</x:v>
      </x:c>
      <x:c r="R106" s="27" t="str">
        <x:v>MITIGATE</x:v>
      </x:c>
      <x:c r="S106" s="36" t="str">
        <x:v>Alinear mensaje con build, corregir expectativas y preparar respuesta pública.</x:v>
      </x:c>
      <x:c r="T106" s="38" t="n">
        <x:v>2</x:v>
      </x:c>
      <x:c r="U106" s="38" t="n">
        <x:v>4</x:v>
      </x:c>
      <x:c r="V106" s="38" t="n">
        <x:f>T106*U106</x:f>
        <x:v>8</x:v>
      </x:c>
      <x:c r="W106" s="27" t="str">
        <x:f>IF(V106&gt;=20,"CRITICAL",IF(V106&gt;=12,"HIGH",IF(V106&gt;=6,"MEDIUM","LOW")))</x:f>
        <x:v>MEDIUM</x:v>
      </x:c>
      <x:c r="X106" s="27" t="str">
        <x:v>MODERATE</x:v>
      </x:c>
      <x:c r="Y106" s="27" t="str">
        <x:f>IF(X106="ZERO",IF(V106=0,"WITHIN TOLERANCE","OUTSIDE TOLERANCE"),IF(X106="LOW",IF(V106&lt;=4,"WITHIN TOLERANCE","OUTSIDE TOLERANCE"),IF(X106="MODERATE",IF(V106&lt;=9,"WITHIN TOLERANCE","OUTSIDE TOLERANCE"),IF(X106="HIGH",IF(V106&lt;=16,"WITHIN TOLERANCE","OUTSIDE TOLERANCE"),"REVIEW"))))</x:f>
        <x:v>WITHIN TOLERANCE</x:v>
      </x:c>
      <x:c r="Z106" s="36" t="str">
        <x:v>Publishing / Marketing</x:v>
      </x:c>
      <x:c r="AA106" s="36" t="str">
        <x:v>Project Owner</x:v>
      </x:c>
      <x:c r="AB106" s="36" t="str">
        <x:v>Cuenta/store falsa</x:v>
      </x:c>
      <x:c r="AC106" s="36" t="str">
        <x:v>Umbral: evidencia positiva, tendencia adversa o gate bloqueado.</x:v>
      </x:c>
      <x:c r="AD106" s="36" t="str">
        <x:v>Pausar campaña/publicación y centralizar comunicación.</x:v>
      </x:c>
      <x:c r="AE106" s="36" t="str">
        <x:v>Publicar corrección transparente, actualizar store/assets y monitorizar impacto.</x:v>
      </x:c>
      <x:c r="AF106" s="27" t="str">
        <x:v>BIA-11</x:v>
      </x:c>
      <x:c r="AG106" s="27" t="str">
        <x:v>PB-11</x:v>
      </x:c>
      <x:c r="AH106" s="27" t="str">
        <x:v>TA-PUB-006</x:v>
      </x:c>
      <x:c r="AI106" s="36" t="str">
        <x:v>23, 24, 25, 27, 28, 29, 30, 31</x:v>
      </x:c>
      <x:c r="AJ106" s="36" t="str">
        <x:v>Steam/Marketing Plans v0.3–v0.6 y requisitos de publicación</x:v>
      </x:c>
      <x:c r="AK106" s="27" t="str">
        <x:v>OPEN</x:v>
      </x:c>
      <x:c r="AL106" s="27" t="str">
        <x:v>WEEKLY</x:v>
      </x:c>
      <x:c r="AM106" s="40" t="str">
        <x:v>2026-07-01</x:v>
      </x:c>
      <x:c r="AN106" s="40" t="str">
        <x:v>2026-07-08</x:v>
      </x:c>
      <x:c r="AO106" s="27" t="str">
        <x:v>UNVERIFIED</x:v>
      </x:c>
      <x:c r="AP106" s="36" t="str">
        <x:v>Registro inicial consolidado; validar owner, controles y residual.</x:v>
      </x:c>
      <x:c r="AQ106" s="27" t="n">
        <x:f>IF(OR(M106="CRITICAL",W106="CRITICAL",Y106="OUTSIDE TOLERANCE",AK106="ESCALATED",AK106="ACCEPTANCE REQUESTED"),1,0)</x:f>
        <x:v>0</x:v>
      </x:c>
    </x:row>
    <x:row r="107">
      <x:c r="A107" s="27" t="str">
        <x:v>R-PUB-007</x:v>
      </x:c>
      <x:c r="B107" s="36" t="str">
        <x:v>Publishing, Marketing &amp; Reputation</x:v>
      </x:c>
      <x:c r="C107" s="36" t="str">
        <x:v>Press leak</x:v>
      </x:c>
      <x:c r="D107" s="36" t="str">
        <x:v>Existe el riesgo de que ocurra lo siguiente: Material no aprobado se distribuye antes de embargo.</x:v>
      </x:c>
      <x:c r="E107" s="36" t="str">
        <x:v>Campaign</x:v>
      </x:c>
      <x:c r="F107" s="36" t="str">
        <x:v>Marketing</x:v>
      </x:c>
      <x:c r="G107" s="36" t="str">
        <x:v>Ausencia, degradación o incumplimiento de los controles definidos para press leak.</x:v>
      </x:c>
      <x:c r="H107" s="36" t="str">
        <x:v>Material no aprobado se distribuye antes de embargo</x:v>
      </x:c>
      <x:c r="I107" s="36" t="str">
        <x:v>Puede afectar a Campaign, bloquear un gate, causar retrabajo, pérdida de datos/confianza o interrupción operativa.</x:v>
      </x:c>
      <x:c r="J107" s="38" t="n">
        <x:v>2</x:v>
      </x:c>
      <x:c r="K107" s="38" t="n">
        <x:v>4</x:v>
      </x:c>
      <x:c r="L107" s="38" t="n">
        <x:f>J107*K107</x:f>
        <x:v>8</x:v>
      </x:c>
      <x:c r="M107" s="27" t="str">
        <x:f>IF(L107&gt;=20,"CRITICAL",IF(L107&gt;=12,"HIGH",IF(L107&gt;=6,"MEDIUM","LOW")))</x:f>
        <x:v>MEDIUM</x:v>
      </x:c>
      <x:c r="N107" s="27" t="str">
        <x:v>FAST</x:v>
      </x:c>
      <x:c r="O107" s="27" t="str">
        <x:v>HARD</x:v>
      </x:c>
      <x:c r="P107" s="36" t="str">
        <x:v>Gates de claims, asset review, calendario, moderación y aprobación de Store.</x:v>
      </x:c>
      <x:c r="Q107" s="27" t="str">
        <x:v>PARTIAL</x:v>
      </x:c>
      <x:c r="R107" s="27" t="str">
        <x:v>MITIGATE</x:v>
      </x:c>
      <x:c r="S107" s="36" t="str">
        <x:v>Alinear mensaje con build, corregir expectativas y preparar respuesta pública.</x:v>
      </x:c>
      <x:c r="T107" s="38" t="n">
        <x:v>2</x:v>
      </x:c>
      <x:c r="U107" s="38" t="n">
        <x:v>4</x:v>
      </x:c>
      <x:c r="V107" s="38" t="n">
        <x:f>T107*U107</x:f>
        <x:v>8</x:v>
      </x:c>
      <x:c r="W107" s="27" t="str">
        <x:f>IF(V107&gt;=20,"CRITICAL",IF(V107&gt;=12,"HIGH",IF(V107&gt;=6,"MEDIUM","LOW")))</x:f>
        <x:v>MEDIUM</x:v>
      </x:c>
      <x:c r="X107" s="27" t="str">
        <x:v>MODERATE</x:v>
      </x:c>
      <x:c r="Y107" s="27" t="str">
        <x:f>IF(X107="ZERO",IF(V107=0,"WITHIN TOLERANCE","OUTSIDE TOLERANCE"),IF(X107="LOW",IF(V107&lt;=4,"WITHIN TOLERANCE","OUTSIDE TOLERANCE"),IF(X107="MODERATE",IF(V107&lt;=9,"WITHIN TOLERANCE","OUTSIDE TOLERANCE"),IF(X107="HIGH",IF(V107&lt;=16,"WITHIN TOLERANCE","OUTSIDE TOLERANCE"),"REVIEW"))))</x:f>
        <x:v>WITHIN TOLERANCE</x:v>
      </x:c>
      <x:c r="Z107" s="36" t="str">
        <x:v>Publishing / Marketing</x:v>
      </x:c>
      <x:c r="AA107" s="36" t="str">
        <x:v>Project Owner</x:v>
      </x:c>
      <x:c r="AB107" s="36" t="str">
        <x:v>Link/asset compartido</x:v>
      </x:c>
      <x:c r="AC107" s="36" t="str">
        <x:v>Umbral: evidencia positiva, tendencia adversa o gate bloqueado.</x:v>
      </x:c>
      <x:c r="AD107" s="36" t="str">
        <x:v>Pausar campaña/publicación y centralizar comunicación.</x:v>
      </x:c>
      <x:c r="AE107" s="36" t="str">
        <x:v>Publicar corrección transparente, actualizar store/assets y monitorizar impacto.</x:v>
      </x:c>
      <x:c r="AF107" s="27" t="str">
        <x:v>BIA-11</x:v>
      </x:c>
      <x:c r="AG107" s="27" t="str">
        <x:v>PB-11</x:v>
      </x:c>
      <x:c r="AH107" s="27" t="str">
        <x:v>TA-PUB-007</x:v>
      </x:c>
      <x:c r="AI107" s="36" t="str">
        <x:v>23, 24, 25, 27, 28, 29, 30, 31</x:v>
      </x:c>
      <x:c r="AJ107" s="36" t="str">
        <x:v>Steam/Marketing Plans v0.3–v0.6 y requisitos de publicación</x:v>
      </x:c>
      <x:c r="AK107" s="27" t="str">
        <x:v>OPEN</x:v>
      </x:c>
      <x:c r="AL107" s="27" t="str">
        <x:v>WEEKLY</x:v>
      </x:c>
      <x:c r="AM107" s="40" t="str">
        <x:v>2026-07-01</x:v>
      </x:c>
      <x:c r="AN107" s="40" t="str">
        <x:v>2026-07-08</x:v>
      </x:c>
      <x:c r="AO107" s="27" t="str">
        <x:v>UNVERIFIED</x:v>
      </x:c>
      <x:c r="AP107" s="36" t="str">
        <x:v>Registro inicial consolidado; validar owner, controles y residual.</x:v>
      </x:c>
      <x:c r="AQ107" s="27" t="n">
        <x:f>IF(OR(M107="CRITICAL",W107="CRITICAL",Y107="OUTSIDE TOLERANCE",AK107="ESCALATED",AK107="ACCEPTANCE REQUESTED"),1,0)</x:f>
        <x:v>0</x:v>
      </x:c>
    </x:row>
    <x:row r="108">
      <x:c r="A108" s="27" t="str">
        <x:v>R-PUB-008</x:v>
      </x:c>
      <x:c r="B108" s="36" t="str">
        <x:v>Publishing, Marketing &amp; Reputation</x:v>
      </x:c>
      <x:c r="C108" s="36" t="str">
        <x:v>Algorithm dependence</x:v>
      </x:c>
      <x:c r="D108" s="36" t="str">
        <x:v>Existe el riesgo de que ocurra lo siguiente: Descubrimiento depende de un único canal.</x:v>
      </x:c>
      <x:c r="E108" s="36" t="str">
        <x:v>Reach</x:v>
      </x:c>
      <x:c r="F108" s="36" t="str">
        <x:v>Marketing</x:v>
      </x:c>
      <x:c r="G108" s="36" t="str">
        <x:v>Ausencia, degradación o incumplimiento de los controles definidos para algorithm dependence.</x:v>
      </x:c>
      <x:c r="H108" s="36" t="str">
        <x:v>Descubrimiento depende de un único canal</x:v>
      </x:c>
      <x:c r="I108" s="36" t="str">
        <x:v>Puede afectar a Reach, bloquear un gate, causar retrabajo, pérdida de datos/confianza o interrupción operativa.</x:v>
      </x:c>
      <x:c r="J108" s="38" t="n">
        <x:v>4</x:v>
      </x:c>
      <x:c r="K108" s="38" t="n">
        <x:v>3</x:v>
      </x:c>
      <x:c r="L108" s="38" t="n">
        <x:f>J108*K108</x:f>
        <x:v>12</x:v>
      </x:c>
      <x:c r="M108" s="27" t="str">
        <x:f>IF(L108&gt;=20,"CRITICAL",IF(L108&gt;=12,"HIGH",IF(L108&gt;=6,"MEDIUM","LOW")))</x:f>
        <x:v>HIGH</x:v>
      </x:c>
      <x:c r="N108" s="27" t="str">
        <x:v>SLOW</x:v>
      </x:c>
      <x:c r="O108" s="27" t="str">
        <x:v>MODERATE</x:v>
      </x:c>
      <x:c r="P108" s="36" t="str">
        <x:v>Gates de claims, asset review, calendario, moderación y aprobación de Store.</x:v>
      </x:c>
      <x:c r="Q108" s="27" t="str">
        <x:v>PARTIAL</x:v>
      </x:c>
      <x:c r="R108" s="27" t="str">
        <x:v>MITIGATE</x:v>
      </x:c>
      <x:c r="S108" s="36" t="str">
        <x:v>Alinear mensaje con build, corregir expectativas y preparar respuesta pública.</x:v>
      </x:c>
      <x:c r="T108" s="38" t="n">
        <x:v>4</x:v>
      </x:c>
      <x:c r="U108" s="38" t="n">
        <x:v>3</x:v>
      </x:c>
      <x:c r="V108" s="38" t="n">
        <x:f>T108*U108</x:f>
        <x:v>12</x:v>
      </x:c>
      <x:c r="W108" s="27" t="str">
        <x:f>IF(V108&gt;=20,"CRITICAL",IF(V108&gt;=12,"HIGH",IF(V108&gt;=6,"MEDIUM","LOW")))</x:f>
        <x:v>HIGH</x:v>
      </x:c>
      <x:c r="X108" s="27" t="str">
        <x:v>MODERATE</x:v>
      </x:c>
      <x:c r="Y108" s="27" t="str">
        <x:f>IF(X108="ZERO",IF(V108=0,"WITHIN TOLERANCE","OUTSIDE TOLERANCE"),IF(X108="LOW",IF(V108&lt;=4,"WITHIN TOLERANCE","OUTSIDE TOLERANCE"),IF(X108="MODERATE",IF(V108&lt;=9,"WITHIN TOLERANCE","OUTSIDE TOLERANCE"),IF(X108="HIGH",IF(V108&lt;=16,"WITHIN TOLERANCE","OUTSIDE TOLERANCE"),"REVIEW"))))</x:f>
        <x:v>OUTSIDE TOLERANCE</x:v>
      </x:c>
      <x:c r="Z108" s="36" t="str">
        <x:v>Publishing / Marketing</x:v>
      </x:c>
      <x:c r="AA108" s="36" t="str">
        <x:v>Project Owner</x:v>
      </x:c>
      <x:c r="AB108" s="36" t="str">
        <x:v>&gt;60% tráfico de una fuente</x:v>
      </x:c>
      <x:c r="AC108" s="36" t="str">
        <x:v>Umbral: evidencia positiva, tendencia adversa o gate bloqueado.</x:v>
      </x:c>
      <x:c r="AD108" s="36" t="str">
        <x:v>Pausar campaña/publicación y centralizar comunicación.</x:v>
      </x:c>
      <x:c r="AE108" s="36" t="str">
        <x:v>Publicar corrección transparente, actualizar store/assets y monitorizar impacto.</x:v>
      </x:c>
      <x:c r="AF108" s="27" t="str">
        <x:v>BIA-11</x:v>
      </x:c>
      <x:c r="AG108" s="27" t="str">
        <x:v>PB-11</x:v>
      </x:c>
      <x:c r="AH108" s="27" t="str">
        <x:v>TA-PUB-008</x:v>
      </x:c>
      <x:c r="AI108" s="36" t="str">
        <x:v>23, 24, 25, 27, 28, 29, 30, 31</x:v>
      </x:c>
      <x:c r="AJ108" s="36" t="str">
        <x:v>Steam/Marketing Plans v0.3–v0.6 y requisitos de publicación</x:v>
      </x:c>
      <x:c r="AK108" s="27" t="str">
        <x:v>OPEN</x:v>
      </x:c>
      <x:c r="AL108" s="27" t="str">
        <x:v>MONTHLY</x:v>
      </x:c>
      <x:c r="AM108" s="40" t="str">
        <x:v>2026-07-01</x:v>
      </x:c>
      <x:c r="AN108" s="40" t="str">
        <x:v>2026-07-31</x:v>
      </x:c>
      <x:c r="AO108" s="27" t="str">
        <x:v>UNVERIFIED</x:v>
      </x:c>
      <x:c r="AP108" s="36" t="str">
        <x:v>Registro inicial consolidado; validar owner, controles y residual.</x:v>
      </x:c>
      <x:c r="AQ108" s="27" t="n">
        <x:f>IF(OR(M108="CRITICAL",W108="CRITICAL",Y108="OUTSIDE TOLERANCE",AK108="ESCALATED",AK108="ACCEPTANCE REQUESTED"),1,0)</x:f>
        <x:v>1</x:v>
      </x:c>
    </x:row>
    <x:row r="109">
      <x:c r="A109" s="27" t="str">
        <x:v>R-ACC-001</x:v>
      </x:c>
      <x:c r="B109" s="36" t="str">
        <x:v>Accessibility &amp; Inclusion</x:v>
      </x:c>
      <x:c r="C109" s="36" t="str">
        <x:v>Keyboard/mouse barrier</x:v>
      </x:c>
      <x:c r="D109" s="36" t="str">
        <x:v>Existe el riesgo de que ocurra lo siguiente: Golden Path requiere interacción no accesible por teclado.</x:v>
      </x:c>
      <x:c r="E109" s="36" t="str">
        <x:v>Input accessibility</x:v>
      </x:c>
      <x:c r="F109" s="36" t="str">
        <x:v>H6/Release</x:v>
      </x:c>
      <x:c r="G109" s="36" t="str">
        <x:v>Ausencia, degradación o incumplimiento de los controles definidos para keyboard/mouse barrier.</x:v>
      </x:c>
      <x:c r="H109" s="36" t="str">
        <x:v>Golden Path requiere interacción no accesible por teclado</x:v>
      </x:c>
      <x:c r="I109" s="36" t="str">
        <x:v>Puede afectar a Input accessibility, bloquear un gate, causar retrabajo, pérdida de datos/confianza o interrupción operativa.</x:v>
      </x:c>
      <x:c r="J109" s="38" t="n">
        <x:v>3</x:v>
      </x:c>
      <x:c r="K109" s="38" t="n">
        <x:v>5</x:v>
      </x:c>
      <x:c r="L109" s="38" t="n">
        <x:f>J109*K109</x:f>
        <x:v>15</x:v>
      </x:c>
      <x:c r="M109" s="27" t="str">
        <x:f>IF(L109&gt;=20,"CRITICAL",IF(L109&gt;=12,"HIGH",IF(L109&gt;=6,"MEDIUM","LOW")))</x:f>
        <x:v>HIGH</x:v>
      </x:c>
      <x:c r="N109" s="27" t="str">
        <x:v>FAST</x:v>
      </x:c>
      <x:c r="O109" s="27" t="str">
        <x:v>HARD</x:v>
      </x:c>
      <x:c r="P109" s="36" t="str">
        <x:v>Diseño multimodal, escalado, navegación, criterios de aceptación y claims por evidencia.</x:v>
      </x:c>
      <x:c r="Q109" s="27" t="str">
        <x:v>PARTIAL</x:v>
      </x:c>
      <x:c r="R109" s="27" t="str">
        <x:v>MITIGATE</x:v>
      </x:c>
      <x:c r="S109" s="36" t="str">
        <x:v>Eliminar barrera, añadir alternativa y probar Golden Path por modalidad.</x:v>
      </x:c>
      <x:c r="T109" s="38" t="n">
        <x:v>3</x:v>
      </x:c>
      <x:c r="U109" s="38" t="n">
        <x:v>5</x:v>
      </x:c>
      <x:c r="V109" s="38" t="n">
        <x:f>T109*U109</x:f>
        <x:v>15</x:v>
      </x:c>
      <x:c r="W109" s="27" t="str">
        <x:f>IF(V109&gt;=20,"CRITICAL",IF(V109&gt;=12,"HIGH",IF(V109&gt;=6,"MEDIUM","LOW")))</x:f>
        <x:v>HIGH</x:v>
      </x:c>
      <x:c r="X109" s="27" t="str">
        <x:v>LOW</x:v>
      </x:c>
      <x:c r="Y109" s="27" t="str">
        <x:f>IF(X109="ZERO",IF(V109=0,"WITHIN TOLERANCE","OUTSIDE TOLERANCE"),IF(X109="LOW",IF(V109&lt;=4,"WITHIN TOLERANCE","OUTSIDE TOLERANCE"),IF(X109="MODERATE",IF(V109&lt;=9,"WITHIN TOLERANCE","OUTSIDE TOLERANCE"),IF(X109="HIGH",IF(V109&lt;=16,"WITHIN TOLERANCE","OUTSIDE TOLERANCE"),"REVIEW"))))</x:f>
        <x:v>OUTSIDE TOLERANCE</x:v>
      </x:c>
      <x:c r="Z109" s="36" t="str">
        <x:v>Accessibility / UX / QA</x:v>
      </x:c>
      <x:c r="AA109" s="36" t="str">
        <x:v>Production</x:v>
      </x:c>
      <x:c r="AB109" s="36" t="str">
        <x:v>Modal/foco no navegable</x:v>
      </x:c>
      <x:c r="AC109" s="36" t="str">
        <x:v>Umbral: evidencia positiva, tendencia adversa o gate bloqueado.</x:v>
      </x:c>
      <x:c r="AD109" s="36" t="str">
        <x:v>Retirar claim o bloquear gate si la barrera impide completar la experiencia.</x:v>
      </x:c>
      <x:c r="AE109" s="36" t="str">
        <x:v>Corregir UI/input/audio/copy y repetir pruebas inclusivas.</x:v>
      </x:c>
      <x:c r="AF109" s="27" t="str">
        <x:v>BIA-12</x:v>
      </x:c>
      <x:c r="AG109" s="27" t="str">
        <x:v>PB-12</x:v>
      </x:c>
      <x:c r="AH109" s="27" t="str">
        <x:v>TA-ACC-001</x:v>
      </x:c>
      <x:c r="AI109" s="36" t="str">
        <x:v>05, 07, 08, 17, 18, 19, 22, 24, 28, 29, 31</x:v>
      </x:c>
      <x:c r="AJ109" s="36" t="str">
        <x:v>UX/UI/GDD/QA/localización/arte/audio distribuidos en v0.3–v0.6</x:v>
      </x:c>
      <x:c r="AK109" s="27" t="str">
        <x:v>OPEN</x:v>
      </x:c>
      <x:c r="AL109" s="27" t="str">
        <x:v>WEEKLY</x:v>
      </x:c>
      <x:c r="AM109" s="40" t="str">
        <x:v>2026-07-01</x:v>
      </x:c>
      <x:c r="AN109" s="40" t="str">
        <x:v>2026-07-08</x:v>
      </x:c>
      <x:c r="AO109" s="27" t="str">
        <x:v>UNVERIFIED</x:v>
      </x:c>
      <x:c r="AP109" s="36" t="str">
        <x:v>Registro inicial consolidado; validar owner, controles y residual.</x:v>
      </x:c>
      <x:c r="AQ109" s="27" t="n">
        <x:f>IF(OR(M109="CRITICAL",W109="CRITICAL",Y109="OUTSIDE TOLERANCE",AK109="ESCALATED",AK109="ACCEPTANCE REQUESTED"),1,0)</x:f>
        <x:v>1</x:v>
      </x:c>
    </x:row>
    <x:row r="110">
      <x:c r="A110" s="27" t="str">
        <x:v>R-ACC-002</x:v>
      </x:c>
      <x:c r="B110" s="36" t="str">
        <x:v>Accessibility &amp; Inclusion</x:v>
      </x:c>
      <x:c r="C110" s="36" t="str">
        <x:v>Controller gap</x:v>
      </x:c>
      <x:c r="D110" s="36" t="str">
        <x:v>Existe el riesgo de que ocurra lo siguiente: Se declara mando completo sin prueba integral.</x:v>
      </x:c>
      <x:c r="E110" s="36" t="str">
        <x:v>Steam claim</x:v>
      </x:c>
      <x:c r="F110" s="36" t="str">
        <x:v>Publishing</x:v>
      </x:c>
      <x:c r="G110" s="36" t="str">
        <x:v>Ausencia, degradación o incumplimiento de los controles definidos para controller gap.</x:v>
      </x:c>
      <x:c r="H110" s="36" t="str">
        <x:v>Se declara mando completo sin prueba integral</x:v>
      </x:c>
      <x:c r="I110" s="36" t="str">
        <x:v>Puede afectar a Steam claim, bloquear un gate, causar retrabajo, pérdida de datos/confianza o interrupción operativa.</x:v>
      </x:c>
      <x:c r="J110" s="38" t="n">
        <x:v>3</x:v>
      </x:c>
      <x:c r="K110" s="38" t="n">
        <x:v>5</x:v>
      </x:c>
      <x:c r="L110" s="38" t="n">
        <x:f>J110*K110</x:f>
        <x:v>15</x:v>
      </x:c>
      <x:c r="M110" s="27" t="str">
        <x:f>IF(L110&gt;=20,"CRITICAL",IF(L110&gt;=12,"HIGH",IF(L110&gt;=6,"MEDIUM","LOW")))</x:f>
        <x:v>HIGH</x:v>
      </x:c>
      <x:c r="N110" s="27" t="str">
        <x:v>FAST</x:v>
      </x:c>
      <x:c r="O110" s="27" t="str">
        <x:v>HARD</x:v>
      </x:c>
      <x:c r="P110" s="36" t="str">
        <x:v>Diseño multimodal, escalado, navegación, criterios de aceptación y claims por evidencia.</x:v>
      </x:c>
      <x:c r="Q110" s="27" t="str">
        <x:v>PARTIAL</x:v>
      </x:c>
      <x:c r="R110" s="27" t="str">
        <x:v>MITIGATE</x:v>
      </x:c>
      <x:c r="S110" s="36" t="str">
        <x:v>Eliminar barrera, añadir alternativa y probar Golden Path por modalidad.</x:v>
      </x:c>
      <x:c r="T110" s="38" t="n">
        <x:v>3</x:v>
      </x:c>
      <x:c r="U110" s="38" t="n">
        <x:v>5</x:v>
      </x:c>
      <x:c r="V110" s="38" t="n">
        <x:f>T110*U110</x:f>
        <x:v>15</x:v>
      </x:c>
      <x:c r="W110" s="27" t="str">
        <x:f>IF(V110&gt;=20,"CRITICAL",IF(V110&gt;=12,"HIGH",IF(V110&gt;=6,"MEDIUM","LOW")))</x:f>
        <x:v>HIGH</x:v>
      </x:c>
      <x:c r="X110" s="27" t="str">
        <x:v>LOW</x:v>
      </x:c>
      <x:c r="Y110" s="27" t="str">
        <x:f>IF(X110="ZERO",IF(V110=0,"WITHIN TOLERANCE","OUTSIDE TOLERANCE"),IF(X110="LOW",IF(V110&lt;=4,"WITHIN TOLERANCE","OUTSIDE TOLERANCE"),IF(X110="MODERATE",IF(V110&lt;=9,"WITHIN TOLERANCE","OUTSIDE TOLERANCE"),IF(X110="HIGH",IF(V110&lt;=16,"WITHIN TOLERANCE","OUTSIDE TOLERANCE"),"REVIEW"))))</x:f>
        <x:v>OUTSIDE TOLERANCE</x:v>
      </x:c>
      <x:c r="Z110" s="36" t="str">
        <x:v>Accessibility / UX / QA</x:v>
      </x:c>
      <x:c r="AA110" s="36" t="str">
        <x:v>Production</x:v>
      </x:c>
      <x:c r="AB110" s="36" t="str">
        <x:v>Claim antes de validation</x:v>
      </x:c>
      <x:c r="AC110" s="36" t="str">
        <x:v>Umbral: evidencia positiva, tendencia adversa o gate bloqueado.</x:v>
      </x:c>
      <x:c r="AD110" s="36" t="str">
        <x:v>Retirar claim o bloquear gate si la barrera impide completar la experiencia.</x:v>
      </x:c>
      <x:c r="AE110" s="36" t="str">
        <x:v>Corregir UI/input/audio/copy y repetir pruebas inclusivas.</x:v>
      </x:c>
      <x:c r="AF110" s="27" t="str">
        <x:v>BIA-12</x:v>
      </x:c>
      <x:c r="AG110" s="27" t="str">
        <x:v>PB-12</x:v>
      </x:c>
      <x:c r="AH110" s="27" t="str">
        <x:v>TA-ACC-002</x:v>
      </x:c>
      <x:c r="AI110" s="36" t="str">
        <x:v>05, 07, 08, 17, 18, 19, 22, 24, 28, 29, 31</x:v>
      </x:c>
      <x:c r="AJ110" s="36" t="str">
        <x:v>UX/UI/GDD/QA/localización/arte/audio distribuidos en v0.3–v0.6</x:v>
      </x:c>
      <x:c r="AK110" s="27" t="str">
        <x:v>OPEN</x:v>
      </x:c>
      <x:c r="AL110" s="27" t="str">
        <x:v>WEEKLY</x:v>
      </x:c>
      <x:c r="AM110" s="40" t="str">
        <x:v>2026-07-01</x:v>
      </x:c>
      <x:c r="AN110" s="40" t="str">
        <x:v>2026-07-08</x:v>
      </x:c>
      <x:c r="AO110" s="27" t="str">
        <x:v>UNVERIFIED</x:v>
      </x:c>
      <x:c r="AP110" s="36" t="str">
        <x:v>Registro inicial consolidado; validar owner, controles y residual.</x:v>
      </x:c>
      <x:c r="AQ110" s="27" t="n">
        <x:f>IF(OR(M110="CRITICAL",W110="CRITICAL",Y110="OUTSIDE TOLERANCE",AK110="ESCALATED",AK110="ACCEPTANCE REQUESTED"),1,0)</x:f>
        <x:v>1</x:v>
      </x:c>
    </x:row>
    <x:row r="111">
      <x:c r="A111" s="27" t="str">
        <x:v>R-ACC-003</x:v>
      </x:c>
      <x:c r="B111" s="36" t="str">
        <x:v>Accessibility &amp; Inclusion</x:v>
      </x:c>
      <x:c r="C111" s="36" t="str">
        <x:v>Color dependence</x:v>
      </x:c>
      <x:c r="D111" s="36" t="str">
        <x:v>Existe el riesgo de que ocurra lo siguiente: Estado crítico depende solo del color.</x:v>
      </x:c>
      <x:c r="E111" s="36" t="str">
        <x:v>Visual accessibility</x:v>
      </x:c>
      <x:c r="F111" s="36" t="str">
        <x:v>All</x:v>
      </x:c>
      <x:c r="G111" s="36" t="str">
        <x:v>Ausencia, degradación o incumplimiento de los controles definidos para color dependence.</x:v>
      </x:c>
      <x:c r="H111" s="36" t="str">
        <x:v>Estado crítico depende solo del color</x:v>
      </x:c>
      <x:c r="I111" s="36" t="str">
        <x:v>Puede afectar a Visual accessibility, bloquear un gate, causar retrabajo, pérdida de datos/confianza o interrupción operativa.</x:v>
      </x:c>
      <x:c r="J111" s="38" t="n">
        <x:v>4</x:v>
      </x:c>
      <x:c r="K111" s="38" t="n">
        <x:v>4</x:v>
      </x:c>
      <x:c r="L111" s="38" t="n">
        <x:f>J111*K111</x:f>
        <x:v>16</x:v>
      </x:c>
      <x:c r="M111" s="27" t="str">
        <x:f>IF(L111&gt;=20,"CRITICAL",IF(L111&gt;=12,"HIGH",IF(L111&gt;=6,"MEDIUM","LOW")))</x:f>
        <x:v>HIGH</x:v>
      </x:c>
      <x:c r="N111" s="27" t="str">
        <x:v>MEDIUM</x:v>
      </x:c>
      <x:c r="O111" s="27" t="str">
        <x:v>MODERATE</x:v>
      </x:c>
      <x:c r="P111" s="36" t="str">
        <x:v>Diseño multimodal, escalado, navegación, criterios de aceptación y claims por evidencia.</x:v>
      </x:c>
      <x:c r="Q111" s="27" t="str">
        <x:v>PARTIAL</x:v>
      </x:c>
      <x:c r="R111" s="27" t="str">
        <x:v>MITIGATE</x:v>
      </x:c>
      <x:c r="S111" s="36" t="str">
        <x:v>Eliminar barrera, añadir alternativa y probar Golden Path por modalidad.</x:v>
      </x:c>
      <x:c r="T111" s="38" t="n">
        <x:v>4</x:v>
      </x:c>
      <x:c r="U111" s="38" t="n">
        <x:v>4</x:v>
      </x:c>
      <x:c r="V111" s="38" t="n">
        <x:f>T111*U111</x:f>
        <x:v>16</x:v>
      </x:c>
      <x:c r="W111" s="27" t="str">
        <x:f>IF(V111&gt;=20,"CRITICAL",IF(V111&gt;=12,"HIGH",IF(V111&gt;=6,"MEDIUM","LOW")))</x:f>
        <x:v>HIGH</x:v>
      </x:c>
      <x:c r="X111" s="27" t="str">
        <x:v>LOW</x:v>
      </x:c>
      <x:c r="Y111" s="27" t="str">
        <x:f>IF(X111="ZERO",IF(V111=0,"WITHIN TOLERANCE","OUTSIDE TOLERANCE"),IF(X111="LOW",IF(V111&lt;=4,"WITHIN TOLERANCE","OUTSIDE TOLERANCE"),IF(X111="MODERATE",IF(V111&lt;=9,"WITHIN TOLERANCE","OUTSIDE TOLERANCE"),IF(X111="HIGH",IF(V111&lt;=16,"WITHIN TOLERANCE","OUTSIDE TOLERANCE"),"REVIEW"))))</x:f>
        <x:v>OUTSIDE TOLERANCE</x:v>
      </x:c>
      <x:c r="Z111" s="36" t="str">
        <x:v>Accessibility / UX / QA</x:v>
      </x:c>
      <x:c r="AA111" s="36" t="str">
        <x:v>Production</x:v>
      </x:c>
      <x:c r="AB111" s="36" t="str">
        <x:v>UI review detecta falta de redundancia</x:v>
      </x:c>
      <x:c r="AC111" s="36" t="str">
        <x:v>Umbral: evidencia positiva, tendencia adversa o gate bloqueado.</x:v>
      </x:c>
      <x:c r="AD111" s="36" t="str">
        <x:v>Retirar claim o bloquear gate si la barrera impide completar la experiencia.</x:v>
      </x:c>
      <x:c r="AE111" s="36" t="str">
        <x:v>Corregir UI/input/audio/copy y repetir pruebas inclusivas.</x:v>
      </x:c>
      <x:c r="AF111" s="27" t="str">
        <x:v>BIA-12</x:v>
      </x:c>
      <x:c r="AG111" s="27" t="str">
        <x:v>PB-12</x:v>
      </x:c>
      <x:c r="AH111" s="27" t="str">
        <x:v>TA-ACC-003</x:v>
      </x:c>
      <x:c r="AI111" s="36" t="str">
        <x:v>05, 07, 08, 17, 18, 19, 22, 24, 28, 29, 31</x:v>
      </x:c>
      <x:c r="AJ111" s="36" t="str">
        <x:v>UX/UI/GDD/QA/localización/arte/audio distribuidos en v0.3–v0.6</x:v>
      </x:c>
      <x:c r="AK111" s="27" t="str">
        <x:v>OPEN</x:v>
      </x:c>
      <x:c r="AL111" s="27" t="str">
        <x:v>WEEKLY</x:v>
      </x:c>
      <x:c r="AM111" s="40" t="str">
        <x:v>2026-07-01</x:v>
      </x:c>
      <x:c r="AN111" s="40" t="str">
        <x:v>2026-07-08</x:v>
      </x:c>
      <x:c r="AO111" s="27" t="str">
        <x:v>UNVERIFIED</x:v>
      </x:c>
      <x:c r="AP111" s="36" t="str">
        <x:v>Registro inicial consolidado; validar owner, controles y residual.</x:v>
      </x:c>
      <x:c r="AQ111" s="27" t="n">
        <x:f>IF(OR(M111="CRITICAL",W111="CRITICAL",Y111="OUTSIDE TOLERANCE",AK111="ESCALATED",AK111="ACCEPTANCE REQUESTED"),1,0)</x:f>
        <x:v>1</x:v>
      </x:c>
    </x:row>
    <x:row r="112">
      <x:c r="A112" s="27" t="str">
        <x:v>R-ACC-004</x:v>
      </x:c>
      <x:c r="B112" s="36" t="str">
        <x:v>Accessibility &amp; Inclusion</x:v>
      </x:c>
      <x:c r="C112" s="36" t="str">
        <x:v>Text scaling</x:v>
      </x:c>
      <x:c r="D112" s="36" t="str">
        <x:v>Existe el riesgo de que ocurra lo siguiente: UI rompe a 150% o con localización.</x:v>
      </x:c>
      <x:c r="E112" s="36" t="str">
        <x:v>Readability</x:v>
      </x:c>
      <x:c r="F112" s="36" t="str">
        <x:v>H6/Release</x:v>
      </x:c>
      <x:c r="G112" s="36" t="str">
        <x:v>Ausencia, degradación o incumplimiento de los controles definidos para text scaling.</x:v>
      </x:c>
      <x:c r="H112" s="36" t="str">
        <x:v>UI rompe a 150% o con localización</x:v>
      </x:c>
      <x:c r="I112" s="36" t="str">
        <x:v>Puede afectar a Readability, bloquear un gate, causar retrabajo, pérdida de datos/confianza o interrupción operativa.</x:v>
      </x:c>
      <x:c r="J112" s="38" t="n">
        <x:v>4</x:v>
      </x:c>
      <x:c r="K112" s="38" t="n">
        <x:v>4</x:v>
      </x:c>
      <x:c r="L112" s="38" t="n">
        <x:f>J112*K112</x:f>
        <x:v>16</x:v>
      </x:c>
      <x:c r="M112" s="27" t="str">
        <x:f>IF(L112&gt;=20,"CRITICAL",IF(L112&gt;=12,"HIGH",IF(L112&gt;=6,"MEDIUM","LOW")))</x:f>
        <x:v>HIGH</x:v>
      </x:c>
      <x:c r="N112" s="27" t="str">
        <x:v>MEDIUM</x:v>
      </x:c>
      <x:c r="O112" s="27" t="str">
        <x:v>MODERATE</x:v>
      </x:c>
      <x:c r="P112" s="36" t="str">
        <x:v>Diseño multimodal, escalado, navegación, criterios de aceptación y claims por evidencia.</x:v>
      </x:c>
      <x:c r="Q112" s="27" t="str">
        <x:v>PARTIAL</x:v>
      </x:c>
      <x:c r="R112" s="27" t="str">
        <x:v>MITIGATE</x:v>
      </x:c>
      <x:c r="S112" s="36" t="str">
        <x:v>Eliminar barrera, añadir alternativa y probar Golden Path por modalidad.</x:v>
      </x:c>
      <x:c r="T112" s="38" t="n">
        <x:v>4</x:v>
      </x:c>
      <x:c r="U112" s="38" t="n">
        <x:v>4</x:v>
      </x:c>
      <x:c r="V112" s="38" t="n">
        <x:f>T112*U112</x:f>
        <x:v>16</x:v>
      </x:c>
      <x:c r="W112" s="27" t="str">
        <x:f>IF(V112&gt;=20,"CRITICAL",IF(V112&gt;=12,"HIGH",IF(V112&gt;=6,"MEDIUM","LOW")))</x:f>
        <x:v>HIGH</x:v>
      </x:c>
      <x:c r="X112" s="27" t="str">
        <x:v>LOW</x:v>
      </x:c>
      <x:c r="Y112" s="27" t="str">
        <x:f>IF(X112="ZERO",IF(V112=0,"WITHIN TOLERANCE","OUTSIDE TOLERANCE"),IF(X112="LOW",IF(V112&lt;=4,"WITHIN TOLERANCE","OUTSIDE TOLERANCE"),IF(X112="MODERATE",IF(V112&lt;=9,"WITHIN TOLERANCE","OUTSIDE TOLERANCE"),IF(X112="HIGH",IF(V112&lt;=16,"WITHIN TOLERANCE","OUTSIDE TOLERANCE"),"REVIEW"))))</x:f>
        <x:v>OUTSIDE TOLERANCE</x:v>
      </x:c>
      <x:c r="Z112" s="36" t="str">
        <x:v>Accessibility / UX / QA</x:v>
      </x:c>
      <x:c r="AA112" s="36" t="str">
        <x:v>Production</x:v>
      </x:c>
      <x:c r="AB112" s="36" t="str">
        <x:v>Clipping/overlap en test</x:v>
      </x:c>
      <x:c r="AC112" s="36" t="str">
        <x:v>Umbral: evidencia positiva, tendencia adversa o gate bloqueado.</x:v>
      </x:c>
      <x:c r="AD112" s="36" t="str">
        <x:v>Retirar claim o bloquear gate si la barrera impide completar la experiencia.</x:v>
      </x:c>
      <x:c r="AE112" s="36" t="str">
        <x:v>Corregir UI/input/audio/copy y repetir pruebas inclusivas.</x:v>
      </x:c>
      <x:c r="AF112" s="27" t="str">
        <x:v>BIA-12</x:v>
      </x:c>
      <x:c r="AG112" s="27" t="str">
        <x:v>PB-12</x:v>
      </x:c>
      <x:c r="AH112" s="27" t="str">
        <x:v>TA-ACC-004</x:v>
      </x:c>
      <x:c r="AI112" s="36" t="str">
        <x:v>05, 07, 08, 17, 18, 19, 22, 24, 28, 29, 31</x:v>
      </x:c>
      <x:c r="AJ112" s="36" t="str">
        <x:v>UX/UI/GDD/QA/localización/arte/audio distribuidos en v0.3–v0.6</x:v>
      </x:c>
      <x:c r="AK112" s="27" t="str">
        <x:v>OPEN</x:v>
      </x:c>
      <x:c r="AL112" s="27" t="str">
        <x:v>WEEKLY</x:v>
      </x:c>
      <x:c r="AM112" s="40" t="str">
        <x:v>2026-07-01</x:v>
      </x:c>
      <x:c r="AN112" s="40" t="str">
        <x:v>2026-07-08</x:v>
      </x:c>
      <x:c r="AO112" s="27" t="str">
        <x:v>UNVERIFIED</x:v>
      </x:c>
      <x:c r="AP112" s="36" t="str">
        <x:v>Registro inicial consolidado; validar owner, controles y residual.</x:v>
      </x:c>
      <x:c r="AQ112" s="27" t="n">
        <x:f>IF(OR(M112="CRITICAL",W112="CRITICAL",Y112="OUTSIDE TOLERANCE",AK112="ESCALATED",AK112="ACCEPTANCE REQUESTED"),1,0)</x:f>
        <x:v>1</x:v>
      </x:c>
    </x:row>
    <x:row r="113">
      <x:c r="A113" s="27" t="str">
        <x:v>R-ACC-005</x:v>
      </x:c>
      <x:c r="B113" s="36" t="str">
        <x:v>Accessibility &amp; Inclusion</x:v>
      </x:c>
      <x:c r="C113" s="36" t="str">
        <x:v>Captions gap</x:v>
      </x:c>
      <x:c r="D113" s="36" t="str">
        <x:v>Existe el riesgo de que ocurra lo siguiente: Audio relevante carece de equivalente visual.</x:v>
      </x:c>
      <x:c r="E113" s="36" t="str">
        <x:v>Auditory accessibility</x:v>
      </x:c>
      <x:c r="F113" s="36" t="str">
        <x:v>Release</x:v>
      </x:c>
      <x:c r="G113" s="36" t="str">
        <x:v>Ausencia, degradación o incumplimiento de los controles definidos para captions gap.</x:v>
      </x:c>
      <x:c r="H113" s="36" t="str">
        <x:v>Audio relevante carece de equivalente visual</x:v>
      </x:c>
      <x:c r="I113" s="36" t="str">
        <x:v>Puede afectar a Auditory accessibility, bloquear un gate, causar retrabajo, pérdida de datos/confianza o interrupción operativa.</x:v>
      </x:c>
      <x:c r="J113" s="38" t="n">
        <x:v>3</x:v>
      </x:c>
      <x:c r="K113" s="38" t="n">
        <x:v>4</x:v>
      </x:c>
      <x:c r="L113" s="38" t="n">
        <x:f>J113*K113</x:f>
        <x:v>12</x:v>
      </x:c>
      <x:c r="M113" s="27" t="str">
        <x:f>IF(L113&gt;=20,"CRITICAL",IF(L113&gt;=12,"HIGH",IF(L113&gt;=6,"MEDIUM","LOW")))</x:f>
        <x:v>HIGH</x:v>
      </x:c>
      <x:c r="N113" s="27" t="str">
        <x:v>MEDIUM</x:v>
      </x:c>
      <x:c r="O113" s="27" t="str">
        <x:v>MODERATE</x:v>
      </x:c>
      <x:c r="P113" s="36" t="str">
        <x:v>Diseño multimodal, escalado, navegación, criterios de aceptación y claims por evidencia.</x:v>
      </x:c>
      <x:c r="Q113" s="27" t="str">
        <x:v>PARTIAL</x:v>
      </x:c>
      <x:c r="R113" s="27" t="str">
        <x:v>MITIGATE</x:v>
      </x:c>
      <x:c r="S113" s="36" t="str">
        <x:v>Eliminar barrera, añadir alternativa y probar Golden Path por modalidad.</x:v>
      </x:c>
      <x:c r="T113" s="38" t="n">
        <x:v>3</x:v>
      </x:c>
      <x:c r="U113" s="38" t="n">
        <x:v>4</x:v>
      </x:c>
      <x:c r="V113" s="38" t="n">
        <x:f>T113*U113</x:f>
        <x:v>12</x:v>
      </x:c>
      <x:c r="W113" s="27" t="str">
        <x:f>IF(V113&gt;=20,"CRITICAL",IF(V113&gt;=12,"HIGH",IF(V113&gt;=6,"MEDIUM","LOW")))</x:f>
        <x:v>HIGH</x:v>
      </x:c>
      <x:c r="X113" s="27" t="str">
        <x:v>LOW</x:v>
      </x:c>
      <x:c r="Y113" s="27" t="str">
        <x:f>IF(X113="ZERO",IF(V113=0,"WITHIN TOLERANCE","OUTSIDE TOLERANCE"),IF(X113="LOW",IF(V113&lt;=4,"WITHIN TOLERANCE","OUTSIDE TOLERANCE"),IF(X113="MODERATE",IF(V113&lt;=9,"WITHIN TOLERANCE","OUTSIDE TOLERANCE"),IF(X113="HIGH",IF(V113&lt;=16,"WITHIN TOLERANCE","OUTSIDE TOLERANCE"),"REVIEW"))))</x:f>
        <x:v>OUTSIDE TOLERANCE</x:v>
      </x:c>
      <x:c r="Z113" s="36" t="str">
        <x:v>Accessibility / UX / QA</x:v>
      </x:c>
      <x:c r="AA113" s="36" t="str">
        <x:v>Production</x:v>
      </x:c>
      <x:c r="AB113" s="36" t="str">
        <x:v>Evento solo audible</x:v>
      </x:c>
      <x:c r="AC113" s="36" t="str">
        <x:v>Umbral: evidencia positiva, tendencia adversa o gate bloqueado.</x:v>
      </x:c>
      <x:c r="AD113" s="36" t="str">
        <x:v>Retirar claim o bloquear gate si la barrera impide completar la experiencia.</x:v>
      </x:c>
      <x:c r="AE113" s="36" t="str">
        <x:v>Corregir UI/input/audio/copy y repetir pruebas inclusivas.</x:v>
      </x:c>
      <x:c r="AF113" s="27" t="str">
        <x:v>BIA-12</x:v>
      </x:c>
      <x:c r="AG113" s="27" t="str">
        <x:v>PB-12</x:v>
      </x:c>
      <x:c r="AH113" s="27" t="str">
        <x:v>TA-ACC-005</x:v>
      </x:c>
      <x:c r="AI113" s="36" t="str">
        <x:v>05, 07, 08, 17, 18, 19, 22, 24, 28, 29, 31</x:v>
      </x:c>
      <x:c r="AJ113" s="36" t="str">
        <x:v>UX/UI/GDD/QA/localización/arte/audio distribuidos en v0.3–v0.6</x:v>
      </x:c>
      <x:c r="AK113" s="27" t="str">
        <x:v>OPEN</x:v>
      </x:c>
      <x:c r="AL113" s="27" t="str">
        <x:v>MONTHLY</x:v>
      </x:c>
      <x:c r="AM113" s="40" t="str">
        <x:v>2026-07-01</x:v>
      </x:c>
      <x:c r="AN113" s="40" t="str">
        <x:v>2026-07-31</x:v>
      </x:c>
      <x:c r="AO113" s="27" t="str">
        <x:v>UNVERIFIED</x:v>
      </x:c>
      <x:c r="AP113" s="36" t="str">
        <x:v>Registro inicial consolidado; validar owner, controles y residual.</x:v>
      </x:c>
      <x:c r="AQ113" s="27" t="n">
        <x:f>IF(OR(M113="CRITICAL",W113="CRITICAL",Y113="OUTSIDE TOLERANCE",AK113="ESCALATED",AK113="ACCEPTANCE REQUESTED"),1,0)</x:f>
        <x:v>1</x:v>
      </x:c>
    </x:row>
    <x:row r="114">
      <x:c r="A114" s="27" t="str">
        <x:v>R-ACC-006</x:v>
      </x:c>
      <x:c r="B114" s="36" t="str">
        <x:v>Accessibility &amp; Inclusion</x:v>
      </x:c>
      <x:c r="C114" s="36" t="str">
        <x:v>Motion/photosensitivity</x:v>
      </x:c>
      <x:c r="D114" s="36" t="str">
        <x:v>Existe el riesgo de que ocurra lo siguiente: VFX/cámara causan malestar o riesgo.</x:v>
      </x:c>
      <x:c r="E114" s="36" t="str">
        <x:v>Player safety</x:v>
      </x:c>
      <x:c r="F114" s="36" t="str">
        <x:v>H6/Release</x:v>
      </x:c>
      <x:c r="G114" s="36" t="str">
        <x:v>Ausencia, degradación o incumplimiento de los controles definidos para motion/photosensitivity.</x:v>
      </x:c>
      <x:c r="H114" s="36" t="str">
        <x:v>VFX/cámara causan malestar o riesgo</x:v>
      </x:c>
      <x:c r="I114" s="36" t="str">
        <x:v>Puede afectar a Player safety, bloquear un gate, causar retrabajo, pérdida de datos/confianza o interrupción operativa.</x:v>
      </x:c>
      <x:c r="J114" s="38" t="n">
        <x:v>2</x:v>
      </x:c>
      <x:c r="K114" s="38" t="n">
        <x:v>5</x:v>
      </x:c>
      <x:c r="L114" s="38" t="n">
        <x:f>J114*K114</x:f>
        <x:v>10</x:v>
      </x:c>
      <x:c r="M114" s="27" t="str">
        <x:f>IF(L114&gt;=20,"CRITICAL",IF(L114&gt;=12,"HIGH",IF(L114&gt;=6,"MEDIUM","LOW")))</x:f>
        <x:v>MEDIUM</x:v>
      </x:c>
      <x:c r="N114" s="27" t="str">
        <x:v>FAST</x:v>
      </x:c>
      <x:c r="O114" s="27" t="str">
        <x:v>HARD</x:v>
      </x:c>
      <x:c r="P114" s="36" t="str">
        <x:v>Diseño multimodal, escalado, navegación, criterios de aceptación y claims por evidencia.</x:v>
      </x:c>
      <x:c r="Q114" s="27" t="str">
        <x:v>PARTIAL</x:v>
      </x:c>
      <x:c r="R114" s="27" t="str">
        <x:v>MITIGATE</x:v>
      </x:c>
      <x:c r="S114" s="36" t="str">
        <x:v>Eliminar barrera, añadir alternativa y probar Golden Path por modalidad.</x:v>
      </x:c>
      <x:c r="T114" s="38" t="n">
        <x:v>2</x:v>
      </x:c>
      <x:c r="U114" s="38" t="n">
        <x:v>5</x:v>
      </x:c>
      <x:c r="V114" s="38" t="n">
        <x:f>T114*U114</x:f>
        <x:v>10</x:v>
      </x:c>
      <x:c r="W114" s="27" t="str">
        <x:f>IF(V114&gt;=20,"CRITICAL",IF(V114&gt;=12,"HIGH",IF(V114&gt;=6,"MEDIUM","LOW")))</x:f>
        <x:v>MEDIUM</x:v>
      </x:c>
      <x:c r="X114" s="27" t="str">
        <x:v>LOW</x:v>
      </x:c>
      <x:c r="Y114" s="27" t="str">
        <x:f>IF(X114="ZERO",IF(V114=0,"WITHIN TOLERANCE","OUTSIDE TOLERANCE"),IF(X114="LOW",IF(V114&lt;=4,"WITHIN TOLERANCE","OUTSIDE TOLERANCE"),IF(X114="MODERATE",IF(V114&lt;=9,"WITHIN TOLERANCE","OUTSIDE TOLERANCE"),IF(X114="HIGH",IF(V114&lt;=16,"WITHIN TOLERANCE","OUTSIDE TOLERANCE"),"REVIEW"))))</x:f>
        <x:v>OUTSIDE TOLERANCE</x:v>
      </x:c>
      <x:c r="Z114" s="36" t="str">
        <x:v>Accessibility / UX / QA</x:v>
      </x:c>
      <x:c r="AA114" s="36" t="str">
        <x:v>Production</x:v>
      </x:c>
      <x:c r="AB114" s="36" t="str">
        <x:v>Flash/motion audit falla</x:v>
      </x:c>
      <x:c r="AC114" s="36" t="str">
        <x:v>Umbral: evidencia positiva, tendencia adversa o gate bloqueado.</x:v>
      </x:c>
      <x:c r="AD114" s="36" t="str">
        <x:v>Retirar claim o bloquear gate si la barrera impide completar la experiencia.</x:v>
      </x:c>
      <x:c r="AE114" s="36" t="str">
        <x:v>Corregir UI/input/audio/copy y repetir pruebas inclusivas.</x:v>
      </x:c>
      <x:c r="AF114" s="27" t="str">
        <x:v>BIA-12</x:v>
      </x:c>
      <x:c r="AG114" s="27" t="str">
        <x:v>PB-12</x:v>
      </x:c>
      <x:c r="AH114" s="27" t="str">
        <x:v>TA-ACC-006</x:v>
      </x:c>
      <x:c r="AI114" s="36" t="str">
        <x:v>05, 07, 08, 17, 18, 19, 22, 24, 28, 29, 31</x:v>
      </x:c>
      <x:c r="AJ114" s="36" t="str">
        <x:v>UX/UI/GDD/QA/localización/arte/audio distribuidos en v0.3–v0.6</x:v>
      </x:c>
      <x:c r="AK114" s="27" t="str">
        <x:v>OPEN</x:v>
      </x:c>
      <x:c r="AL114" s="27" t="str">
        <x:v>WEEKLY</x:v>
      </x:c>
      <x:c r="AM114" s="40" t="str">
        <x:v>2026-07-01</x:v>
      </x:c>
      <x:c r="AN114" s="40" t="str">
        <x:v>2026-07-08</x:v>
      </x:c>
      <x:c r="AO114" s="27" t="str">
        <x:v>UNVERIFIED</x:v>
      </x:c>
      <x:c r="AP114" s="36" t="str">
        <x:v>Registro inicial consolidado; validar owner, controles y residual.</x:v>
      </x:c>
      <x:c r="AQ114" s="27" t="n">
        <x:f>IF(OR(M114="CRITICAL",W114="CRITICAL",Y114="OUTSIDE TOLERANCE",AK114="ESCALATED",AK114="ACCEPTANCE REQUESTED"),1,0)</x:f>
        <x:v>1</x:v>
      </x:c>
    </x:row>
    <x:row r="115">
      <x:c r="A115" s="27" t="str">
        <x:v>R-ACC-007</x:v>
      </x:c>
      <x:c r="B115" s="36" t="str">
        <x:v>Accessibility &amp; Inclusion</x:v>
      </x:c>
      <x:c r="C115" s="36" t="str">
        <x:v>Cognitive overload</x:v>
      </x:c>
      <x:c r="D115" s="36" t="str">
        <x:v>Existe el riesgo de que ocurra lo siguiente: Errores/tutorial no explican recuperación.</x:v>
      </x:c>
      <x:c r="E115" s="36" t="str">
        <x:v>Cognitive accessibility</x:v>
      </x:c>
      <x:c r="F115" s="36" t="str">
        <x:v>All</x:v>
      </x:c>
      <x:c r="G115" s="36" t="str">
        <x:v>Ausencia, degradación o incumplimiento de los controles definidos para cognitive overload.</x:v>
      </x:c>
      <x:c r="H115" s="36" t="str">
        <x:v>Errores/tutorial no explican recuperación</x:v>
      </x:c>
      <x:c r="I115" s="36" t="str">
        <x:v>Puede afectar a Cognitive accessibility, bloquear un gate, causar retrabajo, pérdida de datos/confianza o interrupción operativa.</x:v>
      </x:c>
      <x:c r="J115" s="38" t="n">
        <x:v>3</x:v>
      </x:c>
      <x:c r="K115" s="38" t="n">
        <x:v>4</x:v>
      </x:c>
      <x:c r="L115" s="38" t="n">
        <x:f>J115*K115</x:f>
        <x:v>12</x:v>
      </x:c>
      <x:c r="M115" s="27" t="str">
        <x:f>IF(L115&gt;=20,"CRITICAL",IF(L115&gt;=12,"HIGH",IF(L115&gt;=6,"MEDIUM","LOW")))</x:f>
        <x:v>HIGH</x:v>
      </x:c>
      <x:c r="N115" s="27" t="str">
        <x:v>MEDIUM</x:v>
      </x:c>
      <x:c r="O115" s="27" t="str">
        <x:v>MODERATE</x:v>
      </x:c>
      <x:c r="P115" s="36" t="str">
        <x:v>Diseño multimodal, escalado, navegación, criterios de aceptación y claims por evidencia.</x:v>
      </x:c>
      <x:c r="Q115" s="27" t="str">
        <x:v>PARTIAL</x:v>
      </x:c>
      <x:c r="R115" s="27" t="str">
        <x:v>MITIGATE</x:v>
      </x:c>
      <x:c r="S115" s="36" t="str">
        <x:v>Eliminar barrera, añadir alternativa y probar Golden Path por modalidad.</x:v>
      </x:c>
      <x:c r="T115" s="38" t="n">
        <x:v>3</x:v>
      </x:c>
      <x:c r="U115" s="38" t="n">
        <x:v>4</x:v>
      </x:c>
      <x:c r="V115" s="38" t="n">
        <x:f>T115*U115</x:f>
        <x:v>12</x:v>
      </x:c>
      <x:c r="W115" s="27" t="str">
        <x:f>IF(V115&gt;=20,"CRITICAL",IF(V115&gt;=12,"HIGH",IF(V115&gt;=6,"MEDIUM","LOW")))</x:f>
        <x:v>HIGH</x:v>
      </x:c>
      <x:c r="X115" s="27" t="str">
        <x:v>LOW</x:v>
      </x:c>
      <x:c r="Y115" s="27" t="str">
        <x:f>IF(X115="ZERO",IF(V115=0,"WITHIN TOLERANCE","OUTSIDE TOLERANCE"),IF(X115="LOW",IF(V115&lt;=4,"WITHIN TOLERANCE","OUTSIDE TOLERANCE"),IF(X115="MODERATE",IF(V115&lt;=9,"WITHIN TOLERANCE","OUTSIDE TOLERANCE"),IF(X115="HIGH",IF(V115&lt;=16,"WITHIN TOLERANCE","OUTSIDE TOLERANCE"),"REVIEW"))))</x:f>
        <x:v>OUTSIDE TOLERANCE</x:v>
      </x:c>
      <x:c r="Z115" s="36" t="str">
        <x:v>Accessibility / UX / QA</x:v>
      </x:c>
      <x:c r="AA115" s="36" t="str">
        <x:v>Production</x:v>
      </x:c>
      <x:c r="AB115" s="36" t="str">
        <x:v>Playtest no completa tarea</x:v>
      </x:c>
      <x:c r="AC115" s="36" t="str">
        <x:v>Umbral: evidencia positiva, tendencia adversa o gate bloqueado.</x:v>
      </x:c>
      <x:c r="AD115" s="36" t="str">
        <x:v>Retirar claim o bloquear gate si la barrera impide completar la experiencia.</x:v>
      </x:c>
      <x:c r="AE115" s="36" t="str">
        <x:v>Corregir UI/input/audio/copy y repetir pruebas inclusivas.</x:v>
      </x:c>
      <x:c r="AF115" s="27" t="str">
        <x:v>BIA-12</x:v>
      </x:c>
      <x:c r="AG115" s="27" t="str">
        <x:v>PB-12</x:v>
      </x:c>
      <x:c r="AH115" s="27" t="str">
        <x:v>TA-ACC-007</x:v>
      </x:c>
      <x:c r="AI115" s="36" t="str">
        <x:v>05, 07, 08, 17, 18, 19, 22, 24, 28, 29, 31</x:v>
      </x:c>
      <x:c r="AJ115" s="36" t="str">
        <x:v>UX/UI/GDD/QA/localización/arte/audio distribuidos en v0.3–v0.6</x:v>
      </x:c>
      <x:c r="AK115" s="27" t="str">
        <x:v>OPEN</x:v>
      </x:c>
      <x:c r="AL115" s="27" t="str">
        <x:v>MONTHLY</x:v>
      </x:c>
      <x:c r="AM115" s="40" t="str">
        <x:v>2026-07-01</x:v>
      </x:c>
      <x:c r="AN115" s="40" t="str">
        <x:v>2026-07-31</x:v>
      </x:c>
      <x:c r="AO115" s="27" t="str">
        <x:v>UNVERIFIED</x:v>
      </x:c>
      <x:c r="AP115" s="36" t="str">
        <x:v>Registro inicial consolidado; validar owner, controles y residual.</x:v>
      </x:c>
      <x:c r="AQ115" s="27" t="n">
        <x:f>IF(OR(M115="CRITICAL",W115="CRITICAL",Y115="OUTSIDE TOLERANCE",AK115="ESCALATED",AK115="ACCEPTANCE REQUESTED"),1,0)</x:f>
        <x:v>1</x:v>
      </x:c>
    </x:row>
    <x:row r="116">
      <x:c r="A116" s="27" t="str">
        <x:v>R-ACC-008</x:v>
      </x:c>
      <x:c r="B116" s="36" t="str">
        <x:v>Accessibility &amp; Inclusion</x:v>
      </x:c>
      <x:c r="C116" s="36" t="str">
        <x:v>Inclusive content</x:v>
      </x:c>
      <x:c r="D116" s="36" t="str">
        <x:v>Existe el riesgo de que ocurra lo siguiente: Representación o copy produce daño evitable.</x:v>
      </x:c>
      <x:c r="E116" s="36" t="str">
        <x:v>Content / reputation</x:v>
      </x:c>
      <x:c r="F116" s="36" t="str">
        <x:v>All</x:v>
      </x:c>
      <x:c r="G116" s="36" t="str">
        <x:v>Ausencia, degradación o incumplimiento de los controles definidos para inclusive content.</x:v>
      </x:c>
      <x:c r="H116" s="36" t="str">
        <x:v>Representación o copy produce daño evitable</x:v>
      </x:c>
      <x:c r="I116" s="36" t="str">
        <x:v>Puede afectar a Content / reputation, bloquear un gate, causar retrabajo, pérdida de datos/confianza o interrupción operativa.</x:v>
      </x:c>
      <x:c r="J116" s="38" t="n">
        <x:v>2</x:v>
      </x:c>
      <x:c r="K116" s="38" t="n">
        <x:v>4</x:v>
      </x:c>
      <x:c r="L116" s="38" t="n">
        <x:f>J116*K116</x:f>
        <x:v>8</x:v>
      </x:c>
      <x:c r="M116" s="27" t="str">
        <x:f>IF(L116&gt;=20,"CRITICAL",IF(L116&gt;=12,"HIGH",IF(L116&gt;=6,"MEDIUM","LOW")))</x:f>
        <x:v>MEDIUM</x:v>
      </x:c>
      <x:c r="N116" s="27" t="str">
        <x:v>MEDIUM</x:v>
      </x:c>
      <x:c r="O116" s="27" t="str">
        <x:v>MODERATE</x:v>
      </x:c>
      <x:c r="P116" s="36" t="str">
        <x:v>Diseño multimodal, escalado, navegación, criterios de aceptación y claims por evidencia.</x:v>
      </x:c>
      <x:c r="Q116" s="27" t="str">
        <x:v>PARTIAL</x:v>
      </x:c>
      <x:c r="R116" s="27" t="str">
        <x:v>MITIGATE</x:v>
      </x:c>
      <x:c r="S116" s="36" t="str">
        <x:v>Eliminar barrera, añadir alternativa y probar Golden Path por modalidad.</x:v>
      </x:c>
      <x:c r="T116" s="38" t="n">
        <x:v>2</x:v>
      </x:c>
      <x:c r="U116" s="38" t="n">
        <x:v>4</x:v>
      </x:c>
      <x:c r="V116" s="38" t="n">
        <x:f>T116*U116</x:f>
        <x:v>8</x:v>
      </x:c>
      <x:c r="W116" s="27" t="str">
        <x:f>IF(V116&gt;=20,"CRITICAL",IF(V116&gt;=12,"HIGH",IF(V116&gt;=6,"MEDIUM","LOW")))</x:f>
        <x:v>MEDIUM</x:v>
      </x:c>
      <x:c r="X116" s="27" t="str">
        <x:v>LOW</x:v>
      </x:c>
      <x:c r="Y116" s="27" t="str">
        <x:f>IF(X116="ZERO",IF(V116=0,"WITHIN TOLERANCE","OUTSIDE TOLERANCE"),IF(X116="LOW",IF(V116&lt;=4,"WITHIN TOLERANCE","OUTSIDE TOLERANCE"),IF(X116="MODERATE",IF(V116&lt;=9,"WITHIN TOLERANCE","OUTSIDE TOLERANCE"),IF(X116="HIGH",IF(V116&lt;=16,"WITHIN TOLERANCE","OUTSIDE TOLERANCE"),"REVIEW"))))</x:f>
        <x:v>OUTSIDE TOLERANCE</x:v>
      </x:c>
      <x:c r="Z116" s="36" t="str">
        <x:v>Accessibility / UX / QA</x:v>
      </x:c>
      <x:c r="AA116" s="36" t="str">
        <x:v>Production</x:v>
      </x:c>
      <x:c r="AB116" s="36" t="str">
        <x:v>Review/playtest señala patrón</x:v>
      </x:c>
      <x:c r="AC116" s="36" t="str">
        <x:v>Umbral: evidencia positiva, tendencia adversa o gate bloqueado.</x:v>
      </x:c>
      <x:c r="AD116" s="36" t="str">
        <x:v>Retirar claim o bloquear gate si la barrera impide completar la experiencia.</x:v>
      </x:c>
      <x:c r="AE116" s="36" t="str">
        <x:v>Corregir UI/input/audio/copy y repetir pruebas inclusivas.</x:v>
      </x:c>
      <x:c r="AF116" s="27" t="str">
        <x:v>BIA-12</x:v>
      </x:c>
      <x:c r="AG116" s="27" t="str">
        <x:v>PB-12</x:v>
      </x:c>
      <x:c r="AH116" s="27" t="str">
        <x:v>TA-ACC-008</x:v>
      </x:c>
      <x:c r="AI116" s="36" t="str">
        <x:v>05, 07, 08, 17, 18, 19, 22, 24, 28, 29, 31</x:v>
      </x:c>
      <x:c r="AJ116" s="36" t="str">
        <x:v>UX/UI/GDD/QA/localización/arte/audio distribuidos en v0.3–v0.6</x:v>
      </x:c>
      <x:c r="AK116" s="27" t="str">
        <x:v>OPEN</x:v>
      </x:c>
      <x:c r="AL116" s="27" t="str">
        <x:v>MONTHLY</x:v>
      </x:c>
      <x:c r="AM116" s="40" t="str">
        <x:v>2026-07-01</x:v>
      </x:c>
      <x:c r="AN116" s="40" t="str">
        <x:v>2026-07-31</x:v>
      </x:c>
      <x:c r="AO116" s="27" t="str">
        <x:v>UNVERIFIED</x:v>
      </x:c>
      <x:c r="AP116" s="36" t="str">
        <x:v>Registro inicial consolidado; validar owner, controles y residual.</x:v>
      </x:c>
      <x:c r="AQ116" s="27" t="n">
        <x:f>IF(OR(M116="CRITICAL",W116="CRITICAL",Y116="OUTSIDE TOLERANCE",AK116="ESCALATED",AK116="ACCEPTANCE REQUESTED"),1,0)</x:f>
        <x:v>1</x:v>
      </x:c>
    </x:row>
    <x:row r="117">
      <x:c r="A117" s="27" t="str">
        <x:v>R-CNT-001</x:v>
      </x:c>
      <x:c r="B117" s="36" t="str">
        <x:v>Art, Audio &amp; Content</x:v>
      </x:c>
      <x:c r="C117" s="36" t="str">
        <x:v>Placeholder leakage</x:v>
      </x:c>
      <x:c r="D117" s="36" t="str">
        <x:v>Existe el riesgo de que ocurra lo siguiente: Placeholder visible llega a H6/Store.</x:v>
      </x:c>
      <x:c r="E117" s="36" t="str">
        <x:v>Representative quality</x:v>
      </x:c>
      <x:c r="F117" s="36" t="str">
        <x:v>H6/Marketing</x:v>
      </x:c>
      <x:c r="G117" s="36" t="str">
        <x:v>Ausencia, degradación o incumplimiento de los controles definidos para placeholder leakage.</x:v>
      </x:c>
      <x:c r="H117" s="36" t="str">
        <x:v>Placeholder visible llega a H6/Store</x:v>
      </x:c>
      <x:c r="I117" s="36" t="str">
        <x:v>Puede afectar a Representative quality, bloquear un gate, causar retrabajo, pérdida de datos/confianza o interrupción operativa.</x:v>
      </x:c>
      <x:c r="J117" s="38" t="n">
        <x:v>4</x:v>
      </x:c>
      <x:c r="K117" s="38" t="n">
        <x:v>4</x:v>
      </x:c>
      <x:c r="L117" s="38" t="n">
        <x:f>J117*K117</x:f>
        <x:v>16</x:v>
      </x:c>
      <x:c r="M117" s="27" t="str">
        <x:f>IF(L117&gt;=20,"CRITICAL",IF(L117&gt;=12,"HIGH",IF(L117&gt;=6,"MEDIUM","LOW")))</x:f>
        <x:v>HIGH</x:v>
      </x:c>
      <x:c r="N117" s="27" t="str">
        <x:v>FAST</x:v>
      </x:c>
      <x:c r="O117" s="27" t="str">
        <x:v>HARD</x:v>
      </x:c>
      <x:c r="P117" s="36" t="str">
        <x:v>Bibles, naming, provenance, budgets, revisión representativa y catálogo.</x:v>
      </x:c>
      <x:c r="Q117" s="27" t="str">
        <x:v>PARTIAL</x:v>
      </x:c>
      <x:c r="R117" s="27" t="str">
        <x:v>MITIGATE</x:v>
      </x:c>
      <x:c r="S117" s="36" t="str">
        <x:v>Sustituir placeholder, optimizar asset, documentar licencia y validar integración.</x:v>
      </x:c>
      <x:c r="T117" s="38" t="n">
        <x:v>4</x:v>
      </x:c>
      <x:c r="U117" s="38" t="n">
        <x:v>4</x:v>
      </x:c>
      <x:c r="V117" s="38" t="n">
        <x:f>T117*U117</x:f>
        <x:v>16</x:v>
      </x:c>
      <x:c r="W117" s="27" t="str">
        <x:f>IF(V117&gt;=20,"CRITICAL",IF(V117&gt;=12,"HIGH",IF(V117&gt;=6,"MEDIUM","LOW")))</x:f>
        <x:v>HIGH</x:v>
      </x:c>
      <x:c r="X117" s="27" t="str">
        <x:v>MODERATE</x:v>
      </x:c>
      <x:c r="Y117" s="27" t="str">
        <x:f>IF(X117="ZERO",IF(V117=0,"WITHIN TOLERANCE","OUTSIDE TOLERANCE"),IF(X117="LOW",IF(V117&lt;=4,"WITHIN TOLERANCE","OUTSIDE TOLERANCE"),IF(X117="MODERATE",IF(V117&lt;=9,"WITHIN TOLERANCE","OUTSIDE TOLERANCE"),IF(X117="HIGH",IF(V117&lt;=16,"WITHIN TOLERANCE","OUTSIDE TOLERANCE"),"REVIEW"))))</x:f>
        <x:v>OUTSIDE TOLERANCE</x:v>
      </x:c>
      <x:c r="Z117" s="36" t="str">
        <x:v>Art / Audio / Content</x:v>
      </x:c>
      <x:c r="AA117" s="36" t="str">
        <x:v>Production</x:v>
      </x:c>
      <x:c r="AB117" s="36" t="str">
        <x:v>Review detecta placeholder</x:v>
      </x:c>
      <x:c r="AC117" s="36" t="str">
        <x:v>Umbral: evidencia positiva, tendencia adversa o gate bloqueado.</x:v>
      </x:c>
      <x:c r="AD117" s="36" t="str">
        <x:v>Cuarentenar asset y restaurar versión aprobada.</x:v>
      </x:c>
      <x:c r="AE117" s="36" t="str">
        <x:v>Reimportar desde fuente, regenerar derivados y verificar escenas/build.</x:v>
      </x:c>
      <x:c r="AF117" s="27" t="str">
        <x:v>BIA-13</x:v>
      </x:c>
      <x:c r="AG117" s="27" t="str">
        <x:v>PB-13</x:v>
      </x:c>
      <x:c r="AH117" s="27" t="str">
        <x:v>TA-CNT-001</x:v>
      </x:c>
      <x:c r="AI117" s="36" t="str">
        <x:v>17, 18, 19, 21, 22, 23, 28, 30, 31</x:v>
      </x:c>
      <x:c r="AJ117" s="36" t="str">
        <x:v>Art/Audio/UI/Content/Localization baselines y Sprint 16</x:v>
      </x:c>
      <x:c r="AK117" s="27" t="str">
        <x:v>OPEN</x:v>
      </x:c>
      <x:c r="AL117" s="27" t="str">
        <x:v>WEEKLY</x:v>
      </x:c>
      <x:c r="AM117" s="40" t="str">
        <x:v>2026-07-01</x:v>
      </x:c>
      <x:c r="AN117" s="40" t="str">
        <x:v>2026-07-08</x:v>
      </x:c>
      <x:c r="AO117" s="27" t="str">
        <x:v>UNVERIFIED</x:v>
      </x:c>
      <x:c r="AP117" s="36" t="str">
        <x:v>Registro inicial consolidado; validar owner, controles y residual.</x:v>
      </x:c>
      <x:c r="AQ117" s="27" t="n">
        <x:f>IF(OR(M117="CRITICAL",W117="CRITICAL",Y117="OUTSIDE TOLERANCE",AK117="ESCALATED",AK117="ACCEPTANCE REQUESTED"),1,0)</x:f>
        <x:v>1</x:v>
      </x:c>
    </x:row>
    <x:row r="118">
      <x:c r="A118" s="27" t="str">
        <x:v>R-CNT-002</x:v>
      </x:c>
      <x:c r="B118" s="36" t="str">
        <x:v>Art, Audio &amp; Content</x:v>
      </x:c>
      <x:c r="C118" s="36" t="str">
        <x:v>Source loss</x:v>
      </x:c>
      <x:c r="D118" s="36" t="str">
        <x:v>Existe el riesgo de que ocurra lo siguiente: Archivo fuente de arte/audio se pierde.</x:v>
      </x:c>
      <x:c r="E118" s="36" t="str">
        <x:v>Production assets</x:v>
      </x:c>
      <x:c r="F118" s="36" t="str">
        <x:v>All</x:v>
      </x:c>
      <x:c r="G118" s="36" t="str">
        <x:v>Ausencia, degradación o incumplimiento de los controles definidos para source loss.</x:v>
      </x:c>
      <x:c r="H118" s="36" t="str">
        <x:v>Archivo fuente de arte/audio se pierde</x:v>
      </x:c>
      <x:c r="I118" s="36" t="str">
        <x:v>Puede afectar a Production assets, bloquear un gate, causar retrabajo, pérdida de datos/confianza o interrupción operativa.</x:v>
      </x:c>
      <x:c r="J118" s="38" t="n">
        <x:v>3</x:v>
      </x:c>
      <x:c r="K118" s="38" t="n">
        <x:v>5</x:v>
      </x:c>
      <x:c r="L118" s="38" t="n">
        <x:f>J118*K118</x:f>
        <x:v>15</x:v>
      </x:c>
      <x:c r="M118" s="27" t="str">
        <x:f>IF(L118&gt;=20,"CRITICAL",IF(L118&gt;=12,"HIGH",IF(L118&gt;=6,"MEDIUM","LOW")))</x:f>
        <x:v>HIGH</x:v>
      </x:c>
      <x:c r="N118" s="27" t="str">
        <x:v>FAST</x:v>
      </x:c>
      <x:c r="O118" s="27" t="str">
        <x:v>HARD</x:v>
      </x:c>
      <x:c r="P118" s="36" t="str">
        <x:v>Bibles, naming, provenance, budgets, revisión representativa y catálogo.</x:v>
      </x:c>
      <x:c r="Q118" s="27" t="str">
        <x:v>PARTIAL</x:v>
      </x:c>
      <x:c r="R118" s="27" t="str">
        <x:v>MITIGATE</x:v>
      </x:c>
      <x:c r="S118" s="36" t="str">
        <x:v>Sustituir placeholder, optimizar asset, documentar licencia y validar integración.</x:v>
      </x:c>
      <x:c r="T118" s="38" t="n">
        <x:v>3</x:v>
      </x:c>
      <x:c r="U118" s="38" t="n">
        <x:v>5</x:v>
      </x:c>
      <x:c r="V118" s="38" t="n">
        <x:f>T118*U118</x:f>
        <x:v>15</x:v>
      </x:c>
      <x:c r="W118" s="27" t="str">
        <x:f>IF(V118&gt;=20,"CRITICAL",IF(V118&gt;=12,"HIGH",IF(V118&gt;=6,"MEDIUM","LOW")))</x:f>
        <x:v>HIGH</x:v>
      </x:c>
      <x:c r="X118" s="27" t="str">
        <x:v>MODERATE</x:v>
      </x:c>
      <x:c r="Y118" s="27" t="str">
        <x:f>IF(X118="ZERO",IF(V118=0,"WITHIN TOLERANCE","OUTSIDE TOLERANCE"),IF(X118="LOW",IF(V118&lt;=4,"WITHIN TOLERANCE","OUTSIDE TOLERANCE"),IF(X118="MODERATE",IF(V118&lt;=9,"WITHIN TOLERANCE","OUTSIDE TOLERANCE"),IF(X118="HIGH",IF(V118&lt;=16,"WITHIN TOLERANCE","OUTSIDE TOLERANCE"),"REVIEW"))))</x:f>
        <x:v>OUTSIDE TOLERANCE</x:v>
      </x:c>
      <x:c r="Z118" s="36" t="str">
        <x:v>Art / Audio / Content</x:v>
      </x:c>
      <x:c r="AA118" s="36" t="str">
        <x:v>Production</x:v>
      </x:c>
      <x:c r="AB118" s="36" t="str">
        <x:v>Solo derivado existe</x:v>
      </x:c>
      <x:c r="AC118" s="36" t="str">
        <x:v>Umbral: evidencia positiva, tendencia adversa o gate bloqueado.</x:v>
      </x:c>
      <x:c r="AD118" s="36" t="str">
        <x:v>Cuarentenar asset y restaurar versión aprobada.</x:v>
      </x:c>
      <x:c r="AE118" s="36" t="str">
        <x:v>Reimportar desde fuente, regenerar derivados y verificar escenas/build.</x:v>
      </x:c>
      <x:c r="AF118" s="27" t="str">
        <x:v>BIA-13</x:v>
      </x:c>
      <x:c r="AG118" s="27" t="str">
        <x:v>PB-13</x:v>
      </x:c>
      <x:c r="AH118" s="27" t="str">
        <x:v>TA-CNT-002</x:v>
      </x:c>
      <x:c r="AI118" s="36" t="str">
        <x:v>17, 18, 19, 21, 22, 23, 28, 30, 31</x:v>
      </x:c>
      <x:c r="AJ118" s="36" t="str">
        <x:v>Art/Audio/UI/Content/Localization baselines y Sprint 16</x:v>
      </x:c>
      <x:c r="AK118" s="27" t="str">
        <x:v>OPEN</x:v>
      </x:c>
      <x:c r="AL118" s="27" t="str">
        <x:v>WEEKLY</x:v>
      </x:c>
      <x:c r="AM118" s="40" t="str">
        <x:v>2026-07-01</x:v>
      </x:c>
      <x:c r="AN118" s="40" t="str">
        <x:v>2026-07-08</x:v>
      </x:c>
      <x:c r="AO118" s="27" t="str">
        <x:v>UNVERIFIED</x:v>
      </x:c>
      <x:c r="AP118" s="36" t="str">
        <x:v>Registro inicial consolidado; validar owner, controles y residual.</x:v>
      </x:c>
      <x:c r="AQ118" s="27" t="n">
        <x:f>IF(OR(M118="CRITICAL",W118="CRITICAL",Y118="OUTSIDE TOLERANCE",AK118="ESCALATED",AK118="ACCEPTANCE REQUESTED"),1,0)</x:f>
        <x:v>1</x:v>
      </x:c>
    </x:row>
    <x:row r="119">
      <x:c r="A119" s="27" t="str">
        <x:v>R-CNT-003</x:v>
      </x:c>
      <x:c r="B119" s="36" t="str">
        <x:v>Art, Audio &amp; Content</x:v>
      </x:c>
      <x:c r="C119" s="36" t="str">
        <x:v>GUID breakage</x:v>
      </x:c>
      <x:c r="D119" s="36" t="str">
        <x:v>Existe el riesgo de que ocurra lo siguiente: Mover/renombrar asset rompe referencias.</x:v>
      </x:c>
      <x:c r="E119" s="36" t="str">
        <x:v>Scenes / prefabs</x:v>
      </x:c>
      <x:c r="F119" s="36" t="str">
        <x:v>Development</x:v>
      </x:c>
      <x:c r="G119" s="36" t="str">
        <x:v>Ausencia, degradación o incumplimiento de los controles definidos para guid breakage.</x:v>
      </x:c>
      <x:c r="H119" s="36" t="str">
        <x:v>Mover/renombrar asset rompe referencias</x:v>
      </x:c>
      <x:c r="I119" s="36" t="str">
        <x:v>Puede afectar a Scenes / prefabs, bloquear un gate, causar retrabajo, pérdida de datos/confianza o interrupción operativa.</x:v>
      </x:c>
      <x:c r="J119" s="38" t="n">
        <x:v>3</x:v>
      </x:c>
      <x:c r="K119" s="38" t="n">
        <x:v>5</x:v>
      </x:c>
      <x:c r="L119" s="38" t="n">
        <x:f>J119*K119</x:f>
        <x:v>15</x:v>
      </x:c>
      <x:c r="M119" s="27" t="str">
        <x:f>IF(L119&gt;=20,"CRITICAL",IF(L119&gt;=12,"HIGH",IF(L119&gt;=6,"MEDIUM","LOW")))</x:f>
        <x:v>HIGH</x:v>
      </x:c>
      <x:c r="N119" s="27" t="str">
        <x:v>FAST</x:v>
      </x:c>
      <x:c r="O119" s="27" t="str">
        <x:v>HARD</x:v>
      </x:c>
      <x:c r="P119" s="36" t="str">
        <x:v>Bibles, naming, provenance, budgets, revisión representativa y catálogo.</x:v>
      </x:c>
      <x:c r="Q119" s="27" t="str">
        <x:v>PARTIAL</x:v>
      </x:c>
      <x:c r="R119" s="27" t="str">
        <x:v>MITIGATE</x:v>
      </x:c>
      <x:c r="S119" s="36" t="str">
        <x:v>Sustituir placeholder, optimizar asset, documentar licencia y validar integración.</x:v>
      </x:c>
      <x:c r="T119" s="38" t="n">
        <x:v>3</x:v>
      </x:c>
      <x:c r="U119" s="38" t="n">
        <x:v>5</x:v>
      </x:c>
      <x:c r="V119" s="38" t="n">
        <x:f>T119*U119</x:f>
        <x:v>15</x:v>
      </x:c>
      <x:c r="W119" s="27" t="str">
        <x:f>IF(V119&gt;=20,"CRITICAL",IF(V119&gt;=12,"HIGH",IF(V119&gt;=6,"MEDIUM","LOW")))</x:f>
        <x:v>HIGH</x:v>
      </x:c>
      <x:c r="X119" s="27" t="str">
        <x:v>MODERATE</x:v>
      </x:c>
      <x:c r="Y119" s="27" t="str">
        <x:f>IF(X119="ZERO",IF(V119=0,"WITHIN TOLERANCE","OUTSIDE TOLERANCE"),IF(X119="LOW",IF(V119&lt;=4,"WITHIN TOLERANCE","OUTSIDE TOLERANCE"),IF(X119="MODERATE",IF(V119&lt;=9,"WITHIN TOLERANCE","OUTSIDE TOLERANCE"),IF(X119="HIGH",IF(V119&lt;=16,"WITHIN TOLERANCE","OUTSIDE TOLERANCE"),"REVIEW"))))</x:f>
        <x:v>OUTSIDE TOLERANCE</x:v>
      </x:c>
      <x:c r="Z119" s="36" t="str">
        <x:v>Art / Audio / Content</x:v>
      </x:c>
      <x:c r="AA119" s="36" t="str">
        <x:v>Production</x:v>
      </x:c>
      <x:c r="AB119" s="36" t="str">
        <x:v>Missing reference tras commit</x:v>
      </x:c>
      <x:c r="AC119" s="36" t="str">
        <x:v>Umbral: evidencia positiva, tendencia adversa o gate bloqueado.</x:v>
      </x:c>
      <x:c r="AD119" s="36" t="str">
        <x:v>Cuarentenar asset y restaurar versión aprobada.</x:v>
      </x:c>
      <x:c r="AE119" s="36" t="str">
        <x:v>Reimportar desde fuente, regenerar derivados y verificar escenas/build.</x:v>
      </x:c>
      <x:c r="AF119" s="27" t="str">
        <x:v>BIA-13</x:v>
      </x:c>
      <x:c r="AG119" s="27" t="str">
        <x:v>PB-13</x:v>
      </x:c>
      <x:c r="AH119" s="27" t="str">
        <x:v>TA-CNT-003</x:v>
      </x:c>
      <x:c r="AI119" s="36" t="str">
        <x:v>17, 18, 19, 21, 22, 23, 28, 30, 31</x:v>
      </x:c>
      <x:c r="AJ119" s="36" t="str">
        <x:v>Art/Audio/UI/Content/Localization baselines y Sprint 16</x:v>
      </x:c>
      <x:c r="AK119" s="27" t="str">
        <x:v>OPEN</x:v>
      </x:c>
      <x:c r="AL119" s="27" t="str">
        <x:v>WEEKLY</x:v>
      </x:c>
      <x:c r="AM119" s="40" t="str">
        <x:v>2026-07-01</x:v>
      </x:c>
      <x:c r="AN119" s="40" t="str">
        <x:v>2026-07-08</x:v>
      </x:c>
      <x:c r="AO119" s="27" t="str">
        <x:v>UNVERIFIED</x:v>
      </x:c>
      <x:c r="AP119" s="36" t="str">
        <x:v>Registro inicial consolidado; validar owner, controles y residual.</x:v>
      </x:c>
      <x:c r="AQ119" s="27" t="n">
        <x:f>IF(OR(M119="CRITICAL",W119="CRITICAL",Y119="OUTSIDE TOLERANCE",AK119="ESCALATED",AK119="ACCEPTANCE REQUESTED"),1,0)</x:f>
        <x:v>1</x:v>
      </x:c>
    </x:row>
    <x:row r="120">
      <x:c r="A120" s="27" t="str">
        <x:v>R-CNT-004</x:v>
      </x:c>
      <x:c r="B120" s="36" t="str">
        <x:v>Art, Audio &amp; Content</x:v>
      </x:c>
      <x:c r="C120" s="36" t="str">
        <x:v>Visual inconsistency</x:v>
      </x:c>
      <x:c r="D120" s="36" t="str">
        <x:v>Existe el riesgo de que ocurra lo siguiente: Assets no siguen Art Bible.</x:v>
      </x:c>
      <x:c r="E120" s="36" t="str">
        <x:v>Product identity</x:v>
      </x:c>
      <x:c r="F120" s="36" t="str">
        <x:v>H6</x:v>
      </x:c>
      <x:c r="G120" s="36" t="str">
        <x:v>Ausencia, degradación o incumplimiento de los controles definidos para visual inconsistency.</x:v>
      </x:c>
      <x:c r="H120" s="36" t="str">
        <x:v>Assets no siguen Art Bible</x:v>
      </x:c>
      <x:c r="I120" s="36" t="str">
        <x:v>Puede afectar a Product identity, bloquear un gate, causar retrabajo, pérdida de datos/confianza o interrupción operativa.</x:v>
      </x:c>
      <x:c r="J120" s="38" t="n">
        <x:v>3</x:v>
      </x:c>
      <x:c r="K120" s="38" t="n">
        <x:v>4</x:v>
      </x:c>
      <x:c r="L120" s="38" t="n">
        <x:f>J120*K120</x:f>
        <x:v>12</x:v>
      </x:c>
      <x:c r="M120" s="27" t="str">
        <x:f>IF(L120&gt;=20,"CRITICAL",IF(L120&gt;=12,"HIGH",IF(L120&gt;=6,"MEDIUM","LOW")))</x:f>
        <x:v>HIGH</x:v>
      </x:c>
      <x:c r="N120" s="27" t="str">
        <x:v>MEDIUM</x:v>
      </x:c>
      <x:c r="O120" s="27" t="str">
        <x:v>MODERATE</x:v>
      </x:c>
      <x:c r="P120" s="36" t="str">
        <x:v>Bibles, naming, provenance, budgets, revisión representativa y catálogo.</x:v>
      </x:c>
      <x:c r="Q120" s="27" t="str">
        <x:v>PARTIAL</x:v>
      </x:c>
      <x:c r="R120" s="27" t="str">
        <x:v>MITIGATE</x:v>
      </x:c>
      <x:c r="S120" s="36" t="str">
        <x:v>Sustituir placeholder, optimizar asset, documentar licencia y validar integración.</x:v>
      </x:c>
      <x:c r="T120" s="38" t="n">
        <x:v>3</x:v>
      </x:c>
      <x:c r="U120" s="38" t="n">
        <x:v>4</x:v>
      </x:c>
      <x:c r="V120" s="38" t="n">
        <x:f>T120*U120</x:f>
        <x:v>12</x:v>
      </x:c>
      <x:c r="W120" s="27" t="str">
        <x:f>IF(V120&gt;=20,"CRITICAL",IF(V120&gt;=12,"HIGH",IF(V120&gt;=6,"MEDIUM","LOW")))</x:f>
        <x:v>HIGH</x:v>
      </x:c>
      <x:c r="X120" s="27" t="str">
        <x:v>MODERATE</x:v>
      </x:c>
      <x:c r="Y120" s="27" t="str">
        <x:f>IF(X120="ZERO",IF(V120=0,"WITHIN TOLERANCE","OUTSIDE TOLERANCE"),IF(X120="LOW",IF(V120&lt;=4,"WITHIN TOLERANCE","OUTSIDE TOLERANCE"),IF(X120="MODERATE",IF(V120&lt;=9,"WITHIN TOLERANCE","OUTSIDE TOLERANCE"),IF(X120="HIGH",IF(V120&lt;=16,"WITHIN TOLERANCE","OUTSIDE TOLERANCE"),"REVIEW"))))</x:f>
        <x:v>OUTSIDE TOLERANCE</x:v>
      </x:c>
      <x:c r="Z120" s="36" t="str">
        <x:v>Art / Audio / Content</x:v>
      </x:c>
      <x:c r="AA120" s="36" t="str">
        <x:v>Production</x:v>
      </x:c>
      <x:c r="AB120" s="36" t="str">
        <x:v>Review visual no aprueba</x:v>
      </x:c>
      <x:c r="AC120" s="36" t="str">
        <x:v>Umbral: evidencia positiva, tendencia adversa o gate bloqueado.</x:v>
      </x:c>
      <x:c r="AD120" s="36" t="str">
        <x:v>Cuarentenar asset y restaurar versión aprobada.</x:v>
      </x:c>
      <x:c r="AE120" s="36" t="str">
        <x:v>Reimportar desde fuente, regenerar derivados y verificar escenas/build.</x:v>
      </x:c>
      <x:c r="AF120" s="27" t="str">
        <x:v>BIA-13</x:v>
      </x:c>
      <x:c r="AG120" s="27" t="str">
        <x:v>PB-13</x:v>
      </x:c>
      <x:c r="AH120" s="27" t="str">
        <x:v>TA-CNT-004</x:v>
      </x:c>
      <x:c r="AI120" s="36" t="str">
        <x:v>17, 18, 19, 21, 22, 23, 28, 30, 31</x:v>
      </x:c>
      <x:c r="AJ120" s="36" t="str">
        <x:v>Art/Audio/UI/Content/Localization baselines y Sprint 16</x:v>
      </x:c>
      <x:c r="AK120" s="27" t="str">
        <x:v>OPEN</x:v>
      </x:c>
      <x:c r="AL120" s="27" t="str">
        <x:v>MONTHLY</x:v>
      </x:c>
      <x:c r="AM120" s="40" t="str">
        <x:v>2026-07-01</x:v>
      </x:c>
      <x:c r="AN120" s="40" t="str">
        <x:v>2026-07-31</x:v>
      </x:c>
      <x:c r="AO120" s="27" t="str">
        <x:v>UNVERIFIED</x:v>
      </x:c>
      <x:c r="AP120" s="36" t="str">
        <x:v>Registro inicial consolidado; validar owner, controles y residual.</x:v>
      </x:c>
      <x:c r="AQ120" s="27" t="n">
        <x:f>IF(OR(M120="CRITICAL",W120="CRITICAL",Y120="OUTSIDE TOLERANCE",AK120="ESCALATED",AK120="ACCEPTANCE REQUESTED"),1,0)</x:f>
        <x:v>1</x:v>
      </x:c>
    </x:row>
    <x:row r="121">
      <x:c r="A121" s="27" t="str">
        <x:v>R-CNT-005</x:v>
      </x:c>
      <x:c r="B121" s="36" t="str">
        <x:v>Art, Audio &amp; Content</x:v>
      </x:c>
      <x:c r="C121" s="36" t="str">
        <x:v>Audio imbalance</x:v>
      </x:c>
      <x:c r="D121" s="36" t="str">
        <x:v>Existe el riesgo de que ocurra lo siguiente: Niveles/picos/loops degradan experiencia.</x:v>
      </x:c>
      <x:c r="E121" s="36" t="str">
        <x:v>Audio quality</x:v>
      </x:c>
      <x:c r="F121" s="36" t="str">
        <x:v>H6/Release</x:v>
      </x:c>
      <x:c r="G121" s="36" t="str">
        <x:v>Ausencia, degradación o incumplimiento de los controles definidos para audio imbalance.</x:v>
      </x:c>
      <x:c r="H121" s="36" t="str">
        <x:v>Niveles/picos/loops degradan experiencia</x:v>
      </x:c>
      <x:c r="I121" s="36" t="str">
        <x:v>Puede afectar a Audio quality, bloquear un gate, causar retrabajo, pérdida de datos/confianza o interrupción operativa.</x:v>
      </x:c>
      <x:c r="J121" s="38" t="n">
        <x:v>3</x:v>
      </x:c>
      <x:c r="K121" s="38" t="n">
        <x:v>4</x:v>
      </x:c>
      <x:c r="L121" s="38" t="n">
        <x:f>J121*K121</x:f>
        <x:v>12</x:v>
      </x:c>
      <x:c r="M121" s="27" t="str">
        <x:f>IF(L121&gt;=20,"CRITICAL",IF(L121&gt;=12,"HIGH",IF(L121&gt;=6,"MEDIUM","LOW")))</x:f>
        <x:v>HIGH</x:v>
      </x:c>
      <x:c r="N121" s="27" t="str">
        <x:v>FAST</x:v>
      </x:c>
      <x:c r="O121" s="27" t="str">
        <x:v>HARD</x:v>
      </x:c>
      <x:c r="P121" s="36" t="str">
        <x:v>Bibles, naming, provenance, budgets, revisión representativa y catálogo.</x:v>
      </x:c>
      <x:c r="Q121" s="27" t="str">
        <x:v>PARTIAL</x:v>
      </x:c>
      <x:c r="R121" s="27" t="str">
        <x:v>MITIGATE</x:v>
      </x:c>
      <x:c r="S121" s="36" t="str">
        <x:v>Sustituir placeholder, optimizar asset, documentar licencia y validar integración.</x:v>
      </x:c>
      <x:c r="T121" s="38" t="n">
        <x:v>3</x:v>
      </x:c>
      <x:c r="U121" s="38" t="n">
        <x:v>4</x:v>
      </x:c>
      <x:c r="V121" s="38" t="n">
        <x:f>T121*U121</x:f>
        <x:v>12</x:v>
      </x:c>
      <x:c r="W121" s="27" t="str">
        <x:f>IF(V121&gt;=20,"CRITICAL",IF(V121&gt;=12,"HIGH",IF(V121&gt;=6,"MEDIUM","LOW")))</x:f>
        <x:v>HIGH</x:v>
      </x:c>
      <x:c r="X121" s="27" t="str">
        <x:v>MODERATE</x:v>
      </x:c>
      <x:c r="Y121" s="27" t="str">
        <x:f>IF(X121="ZERO",IF(V121=0,"WITHIN TOLERANCE","OUTSIDE TOLERANCE"),IF(X121="LOW",IF(V121&lt;=4,"WITHIN TOLERANCE","OUTSIDE TOLERANCE"),IF(X121="MODERATE",IF(V121&lt;=9,"WITHIN TOLERANCE","OUTSIDE TOLERANCE"),IF(X121="HIGH",IF(V121&lt;=16,"WITHIN TOLERANCE","OUTSIDE TOLERANCE"),"REVIEW"))))</x:f>
        <x:v>OUTSIDE TOLERANCE</x:v>
      </x:c>
      <x:c r="Z121" s="36" t="str">
        <x:v>Art / Audio / Content</x:v>
      </x:c>
      <x:c r="AA121" s="36" t="str">
        <x:v>Production</x:v>
      </x:c>
      <x:c r="AB121" s="36" t="str">
        <x:v>Peak/repetition audit falla</x:v>
      </x:c>
      <x:c r="AC121" s="36" t="str">
        <x:v>Umbral: evidencia positiva, tendencia adversa o gate bloqueado.</x:v>
      </x:c>
      <x:c r="AD121" s="36" t="str">
        <x:v>Cuarentenar asset y restaurar versión aprobada.</x:v>
      </x:c>
      <x:c r="AE121" s="36" t="str">
        <x:v>Reimportar desde fuente, regenerar derivados y verificar escenas/build.</x:v>
      </x:c>
      <x:c r="AF121" s="27" t="str">
        <x:v>BIA-13</x:v>
      </x:c>
      <x:c r="AG121" s="27" t="str">
        <x:v>PB-13</x:v>
      </x:c>
      <x:c r="AH121" s="27" t="str">
        <x:v>TA-CNT-005</x:v>
      </x:c>
      <x:c r="AI121" s="36" t="str">
        <x:v>17, 18, 19, 21, 22, 23, 28, 30, 31</x:v>
      </x:c>
      <x:c r="AJ121" s="36" t="str">
        <x:v>Art/Audio/UI/Content/Localization baselines y Sprint 16</x:v>
      </x:c>
      <x:c r="AK121" s="27" t="str">
        <x:v>OPEN</x:v>
      </x:c>
      <x:c r="AL121" s="27" t="str">
        <x:v>WEEKLY</x:v>
      </x:c>
      <x:c r="AM121" s="40" t="str">
        <x:v>2026-07-01</x:v>
      </x:c>
      <x:c r="AN121" s="40" t="str">
        <x:v>2026-07-08</x:v>
      </x:c>
      <x:c r="AO121" s="27" t="str">
        <x:v>UNVERIFIED</x:v>
      </x:c>
      <x:c r="AP121" s="36" t="str">
        <x:v>Registro inicial consolidado; validar owner, controles y residual.</x:v>
      </x:c>
      <x:c r="AQ121" s="27" t="n">
        <x:f>IF(OR(M121="CRITICAL",W121="CRITICAL",Y121="OUTSIDE TOLERANCE",AK121="ESCALATED",AK121="ACCEPTANCE REQUESTED"),1,0)</x:f>
        <x:v>1</x:v>
      </x:c>
    </x:row>
    <x:row r="122">
      <x:c r="A122" s="27" t="str">
        <x:v>R-CNT-006</x:v>
      </x:c>
      <x:c r="B122" s="36" t="str">
        <x:v>Art, Audio &amp; Content</x:v>
      </x:c>
      <x:c r="C122" s="36" t="str">
        <x:v>Content IDs</x:v>
      </x:c>
      <x:c r="D122" s="36" t="str">
        <x:v>Existe el riesgo de que ocurra lo siguiente: Catálogo y assets divergen.</x:v>
      </x:c>
      <x:c r="E122" s="36" t="str">
        <x:v>Content integrity</x:v>
      </x:c>
      <x:c r="F122" s="36" t="str">
        <x:v>Development</x:v>
      </x:c>
      <x:c r="G122" s="36" t="str">
        <x:v>Ausencia, degradación o incumplimiento de los controles definidos para content ids.</x:v>
      </x:c>
      <x:c r="H122" s="36" t="str">
        <x:v>Catálogo y assets divergen</x:v>
      </x:c>
      <x:c r="I122" s="36" t="str">
        <x:v>Puede afectar a Content integrity, bloquear un gate, causar retrabajo, pérdida de datos/confianza o interrupción operativa.</x:v>
      </x:c>
      <x:c r="J122" s="38" t="n">
        <x:v>3</x:v>
      </x:c>
      <x:c r="K122" s="38" t="n">
        <x:v>5</x:v>
      </x:c>
      <x:c r="L122" s="38" t="n">
        <x:f>J122*K122</x:f>
        <x:v>15</x:v>
      </x:c>
      <x:c r="M122" s="27" t="str">
        <x:f>IF(L122&gt;=20,"CRITICAL",IF(L122&gt;=12,"HIGH",IF(L122&gt;=6,"MEDIUM","LOW")))</x:f>
        <x:v>HIGH</x:v>
      </x:c>
      <x:c r="N122" s="27" t="str">
        <x:v>MEDIUM</x:v>
      </x:c>
      <x:c r="O122" s="27" t="str">
        <x:v>MODERATE</x:v>
      </x:c>
      <x:c r="P122" s="36" t="str">
        <x:v>Bibles, naming, provenance, budgets, revisión representativa y catálogo.</x:v>
      </x:c>
      <x:c r="Q122" s="27" t="str">
        <x:v>PARTIAL</x:v>
      </x:c>
      <x:c r="R122" s="27" t="str">
        <x:v>MITIGATE</x:v>
      </x:c>
      <x:c r="S122" s="36" t="str">
        <x:v>Sustituir placeholder, optimizar asset, documentar licencia y validar integración.</x:v>
      </x:c>
      <x:c r="T122" s="38" t="n">
        <x:v>3</x:v>
      </x:c>
      <x:c r="U122" s="38" t="n">
        <x:v>5</x:v>
      </x:c>
      <x:c r="V122" s="38" t="n">
        <x:f>T122*U122</x:f>
        <x:v>15</x:v>
      </x:c>
      <x:c r="W122" s="27" t="str">
        <x:f>IF(V122&gt;=20,"CRITICAL",IF(V122&gt;=12,"HIGH",IF(V122&gt;=6,"MEDIUM","LOW")))</x:f>
        <x:v>HIGH</x:v>
      </x:c>
      <x:c r="X122" s="27" t="str">
        <x:v>MODERATE</x:v>
      </x:c>
      <x:c r="Y122" s="27" t="str">
        <x:f>IF(X122="ZERO",IF(V122=0,"WITHIN TOLERANCE","OUTSIDE TOLERANCE"),IF(X122="LOW",IF(V122&lt;=4,"WITHIN TOLERANCE","OUTSIDE TOLERANCE"),IF(X122="MODERATE",IF(V122&lt;=9,"WITHIN TOLERANCE","OUTSIDE TOLERANCE"),IF(X122="HIGH",IF(V122&lt;=16,"WITHIN TOLERANCE","OUTSIDE TOLERANCE"),"REVIEW"))))</x:f>
        <x:v>OUTSIDE TOLERANCE</x:v>
      </x:c>
      <x:c r="Z122" s="36" t="str">
        <x:v>Art / Audio / Content</x:v>
      </x:c>
      <x:c r="AA122" s="36" t="str">
        <x:v>Production</x:v>
      </x:c>
      <x:c r="AB122" s="36" t="str">
        <x:v>ID ausente/duplicado</x:v>
      </x:c>
      <x:c r="AC122" s="36" t="str">
        <x:v>Umbral: evidencia positiva, tendencia adversa o gate bloqueado.</x:v>
      </x:c>
      <x:c r="AD122" s="36" t="str">
        <x:v>Cuarentenar asset y restaurar versión aprobada.</x:v>
      </x:c>
      <x:c r="AE122" s="36" t="str">
        <x:v>Reimportar desde fuente, regenerar derivados y verificar escenas/build.</x:v>
      </x:c>
      <x:c r="AF122" s="27" t="str">
        <x:v>BIA-13</x:v>
      </x:c>
      <x:c r="AG122" s="27" t="str">
        <x:v>PB-13</x:v>
      </x:c>
      <x:c r="AH122" s="27" t="str">
        <x:v>TA-CNT-006</x:v>
      </x:c>
      <x:c r="AI122" s="36" t="str">
        <x:v>17, 18, 19, 21, 22, 23, 28, 30, 31</x:v>
      </x:c>
      <x:c r="AJ122" s="36" t="str">
        <x:v>Art/Audio/UI/Content/Localization baselines y Sprint 16</x:v>
      </x:c>
      <x:c r="AK122" s="27" t="str">
        <x:v>OPEN</x:v>
      </x:c>
      <x:c r="AL122" s="27" t="str">
        <x:v>MONTHLY</x:v>
      </x:c>
      <x:c r="AM122" s="40" t="str">
        <x:v>2026-07-01</x:v>
      </x:c>
      <x:c r="AN122" s="40" t="str">
        <x:v>2026-07-31</x:v>
      </x:c>
      <x:c r="AO122" s="27" t="str">
        <x:v>UNVERIFIED</x:v>
      </x:c>
      <x:c r="AP122" s="36" t="str">
        <x:v>Registro inicial consolidado; validar owner, controles y residual.</x:v>
      </x:c>
      <x:c r="AQ122" s="27" t="n">
        <x:f>IF(OR(M122="CRITICAL",W122="CRITICAL",Y122="OUTSIDE TOLERANCE",AK122="ESCALATED",AK122="ACCEPTANCE REQUESTED"),1,0)</x:f>
        <x:v>1</x:v>
      </x:c>
    </x:row>
    <x:row r="123">
      <x:c r="A123" s="27" t="str">
        <x:v>R-CNT-007</x:v>
      </x:c>
      <x:c r="B123" s="36" t="str">
        <x:v>Art, Audio &amp; Content</x:v>
      </x:c>
      <x:c r="C123" s="36" t="str">
        <x:v>Localization expansion</x:v>
      </x:c>
      <x:c r="D123" s="36" t="str">
        <x:v>Existe el riesgo de que ocurra lo siguiente: Texto/arte no soporta ES/EN o expansión.</x:v>
      </x:c>
      <x:c r="E123" s="36" t="str">
        <x:v>Localization</x:v>
      </x:c>
      <x:c r="F123" s="36" t="str">
        <x:v>Release</x:v>
      </x:c>
      <x:c r="G123" s="36" t="str">
        <x:v>Ausencia, degradación o incumplimiento de los controles definidos para localization expansion.</x:v>
      </x:c>
      <x:c r="H123" s="36" t="str">
        <x:v>Texto/arte no soporta ES/EN o expansión</x:v>
      </x:c>
      <x:c r="I123" s="36" t="str">
        <x:v>Puede afectar a Localization, bloquear un gate, causar retrabajo, pérdida de datos/confianza o interrupción operativa.</x:v>
      </x:c>
      <x:c r="J123" s="38" t="n">
        <x:v>4</x:v>
      </x:c>
      <x:c r="K123" s="38" t="n">
        <x:v>4</x:v>
      </x:c>
      <x:c r="L123" s="38" t="n">
        <x:f>J123*K123</x:f>
        <x:v>16</x:v>
      </x:c>
      <x:c r="M123" s="27" t="str">
        <x:f>IF(L123&gt;=20,"CRITICAL",IF(L123&gt;=12,"HIGH",IF(L123&gt;=6,"MEDIUM","LOW")))</x:f>
        <x:v>HIGH</x:v>
      </x:c>
      <x:c r="N123" s="27" t="str">
        <x:v>MEDIUM</x:v>
      </x:c>
      <x:c r="O123" s="27" t="str">
        <x:v>MODERATE</x:v>
      </x:c>
      <x:c r="P123" s="36" t="str">
        <x:v>Bibles, naming, provenance, budgets, revisión representativa y catálogo.</x:v>
      </x:c>
      <x:c r="Q123" s="27" t="str">
        <x:v>PARTIAL</x:v>
      </x:c>
      <x:c r="R123" s="27" t="str">
        <x:v>MITIGATE</x:v>
      </x:c>
      <x:c r="S123" s="36" t="str">
        <x:v>Sustituir placeholder, optimizar asset, documentar licencia y validar integración.</x:v>
      </x:c>
      <x:c r="T123" s="38" t="n">
        <x:v>4</x:v>
      </x:c>
      <x:c r="U123" s="38" t="n">
        <x:v>4</x:v>
      </x:c>
      <x:c r="V123" s="38" t="n">
        <x:f>T123*U123</x:f>
        <x:v>16</x:v>
      </x:c>
      <x:c r="W123" s="27" t="str">
        <x:f>IF(V123&gt;=20,"CRITICAL",IF(V123&gt;=12,"HIGH",IF(V123&gt;=6,"MEDIUM","LOW")))</x:f>
        <x:v>HIGH</x:v>
      </x:c>
      <x:c r="X123" s="27" t="str">
        <x:v>MODERATE</x:v>
      </x:c>
      <x:c r="Y123" s="27" t="str">
        <x:f>IF(X123="ZERO",IF(V123=0,"WITHIN TOLERANCE","OUTSIDE TOLERANCE"),IF(X123="LOW",IF(V123&lt;=4,"WITHIN TOLERANCE","OUTSIDE TOLERANCE"),IF(X123="MODERATE",IF(V123&lt;=9,"WITHIN TOLERANCE","OUTSIDE TOLERANCE"),IF(X123="HIGH",IF(V123&lt;=16,"WITHIN TOLERANCE","OUTSIDE TOLERANCE"),"REVIEW"))))</x:f>
        <x:v>OUTSIDE TOLERANCE</x:v>
      </x:c>
      <x:c r="Z123" s="36" t="str">
        <x:v>Art / Audio / Content</x:v>
      </x:c>
      <x:c r="AA123" s="36" t="str">
        <x:v>Production</x:v>
      </x:c>
      <x:c r="AB123" s="36" t="str">
        <x:v>Hardcode/clipping</x:v>
      </x:c>
      <x:c r="AC123" s="36" t="str">
        <x:v>Umbral: evidencia positiva, tendencia adversa o gate bloqueado.</x:v>
      </x:c>
      <x:c r="AD123" s="36" t="str">
        <x:v>Cuarentenar asset y restaurar versión aprobada.</x:v>
      </x:c>
      <x:c r="AE123" s="36" t="str">
        <x:v>Reimportar desde fuente, regenerar derivados y verificar escenas/build.</x:v>
      </x:c>
      <x:c r="AF123" s="27" t="str">
        <x:v>BIA-13</x:v>
      </x:c>
      <x:c r="AG123" s="27" t="str">
        <x:v>PB-13</x:v>
      </x:c>
      <x:c r="AH123" s="27" t="str">
        <x:v>TA-CNT-007</x:v>
      </x:c>
      <x:c r="AI123" s="36" t="str">
        <x:v>17, 18, 19, 21, 22, 23, 28, 30, 31</x:v>
      </x:c>
      <x:c r="AJ123" s="36" t="str">
        <x:v>Art/Audio/UI/Content/Localization baselines y Sprint 16</x:v>
      </x:c>
      <x:c r="AK123" s="27" t="str">
        <x:v>OPEN</x:v>
      </x:c>
      <x:c r="AL123" s="27" t="str">
        <x:v>WEEKLY</x:v>
      </x:c>
      <x:c r="AM123" s="40" t="str">
        <x:v>2026-07-01</x:v>
      </x:c>
      <x:c r="AN123" s="40" t="str">
        <x:v>2026-07-08</x:v>
      </x:c>
      <x:c r="AO123" s="27" t="str">
        <x:v>UNVERIFIED</x:v>
      </x:c>
      <x:c r="AP123" s="36" t="str">
        <x:v>Registro inicial consolidado; validar owner, controles y residual.</x:v>
      </x:c>
      <x:c r="AQ123" s="27" t="n">
        <x:f>IF(OR(M123="CRITICAL",W123="CRITICAL",Y123="OUTSIDE TOLERANCE",AK123="ESCALATED",AK123="ACCEPTANCE REQUESTED"),1,0)</x:f>
        <x:v>1</x:v>
      </x:c>
    </x:row>
    <x:row r="124">
      <x:c r="A124" s="27" t="str">
        <x:v>R-CNT-008</x:v>
      </x:c>
      <x:c r="B124" s="36" t="str">
        <x:v>Art, Audio &amp; Content</x:v>
      </x:c>
      <x:c r="C124" s="36" t="str">
        <x:v>Asset performance</x:v>
      </x:c>
      <x:c r="D124" s="36" t="str">
        <x:v>Existe el riesgo de que ocurra lo siguiente: Modelo/textura/VFX excede budget.</x:v>
      </x:c>
      <x:c r="E124" s="36" t="str">
        <x:v>Performance</x:v>
      </x:c>
      <x:c r="F124" s="36" t="str">
        <x:v>H6/Release</x:v>
      </x:c>
      <x:c r="G124" s="36" t="str">
        <x:v>Ausencia, degradación o incumplimiento de los controles definidos para asset performance.</x:v>
      </x:c>
      <x:c r="H124" s="36" t="str">
        <x:v>Modelo/textura/VFX excede budget</x:v>
      </x:c>
      <x:c r="I124" s="36" t="str">
        <x:v>Puede afectar a Performance, bloquear un gate, causar retrabajo, pérdida de datos/confianza o interrupción operativa.</x:v>
      </x:c>
      <x:c r="J124" s="38" t="n">
        <x:v>4</x:v>
      </x:c>
      <x:c r="K124" s="38" t="n">
        <x:v>4</x:v>
      </x:c>
      <x:c r="L124" s="38" t="n">
        <x:f>J124*K124</x:f>
        <x:v>16</x:v>
      </x:c>
      <x:c r="M124" s="27" t="str">
        <x:f>IF(L124&gt;=20,"CRITICAL",IF(L124&gt;=12,"HIGH",IF(L124&gt;=6,"MEDIUM","LOW")))</x:f>
        <x:v>HIGH</x:v>
      </x:c>
      <x:c r="N124" s="27" t="str">
        <x:v>MEDIUM</x:v>
      </x:c>
      <x:c r="O124" s="27" t="str">
        <x:v>MODERATE</x:v>
      </x:c>
      <x:c r="P124" s="36" t="str">
        <x:v>Bibles, naming, provenance, budgets, revisión representativa y catálogo.</x:v>
      </x:c>
      <x:c r="Q124" s="27" t="str">
        <x:v>PARTIAL</x:v>
      </x:c>
      <x:c r="R124" s="27" t="str">
        <x:v>MITIGATE</x:v>
      </x:c>
      <x:c r="S124" s="36" t="str">
        <x:v>Sustituir placeholder, optimizar asset, documentar licencia y validar integración.</x:v>
      </x:c>
      <x:c r="T124" s="38" t="n">
        <x:v>4</x:v>
      </x:c>
      <x:c r="U124" s="38" t="n">
        <x:v>4</x:v>
      </x:c>
      <x:c r="V124" s="38" t="n">
        <x:f>T124*U124</x:f>
        <x:v>16</x:v>
      </x:c>
      <x:c r="W124" s="27" t="str">
        <x:f>IF(V124&gt;=20,"CRITICAL",IF(V124&gt;=12,"HIGH",IF(V124&gt;=6,"MEDIUM","LOW")))</x:f>
        <x:v>HIGH</x:v>
      </x:c>
      <x:c r="X124" s="27" t="str">
        <x:v>MODERATE</x:v>
      </x:c>
      <x:c r="Y124" s="27" t="str">
        <x:f>IF(X124="ZERO",IF(V124=0,"WITHIN TOLERANCE","OUTSIDE TOLERANCE"),IF(X124="LOW",IF(V124&lt;=4,"WITHIN TOLERANCE","OUTSIDE TOLERANCE"),IF(X124="MODERATE",IF(V124&lt;=9,"WITHIN TOLERANCE","OUTSIDE TOLERANCE"),IF(X124="HIGH",IF(V124&lt;=16,"WITHIN TOLERANCE","OUTSIDE TOLERANCE"),"REVIEW"))))</x:f>
        <x:v>OUTSIDE TOLERANCE</x:v>
      </x:c>
      <x:c r="Z124" s="36" t="str">
        <x:v>Art / Audio / Content</x:v>
      </x:c>
      <x:c r="AA124" s="36" t="str">
        <x:v>Production</x:v>
      </x:c>
      <x:c r="AB124" s="36" t="str">
        <x:v>Profiling identifica asset</x:v>
      </x:c>
      <x:c r="AC124" s="36" t="str">
        <x:v>Umbral: evidencia positiva, tendencia adversa o gate bloqueado.</x:v>
      </x:c>
      <x:c r="AD124" s="36" t="str">
        <x:v>Cuarentenar asset y restaurar versión aprobada.</x:v>
      </x:c>
      <x:c r="AE124" s="36" t="str">
        <x:v>Reimportar desde fuente, regenerar derivados y verificar escenas/build.</x:v>
      </x:c>
      <x:c r="AF124" s="27" t="str">
        <x:v>BIA-13</x:v>
      </x:c>
      <x:c r="AG124" s="27" t="str">
        <x:v>PB-13</x:v>
      </x:c>
      <x:c r="AH124" s="27" t="str">
        <x:v>TA-CNT-008</x:v>
      </x:c>
      <x:c r="AI124" s="36" t="str">
        <x:v>17, 18, 19, 21, 22, 23, 28, 30, 31</x:v>
      </x:c>
      <x:c r="AJ124" s="36" t="str">
        <x:v>Art/Audio/UI/Content/Localization baselines y Sprint 16</x:v>
      </x:c>
      <x:c r="AK124" s="27" t="str">
        <x:v>OPEN</x:v>
      </x:c>
      <x:c r="AL124" s="27" t="str">
        <x:v>WEEKLY</x:v>
      </x:c>
      <x:c r="AM124" s="40" t="str">
        <x:v>2026-07-01</x:v>
      </x:c>
      <x:c r="AN124" s="40" t="str">
        <x:v>2026-07-08</x:v>
      </x:c>
      <x:c r="AO124" s="27" t="str">
        <x:v>UNVERIFIED</x:v>
      </x:c>
      <x:c r="AP124" s="36" t="str">
        <x:v>Registro inicial consolidado; validar owner, controles y residual.</x:v>
      </x:c>
      <x:c r="AQ124" s="27" t="n">
        <x:f>IF(OR(M124="CRITICAL",W124="CRITICAL",Y124="OUTSIDE TOLERANCE",AK124="ESCALATED",AK124="ACCEPTANCE REQUESTED"),1,0)</x:f>
        <x:v>1</x:v>
      </x:c>
    </x:row>
    <x:row r="125">
      <x:c r="A125" s="27" t="str">
        <x:v>R-FIN-001</x:v>
      </x:c>
      <x:c r="B125" s="36" t="str">
        <x:v>Financial &amp; Commercial</x:v>
      </x:c>
      <x:c r="C125" s="36" t="str">
        <x:v>Runway</x:v>
      </x:c>
      <x:c r="D125" s="36" t="str">
        <x:v>Existe el riesgo de que ocurra lo siguiente: Fondos/tiempo disponibles no cubren cierre.</x:v>
      </x:c>
      <x:c r="E125" s="36" t="str">
        <x:v>Project viability</x:v>
      </x:c>
      <x:c r="F125" s="36" t="str">
        <x:v>All</x:v>
      </x:c>
      <x:c r="G125" s="36" t="str">
        <x:v>Ausencia, degradación o incumplimiento de los controles definidos para runway.</x:v>
      </x:c>
      <x:c r="H125" s="36" t="str">
        <x:v>Fondos/tiempo disponibles no cubren cierre</x:v>
      </x:c>
      <x:c r="I125" s="36" t="str">
        <x:v>Puede afectar a Project viability, bloquear un gate, causar retrabajo, pérdida de datos/confianza o interrupción operativa.</x:v>
      </x:c>
      <x:c r="J125" s="38" t="n">
        <x:v>3</x:v>
      </x:c>
      <x:c r="K125" s="38" t="n">
        <x:v>5</x:v>
      </x:c>
      <x:c r="L125" s="38" t="n">
        <x:f>J125*K125</x:f>
        <x:v>15</x:v>
      </x:c>
      <x:c r="M125" s="27" t="str">
        <x:f>IF(L125&gt;=20,"CRITICAL",IF(L125&gt;=12,"HIGH",IF(L125&gt;=6,"MEDIUM","LOW")))</x:f>
        <x:v>HIGH</x:v>
      </x:c>
      <x:c r="N125" s="27" t="str">
        <x:v>SLOW</x:v>
      </x:c>
      <x:c r="O125" s="27" t="str">
        <x:v>MODERATE</x:v>
      </x:c>
      <x:c r="P125" s="36" t="str">
        <x:v>Presupuesto por fases, gasto condicionado a gates y registro de proveedores.</x:v>
      </x:c>
      <x:c r="Q125" s="27" t="str">
        <x:v>PARTIAL</x:v>
      </x:c>
      <x:c r="R125" s="27" t="str">
        <x:v>MITIGATE</x:v>
      </x:c>
      <x:c r="S125" s="36" t="str">
        <x:v>Reducir burn, renegociar, diferir gasto y mantener reserva de continuidad.</x:v>
      </x:c>
      <x:c r="T125" s="38" t="n">
        <x:v>3</x:v>
      </x:c>
      <x:c r="U125" s="38" t="n">
        <x:v>5</x:v>
      </x:c>
      <x:c r="V125" s="38" t="n">
        <x:f>T125*U125</x:f>
        <x:v>15</x:v>
      </x:c>
      <x:c r="W125" s="27" t="str">
        <x:f>IF(V125&gt;=20,"CRITICAL",IF(V125&gt;=12,"HIGH",IF(V125&gt;=6,"MEDIUM","LOW")))</x:f>
        <x:v>HIGH</x:v>
      </x:c>
      <x:c r="X125" s="27" t="str">
        <x:v>MODERATE</x:v>
      </x:c>
      <x:c r="Y125" s="27" t="str">
        <x:f>IF(X125="ZERO",IF(V125=0,"WITHIN TOLERANCE","OUTSIDE TOLERANCE"),IF(X125="LOW",IF(V125&lt;=4,"WITHIN TOLERANCE","OUTSIDE TOLERANCE"),IF(X125="MODERATE",IF(V125&lt;=9,"WITHIN TOLERANCE","OUTSIDE TOLERANCE"),IF(X125="HIGH",IF(V125&lt;=16,"WITHIN TOLERANCE","OUTSIDE TOLERANCE"),"REVIEW"))))</x:f>
        <x:v>OUTSIDE TOLERANCE</x:v>
      </x:c>
      <x:c r="Z125" s="36" t="str">
        <x:v>Project Owner / Production</x:v>
      </x:c>
      <x:c r="AA125" s="36" t="str">
        <x:v>Finance / Publishing</x:v>
      </x:c>
      <x:c r="AB125" s="36" t="str">
        <x:v>Runway &lt; escenario de cierre</x:v>
      </x:c>
      <x:c r="AC125" s="36" t="str">
        <x:v>Umbral: evidencia positiva, tendencia adversa o gate bloqueado.</x:v>
      </x:c>
      <x:c r="AD125" s="36" t="str">
        <x:v>Congelar gasto discrecional y revisar runway.</x:v>
      </x:c>
      <x:c r="AE125" s="36" t="str">
        <x:v>Rebaselinar alcance/calendario y asegurar servicios críticos.</x:v>
      </x:c>
      <x:c r="AF125" s="27" t="str">
        <x:v>BIA-14</x:v>
      </x:c>
      <x:c r="AG125" s="27" t="str">
        <x:v>PB-14</x:v>
      </x:c>
      <x:c r="AH125" s="27" t="str">
        <x:v>TA-FIN-001</x:v>
      </x:c>
      <x:c r="AI125" s="36" t="str">
        <x:v>00, 06, 20, 24, 25, 28, 33</x:v>
      </x:c>
      <x:c r="AJ125" s="36" t="str">
        <x:v>Roadmaps, Economy/Balance y Marketing Plans históricos</x:v>
      </x:c>
      <x:c r="AK125" s="27" t="str">
        <x:v>OPEN</x:v>
      </x:c>
      <x:c r="AL125" s="27" t="str">
        <x:v>MONTHLY</x:v>
      </x:c>
      <x:c r="AM125" s="40" t="str">
        <x:v>2026-07-01</x:v>
      </x:c>
      <x:c r="AN125" s="40" t="str">
        <x:v>2026-07-31</x:v>
      </x:c>
      <x:c r="AO125" s="27" t="str">
        <x:v>UNVERIFIED</x:v>
      </x:c>
      <x:c r="AP125" s="36" t="str">
        <x:v>Registro inicial consolidado; validar owner, controles y residual.</x:v>
      </x:c>
      <x:c r="AQ125" s="27" t="n">
        <x:f>IF(OR(M125="CRITICAL",W125="CRITICAL",Y125="OUTSIDE TOLERANCE",AK125="ESCALATED",AK125="ACCEPTANCE REQUESTED"),1,0)</x:f>
        <x:v>1</x:v>
      </x:c>
    </x:row>
    <x:row r="126">
      <x:c r="A126" s="27" t="str">
        <x:v>R-FIN-002</x:v>
      </x:c>
      <x:c r="B126" s="36" t="str">
        <x:v>Financial &amp; Commercial</x:v>
      </x:c>
      <x:c r="C126" s="36" t="str">
        <x:v>Unplanned spend</x:v>
      </x:c>
      <x:c r="D126" s="36" t="str">
        <x:v>Existe el riesgo de que ocurra lo siguiente: Herramientas/assets/servicios exceden presupuesto.</x:v>
      </x:c>
      <x:c r="E126" s="36" t="str">
        <x:v>Budget</x:v>
      </x:c>
      <x:c r="F126" s="36" t="str">
        <x:v>All</x:v>
      </x:c>
      <x:c r="G126" s="36" t="str">
        <x:v>Ausencia, degradación o incumplimiento de los controles definidos para unplanned spend.</x:v>
      </x:c>
      <x:c r="H126" s="36" t="str">
        <x:v>Herramientas/assets/servicios exceden presupuesto</x:v>
      </x:c>
      <x:c r="I126" s="36" t="str">
        <x:v>Puede afectar a Budget, bloquear un gate, causar retrabajo, pérdida de datos/confianza o interrupción operativa.</x:v>
      </x:c>
      <x:c r="J126" s="38" t="n">
        <x:v>3</x:v>
      </x:c>
      <x:c r="K126" s="38" t="n">
        <x:v>4</x:v>
      </x:c>
      <x:c r="L126" s="38" t="n">
        <x:f>J126*K126</x:f>
        <x:v>12</x:v>
      </x:c>
      <x:c r="M126" s="27" t="str">
        <x:f>IF(L126&gt;=20,"CRITICAL",IF(L126&gt;=12,"HIGH",IF(L126&gt;=6,"MEDIUM","LOW")))</x:f>
        <x:v>HIGH</x:v>
      </x:c>
      <x:c r="N126" s="27" t="str">
        <x:v>MEDIUM</x:v>
      </x:c>
      <x:c r="O126" s="27" t="str">
        <x:v>MODERATE</x:v>
      </x:c>
      <x:c r="P126" s="36" t="str">
        <x:v>Presupuesto por fases, gasto condicionado a gates y registro de proveedores.</x:v>
      </x:c>
      <x:c r="Q126" s="27" t="str">
        <x:v>PARTIAL</x:v>
      </x:c>
      <x:c r="R126" s="27" t="str">
        <x:v>MITIGATE</x:v>
      </x:c>
      <x:c r="S126" s="36" t="str">
        <x:v>Reducir burn, renegociar, diferir gasto y mantener reserva de continuidad.</x:v>
      </x:c>
      <x:c r="T126" s="38" t="n">
        <x:v>3</x:v>
      </x:c>
      <x:c r="U126" s="38" t="n">
        <x:v>4</x:v>
      </x:c>
      <x:c r="V126" s="38" t="n">
        <x:f>T126*U126</x:f>
        <x:v>12</x:v>
      </x:c>
      <x:c r="W126" s="27" t="str">
        <x:f>IF(V126&gt;=20,"CRITICAL",IF(V126&gt;=12,"HIGH",IF(V126&gt;=6,"MEDIUM","LOW")))</x:f>
        <x:v>HIGH</x:v>
      </x:c>
      <x:c r="X126" s="27" t="str">
        <x:v>MODERATE</x:v>
      </x:c>
      <x:c r="Y126" s="27" t="str">
        <x:f>IF(X126="ZERO",IF(V126=0,"WITHIN TOLERANCE","OUTSIDE TOLERANCE"),IF(X126="LOW",IF(V126&lt;=4,"WITHIN TOLERANCE","OUTSIDE TOLERANCE"),IF(X126="MODERATE",IF(V126&lt;=9,"WITHIN TOLERANCE","OUTSIDE TOLERANCE"),IF(X126="HIGH",IF(V126&lt;=16,"WITHIN TOLERANCE","OUTSIDE TOLERANCE"),"REVIEW"))))</x:f>
        <x:v>OUTSIDE TOLERANCE</x:v>
      </x:c>
      <x:c r="Z126" s="36" t="str">
        <x:v>Project Owner / Production</x:v>
      </x:c>
      <x:c r="AA126" s="36" t="str">
        <x:v>Finance / Publishing</x:v>
      </x:c>
      <x:c r="AB126" s="36" t="str">
        <x:v>Gasto mensual &gt; baseline</x:v>
      </x:c>
      <x:c r="AC126" s="36" t="str">
        <x:v>Umbral: evidencia positiva, tendencia adversa o gate bloqueado.</x:v>
      </x:c>
      <x:c r="AD126" s="36" t="str">
        <x:v>Congelar gasto discrecional y revisar runway.</x:v>
      </x:c>
      <x:c r="AE126" s="36" t="str">
        <x:v>Rebaselinar alcance/calendario y asegurar servicios críticos.</x:v>
      </x:c>
      <x:c r="AF126" s="27" t="str">
        <x:v>BIA-14</x:v>
      </x:c>
      <x:c r="AG126" s="27" t="str">
        <x:v>PB-14</x:v>
      </x:c>
      <x:c r="AH126" s="27" t="str">
        <x:v>TA-FIN-002</x:v>
      </x:c>
      <x:c r="AI126" s="36" t="str">
        <x:v>00, 06, 20, 24, 25, 28, 33</x:v>
      </x:c>
      <x:c r="AJ126" s="36" t="str">
        <x:v>Roadmaps, Economy/Balance y Marketing Plans históricos</x:v>
      </x:c>
      <x:c r="AK126" s="27" t="str">
        <x:v>OPEN</x:v>
      </x:c>
      <x:c r="AL126" s="27" t="str">
        <x:v>MONTHLY</x:v>
      </x:c>
      <x:c r="AM126" s="40" t="str">
        <x:v>2026-07-01</x:v>
      </x:c>
      <x:c r="AN126" s="40" t="str">
        <x:v>2026-07-31</x:v>
      </x:c>
      <x:c r="AO126" s="27" t="str">
        <x:v>UNVERIFIED</x:v>
      </x:c>
      <x:c r="AP126" s="36" t="str">
        <x:v>Registro inicial consolidado; validar owner, controles y residual.</x:v>
      </x:c>
      <x:c r="AQ126" s="27" t="n">
        <x:f>IF(OR(M126="CRITICAL",W126="CRITICAL",Y126="OUTSIDE TOLERANCE",AK126="ESCALATED",AK126="ACCEPTANCE REQUESTED"),1,0)</x:f>
        <x:v>1</x:v>
      </x:c>
    </x:row>
    <x:row r="127">
      <x:c r="A127" s="27" t="str">
        <x:v>R-FIN-003</x:v>
      </x:c>
      <x:c r="B127" s="36" t="str">
        <x:v>Financial &amp; Commercial</x:v>
      </x:c>
      <x:c r="C127" s="36" t="str">
        <x:v>Vendor pricing</x:v>
      </x:c>
      <x:c r="D127" s="36" t="str">
        <x:v>Existe el riesgo de que ocurra lo siguiente: Proveedor crítico aumenta coste o cambia plan.</x:v>
      </x:c>
      <x:c r="E127" s="36" t="str">
        <x:v>Operating cost</x:v>
      </x:c>
      <x:c r="F127" s="36" t="str">
        <x:v>All</x:v>
      </x:c>
      <x:c r="G127" s="36" t="str">
        <x:v>Ausencia, degradación o incumplimiento de los controles definidos para vendor pricing.</x:v>
      </x:c>
      <x:c r="H127" s="36" t="str">
        <x:v>Proveedor crítico aumenta coste o cambia plan</x:v>
      </x:c>
      <x:c r="I127" s="36" t="str">
        <x:v>Puede afectar a Operating cost, bloquear un gate, causar retrabajo, pérdida de datos/confianza o interrupción operativa.</x:v>
      </x:c>
      <x:c r="J127" s="38" t="n">
        <x:v>3</x:v>
      </x:c>
      <x:c r="K127" s="38" t="n">
        <x:v>3</x:v>
      </x:c>
      <x:c r="L127" s="38" t="n">
        <x:f>J127*K127</x:f>
        <x:v>9</x:v>
      </x:c>
      <x:c r="M127" s="27" t="str">
        <x:f>IF(L127&gt;=20,"CRITICAL",IF(L127&gt;=12,"HIGH",IF(L127&gt;=6,"MEDIUM","LOW")))</x:f>
        <x:v>MEDIUM</x:v>
      </x:c>
      <x:c r="N127" s="27" t="str">
        <x:v>SLOW</x:v>
      </x:c>
      <x:c r="O127" s="27" t="str">
        <x:v>MODERATE</x:v>
      </x:c>
      <x:c r="P127" s="36" t="str">
        <x:v>Presupuesto por fases, gasto condicionado a gates y registro de proveedores.</x:v>
      </x:c>
      <x:c r="Q127" s="27" t="str">
        <x:v>PARTIAL</x:v>
      </x:c>
      <x:c r="R127" s="27" t="str">
        <x:v>MITIGATE</x:v>
      </x:c>
      <x:c r="S127" s="36" t="str">
        <x:v>Reducir burn, renegociar, diferir gasto y mantener reserva de continuidad.</x:v>
      </x:c>
      <x:c r="T127" s="38" t="n">
        <x:v>3</x:v>
      </x:c>
      <x:c r="U127" s="38" t="n">
        <x:v>3</x:v>
      </x:c>
      <x:c r="V127" s="38" t="n">
        <x:f>T127*U127</x:f>
        <x:v>9</x:v>
      </x:c>
      <x:c r="W127" s="27" t="str">
        <x:f>IF(V127&gt;=20,"CRITICAL",IF(V127&gt;=12,"HIGH",IF(V127&gt;=6,"MEDIUM","LOW")))</x:f>
        <x:v>MEDIUM</x:v>
      </x:c>
      <x:c r="X127" s="27" t="str">
        <x:v>MODERATE</x:v>
      </x:c>
      <x:c r="Y127" s="27" t="str">
        <x:f>IF(X127="ZERO",IF(V127=0,"WITHIN TOLERANCE","OUTSIDE TOLERANCE"),IF(X127="LOW",IF(V127&lt;=4,"WITHIN TOLERANCE","OUTSIDE TOLERANCE"),IF(X127="MODERATE",IF(V127&lt;=9,"WITHIN TOLERANCE","OUTSIDE TOLERANCE"),IF(X127="HIGH",IF(V127&lt;=16,"WITHIN TOLERANCE","OUTSIDE TOLERANCE"),"REVIEW"))))</x:f>
        <x:v>WITHIN TOLERANCE</x:v>
      </x:c>
      <x:c r="Z127" s="36" t="str">
        <x:v>Project Owner / Production</x:v>
      </x:c>
      <x:c r="AA127" s="36" t="str">
        <x:v>Finance / Publishing</x:v>
      </x:c>
      <x:c r="AB127" s="36" t="str">
        <x:v>Notice de precio/terms</x:v>
      </x:c>
      <x:c r="AC127" s="36" t="str">
        <x:v>Umbral: evidencia positiva, tendencia adversa o gate bloqueado.</x:v>
      </x:c>
      <x:c r="AD127" s="36" t="str">
        <x:v>Congelar gasto discrecional y revisar runway.</x:v>
      </x:c>
      <x:c r="AE127" s="36" t="str">
        <x:v>Rebaselinar alcance/calendario y asegurar servicios críticos.</x:v>
      </x:c>
      <x:c r="AF127" s="27" t="str">
        <x:v>BIA-14</x:v>
      </x:c>
      <x:c r="AG127" s="27" t="str">
        <x:v>PB-14</x:v>
      </x:c>
      <x:c r="AH127" s="27" t="str">
        <x:v>TA-FIN-003</x:v>
      </x:c>
      <x:c r="AI127" s="36" t="str">
        <x:v>00, 06, 20, 24, 25, 28, 33</x:v>
      </x:c>
      <x:c r="AJ127" s="36" t="str">
        <x:v>Roadmaps, Economy/Balance y Marketing Plans históricos</x:v>
      </x:c>
      <x:c r="AK127" s="27" t="str">
        <x:v>OPEN</x:v>
      </x:c>
      <x:c r="AL127" s="27" t="str">
        <x:v>MONTHLY</x:v>
      </x:c>
      <x:c r="AM127" s="40" t="str">
        <x:v>2026-07-01</x:v>
      </x:c>
      <x:c r="AN127" s="40" t="str">
        <x:v>2026-07-31</x:v>
      </x:c>
      <x:c r="AO127" s="27" t="str">
        <x:v>UNVERIFIED</x:v>
      </x:c>
      <x:c r="AP127" s="36" t="str">
        <x:v>Registro inicial consolidado; validar owner, controles y residual.</x:v>
      </x:c>
      <x:c r="AQ127" s="27" t="n">
        <x:f>IF(OR(M127="CRITICAL",W127="CRITICAL",Y127="OUTSIDE TOLERANCE",AK127="ESCALATED",AK127="ACCEPTANCE REQUESTED"),1,0)</x:f>
        <x:v>0</x:v>
      </x:c>
    </x:row>
    <x:row r="128">
      <x:c r="A128" s="27" t="str">
        <x:v>R-FIN-004</x:v>
      </x:c>
      <x:c r="B128" s="36" t="str">
        <x:v>Financial &amp; Commercial</x:v>
      </x:c>
      <x:c r="C128" s="36" t="str">
        <x:v>Refund/chargeback</x:v>
      </x:c>
      <x:c r="D128" s="36" t="str">
        <x:v>Existe el riesgo de que ocurra lo siguiente: Problemas de lanzamiento elevan reembolsos.</x:v>
      </x:c>
      <x:c r="E128" s="36" t="str">
        <x:v>Revenue / reputation</x:v>
      </x:c>
      <x:c r="F128" s="36" t="str">
        <x:v>Post-launch</x:v>
      </x:c>
      <x:c r="G128" s="36" t="str">
        <x:v>Ausencia, degradación o incumplimiento de los controles definidos para refund/chargeback.</x:v>
      </x:c>
      <x:c r="H128" s="36" t="str">
        <x:v>Problemas de lanzamiento elevan reembolsos</x:v>
      </x:c>
      <x:c r="I128" s="36" t="str">
        <x:v>Puede afectar a Revenue / reputation, bloquear un gate, causar retrabajo, pérdida de datos/confianza o interrupción operativa.</x:v>
      </x:c>
      <x:c r="J128" s="38" t="n">
        <x:v>2</x:v>
      </x:c>
      <x:c r="K128" s="38" t="n">
        <x:v>4</x:v>
      </x:c>
      <x:c r="L128" s="38" t="n">
        <x:f>J128*K128</x:f>
        <x:v>8</x:v>
      </x:c>
      <x:c r="M128" s="27" t="str">
        <x:f>IF(L128&gt;=20,"CRITICAL",IF(L128&gt;=12,"HIGH",IF(L128&gt;=6,"MEDIUM","LOW")))</x:f>
        <x:v>MEDIUM</x:v>
      </x:c>
      <x:c r="N128" s="27" t="str">
        <x:v>FAST</x:v>
      </x:c>
      <x:c r="O128" s="27" t="str">
        <x:v>HARD</x:v>
      </x:c>
      <x:c r="P128" s="36" t="str">
        <x:v>Presupuesto por fases, gasto condicionado a gates y registro de proveedores.</x:v>
      </x:c>
      <x:c r="Q128" s="27" t="str">
        <x:v>PARTIAL</x:v>
      </x:c>
      <x:c r="R128" s="27" t="str">
        <x:v>MITIGATE</x:v>
      </x:c>
      <x:c r="S128" s="36" t="str">
        <x:v>Reducir burn, renegociar, diferir gasto y mantener reserva de continuidad.</x:v>
      </x:c>
      <x:c r="T128" s="38" t="n">
        <x:v>2</x:v>
      </x:c>
      <x:c r="U128" s="38" t="n">
        <x:v>4</x:v>
      </x:c>
      <x:c r="V128" s="38" t="n">
        <x:f>T128*U128</x:f>
        <x:v>8</x:v>
      </x:c>
      <x:c r="W128" s="27" t="str">
        <x:f>IF(V128&gt;=20,"CRITICAL",IF(V128&gt;=12,"HIGH",IF(V128&gt;=6,"MEDIUM","LOW")))</x:f>
        <x:v>MEDIUM</x:v>
      </x:c>
      <x:c r="X128" s="27" t="str">
        <x:v>MODERATE</x:v>
      </x:c>
      <x:c r="Y128" s="27" t="str">
        <x:f>IF(X128="ZERO",IF(V128=0,"WITHIN TOLERANCE","OUTSIDE TOLERANCE"),IF(X128="LOW",IF(V128&lt;=4,"WITHIN TOLERANCE","OUTSIDE TOLERANCE"),IF(X128="MODERATE",IF(V128&lt;=9,"WITHIN TOLERANCE","OUTSIDE TOLERANCE"),IF(X128="HIGH",IF(V128&lt;=16,"WITHIN TOLERANCE","OUTSIDE TOLERANCE"),"REVIEW"))))</x:f>
        <x:v>WITHIN TOLERANCE</x:v>
      </x:c>
      <x:c r="Z128" s="36" t="str">
        <x:v>Project Owner / Production</x:v>
      </x:c>
      <x:c r="AA128" s="36" t="str">
        <x:v>Finance / Publishing</x:v>
      </x:c>
      <x:c r="AB128" s="36" t="str">
        <x:v>Refund rate anómalo</x:v>
      </x:c>
      <x:c r="AC128" s="36" t="str">
        <x:v>Umbral: evidencia positiva, tendencia adversa o gate bloqueado.</x:v>
      </x:c>
      <x:c r="AD128" s="36" t="str">
        <x:v>Congelar gasto discrecional y revisar runway.</x:v>
      </x:c>
      <x:c r="AE128" s="36" t="str">
        <x:v>Rebaselinar alcance/calendario y asegurar servicios críticos.</x:v>
      </x:c>
      <x:c r="AF128" s="27" t="str">
        <x:v>BIA-14</x:v>
      </x:c>
      <x:c r="AG128" s="27" t="str">
        <x:v>PB-14</x:v>
      </x:c>
      <x:c r="AH128" s="27" t="str">
        <x:v>TA-FIN-004</x:v>
      </x:c>
      <x:c r="AI128" s="36" t="str">
        <x:v>00, 06, 20, 24, 25, 28, 33</x:v>
      </x:c>
      <x:c r="AJ128" s="36" t="str">
        <x:v>Roadmaps, Economy/Balance y Marketing Plans históricos</x:v>
      </x:c>
      <x:c r="AK128" s="27" t="str">
        <x:v>OPEN</x:v>
      </x:c>
      <x:c r="AL128" s="27" t="str">
        <x:v>WEEKLY</x:v>
      </x:c>
      <x:c r="AM128" s="40" t="str">
        <x:v>2026-07-01</x:v>
      </x:c>
      <x:c r="AN128" s="40" t="str">
        <x:v>2026-07-08</x:v>
      </x:c>
      <x:c r="AO128" s="27" t="str">
        <x:v>UNVERIFIED</x:v>
      </x:c>
      <x:c r="AP128" s="36" t="str">
        <x:v>Registro inicial consolidado; validar owner, controles y residual.</x:v>
      </x:c>
      <x:c r="AQ128" s="27" t="n">
        <x:f>IF(OR(M128="CRITICAL",W128="CRITICAL",Y128="OUTSIDE TOLERANCE",AK128="ESCALATED",AK128="ACCEPTANCE REQUESTED"),1,0)</x:f>
        <x:v>0</x:v>
      </x:c>
    </x:row>
    <x:row r="129">
      <x:c r="A129" s="27" t="str">
        <x:v>R-FIN-005</x:v>
      </x:c>
      <x:c r="B129" s="36" t="str">
        <x:v>Financial &amp; Commercial</x:v>
      </x:c>
      <x:c r="C129" s="36" t="str">
        <x:v>Revenue assumptions</x:v>
      </x:c>
      <x:c r="D129" s="36" t="str">
        <x:v>Existe el riesgo de que ocurra lo siguiente: Decisiones dependen de previsión no validada.</x:v>
      </x:c>
      <x:c r="E129" s="36" t="str">
        <x:v>Product strategy</x:v>
      </x:c>
      <x:c r="F129" s="36" t="str">
        <x:v>Planning</x:v>
      </x:c>
      <x:c r="G129" s="36" t="str">
        <x:v>Ausencia, degradación o incumplimiento de los controles definidos para revenue assumptions.</x:v>
      </x:c>
      <x:c r="H129" s="36" t="str">
        <x:v>Decisiones dependen de previsión no validada</x:v>
      </x:c>
      <x:c r="I129" s="36" t="str">
        <x:v>Puede afectar a Product strategy, bloquear un gate, causar retrabajo, pérdida de datos/confianza o interrupción operativa.</x:v>
      </x:c>
      <x:c r="J129" s="38" t="n">
        <x:v>3</x:v>
      </x:c>
      <x:c r="K129" s="38" t="n">
        <x:v>4</x:v>
      </x:c>
      <x:c r="L129" s="38" t="n">
        <x:f>J129*K129</x:f>
        <x:v>12</x:v>
      </x:c>
      <x:c r="M129" s="27" t="str">
        <x:f>IF(L129&gt;=20,"CRITICAL",IF(L129&gt;=12,"HIGH",IF(L129&gt;=6,"MEDIUM","LOW")))</x:f>
        <x:v>HIGH</x:v>
      </x:c>
      <x:c r="N129" s="27" t="str">
        <x:v>SLOW</x:v>
      </x:c>
      <x:c r="O129" s="27" t="str">
        <x:v>MODERATE</x:v>
      </x:c>
      <x:c r="P129" s="36" t="str">
        <x:v>Presupuesto por fases, gasto condicionado a gates y registro de proveedores.</x:v>
      </x:c>
      <x:c r="Q129" s="27" t="str">
        <x:v>PARTIAL</x:v>
      </x:c>
      <x:c r="R129" s="27" t="str">
        <x:v>MITIGATE</x:v>
      </x:c>
      <x:c r="S129" s="36" t="str">
        <x:v>Reducir burn, renegociar, diferir gasto y mantener reserva de continuidad.</x:v>
      </x:c>
      <x:c r="T129" s="38" t="n">
        <x:v>3</x:v>
      </x:c>
      <x:c r="U129" s="38" t="n">
        <x:v>4</x:v>
      </x:c>
      <x:c r="V129" s="38" t="n">
        <x:f>T129*U129</x:f>
        <x:v>12</x:v>
      </x:c>
      <x:c r="W129" s="27" t="str">
        <x:f>IF(V129&gt;=20,"CRITICAL",IF(V129&gt;=12,"HIGH",IF(V129&gt;=6,"MEDIUM","LOW")))</x:f>
        <x:v>HIGH</x:v>
      </x:c>
      <x:c r="X129" s="27" t="str">
        <x:v>MODERATE</x:v>
      </x:c>
      <x:c r="Y129" s="27" t="str">
        <x:f>IF(X129="ZERO",IF(V129=0,"WITHIN TOLERANCE","OUTSIDE TOLERANCE"),IF(X129="LOW",IF(V129&lt;=4,"WITHIN TOLERANCE","OUTSIDE TOLERANCE"),IF(X129="MODERATE",IF(V129&lt;=9,"WITHIN TOLERANCE","OUTSIDE TOLERANCE"),IF(X129="HIGH",IF(V129&lt;=16,"WITHIN TOLERANCE","OUTSIDE TOLERANCE"),"REVIEW"))))</x:f>
        <x:v>OUTSIDE TOLERANCE</x:v>
      </x:c>
      <x:c r="Z129" s="36" t="str">
        <x:v>Project Owner / Production</x:v>
      </x:c>
      <x:c r="AA129" s="36" t="str">
        <x:v>Finance / Publishing</x:v>
      </x:c>
      <x:c r="AB129" s="36" t="str">
        <x:v>Forecast se usa como garantía</x:v>
      </x:c>
      <x:c r="AC129" s="36" t="str">
        <x:v>Umbral: evidencia positiva, tendencia adversa o gate bloqueado.</x:v>
      </x:c>
      <x:c r="AD129" s="36" t="str">
        <x:v>Congelar gasto discrecional y revisar runway.</x:v>
      </x:c>
      <x:c r="AE129" s="36" t="str">
        <x:v>Rebaselinar alcance/calendario y asegurar servicios críticos.</x:v>
      </x:c>
      <x:c r="AF129" s="27" t="str">
        <x:v>BIA-14</x:v>
      </x:c>
      <x:c r="AG129" s="27" t="str">
        <x:v>PB-14</x:v>
      </x:c>
      <x:c r="AH129" s="27" t="str">
        <x:v>TA-FIN-005</x:v>
      </x:c>
      <x:c r="AI129" s="36" t="str">
        <x:v>00, 06, 20, 24, 25, 28, 33</x:v>
      </x:c>
      <x:c r="AJ129" s="36" t="str">
        <x:v>Roadmaps, Economy/Balance y Marketing Plans históricos</x:v>
      </x:c>
      <x:c r="AK129" s="27" t="str">
        <x:v>OPEN</x:v>
      </x:c>
      <x:c r="AL129" s="27" t="str">
        <x:v>MONTHLY</x:v>
      </x:c>
      <x:c r="AM129" s="40" t="str">
        <x:v>2026-07-01</x:v>
      </x:c>
      <x:c r="AN129" s="40" t="str">
        <x:v>2026-07-31</x:v>
      </x:c>
      <x:c r="AO129" s="27" t="str">
        <x:v>UNVERIFIED</x:v>
      </x:c>
      <x:c r="AP129" s="36" t="str">
        <x:v>Registro inicial consolidado; validar owner, controles y residual.</x:v>
      </x:c>
      <x:c r="AQ129" s="27" t="n">
        <x:f>IF(OR(M129="CRITICAL",W129="CRITICAL",Y129="OUTSIDE TOLERANCE",AK129="ESCALATED",AK129="ACCEPTANCE REQUESTED"),1,0)</x:f>
        <x:v>1</x:v>
      </x:c>
    </x:row>
    <x:row r="130">
      <x:c r="A130" s="27" t="str">
        <x:v>R-FIN-006</x:v>
      </x:c>
      <x:c r="B130" s="36" t="str">
        <x:v>Financial &amp; Commercial</x:v>
      </x:c>
      <x:c r="C130" s="36" t="str">
        <x:v>Tax/accounting</x:v>
      </x:c>
      <x:c r="D130" s="36" t="str">
        <x:v>Existe el riesgo de que ocurra lo siguiente: Ingresos/gastos no se registran correctamente.</x:v>
      </x:c>
      <x:c r="E130" s="36" t="str">
        <x:v>Compliance</x:v>
      </x:c>
      <x:c r="F130" s="36" t="str">
        <x:v>Post-launch</x:v>
      </x:c>
      <x:c r="G130" s="36" t="str">
        <x:v>Ausencia, degradación o incumplimiento de los controles definidos para tax/accounting.</x:v>
      </x:c>
      <x:c r="H130" s="36" t="str">
        <x:v>Ingresos/gastos no se registran correctamente</x:v>
      </x:c>
      <x:c r="I130" s="36" t="str">
        <x:v>Puede afectar a Compliance, bloquear un gate, causar retrabajo, pérdida de datos/confianza o interrupción operativa.</x:v>
      </x:c>
      <x:c r="J130" s="38" t="n">
        <x:v>2</x:v>
      </x:c>
      <x:c r="K130" s="38" t="n">
        <x:v>4</x:v>
      </x:c>
      <x:c r="L130" s="38" t="n">
        <x:f>J130*K130</x:f>
        <x:v>8</x:v>
      </x:c>
      <x:c r="M130" s="27" t="str">
        <x:f>IF(L130&gt;=20,"CRITICAL",IF(L130&gt;=12,"HIGH",IF(L130&gt;=6,"MEDIUM","LOW")))</x:f>
        <x:v>MEDIUM</x:v>
      </x:c>
      <x:c r="N130" s="27" t="str">
        <x:v>SLOW</x:v>
      </x:c>
      <x:c r="O130" s="27" t="str">
        <x:v>MODERATE</x:v>
      </x:c>
      <x:c r="P130" s="36" t="str">
        <x:v>Presupuesto por fases, gasto condicionado a gates y registro de proveedores.</x:v>
      </x:c>
      <x:c r="Q130" s="27" t="str">
        <x:v>PARTIAL</x:v>
      </x:c>
      <x:c r="R130" s="27" t="str">
        <x:v>MITIGATE</x:v>
      </x:c>
      <x:c r="S130" s="36" t="str">
        <x:v>Reducir burn, renegociar, diferir gasto y mantener reserva de continuidad.</x:v>
      </x:c>
      <x:c r="T130" s="38" t="n">
        <x:v>2</x:v>
      </x:c>
      <x:c r="U130" s="38" t="n">
        <x:v>4</x:v>
      </x:c>
      <x:c r="V130" s="38" t="n">
        <x:f>T130*U130</x:f>
        <x:v>8</x:v>
      </x:c>
      <x:c r="W130" s="27" t="str">
        <x:f>IF(V130&gt;=20,"CRITICAL",IF(V130&gt;=12,"HIGH",IF(V130&gt;=6,"MEDIUM","LOW")))</x:f>
        <x:v>MEDIUM</x:v>
      </x:c>
      <x:c r="X130" s="27" t="str">
        <x:v>MODERATE</x:v>
      </x:c>
      <x:c r="Y130" s="27" t="str">
        <x:f>IF(X130="ZERO",IF(V130=0,"WITHIN TOLERANCE","OUTSIDE TOLERANCE"),IF(X130="LOW",IF(V130&lt;=4,"WITHIN TOLERANCE","OUTSIDE TOLERANCE"),IF(X130="MODERATE",IF(V130&lt;=9,"WITHIN TOLERANCE","OUTSIDE TOLERANCE"),IF(X130="HIGH",IF(V130&lt;=16,"WITHIN TOLERANCE","OUTSIDE TOLERANCE"),"REVIEW"))))</x:f>
        <x:v>WITHIN TOLERANCE</x:v>
      </x:c>
      <x:c r="Z130" s="36" t="str">
        <x:v>Project Owner / Production</x:v>
      </x:c>
      <x:c r="AA130" s="36" t="str">
        <x:v>Finance / Publishing</x:v>
      </x:c>
      <x:c r="AB130" s="36" t="str">
        <x:v>Documentación financiera incompleta</x:v>
      </x:c>
      <x:c r="AC130" s="36" t="str">
        <x:v>Umbral: evidencia positiva, tendencia adversa o gate bloqueado.</x:v>
      </x:c>
      <x:c r="AD130" s="36" t="str">
        <x:v>Congelar gasto discrecional y revisar runway.</x:v>
      </x:c>
      <x:c r="AE130" s="36" t="str">
        <x:v>Rebaselinar alcance/calendario y asegurar servicios críticos.</x:v>
      </x:c>
      <x:c r="AF130" s="27" t="str">
        <x:v>BIA-14</x:v>
      </x:c>
      <x:c r="AG130" s="27" t="str">
        <x:v>PB-14</x:v>
      </x:c>
      <x:c r="AH130" s="27" t="str">
        <x:v>TA-FIN-006</x:v>
      </x:c>
      <x:c r="AI130" s="36" t="str">
        <x:v>00, 06, 20, 24, 25, 28, 33</x:v>
      </x:c>
      <x:c r="AJ130" s="36" t="str">
        <x:v>Roadmaps, Economy/Balance y Marketing Plans históricos</x:v>
      </x:c>
      <x:c r="AK130" s="27" t="str">
        <x:v>OPEN</x:v>
      </x:c>
      <x:c r="AL130" s="27" t="str">
        <x:v>MONTHLY</x:v>
      </x:c>
      <x:c r="AM130" s="40" t="str">
        <x:v>2026-07-01</x:v>
      </x:c>
      <x:c r="AN130" s="40" t="str">
        <x:v>2026-07-31</x:v>
      </x:c>
      <x:c r="AO130" s="27" t="str">
        <x:v>UNVERIFIED</x:v>
      </x:c>
      <x:c r="AP130" s="36" t="str">
        <x:v>Registro inicial consolidado; validar owner, controles y residual.</x:v>
      </x:c>
      <x:c r="AQ130" s="27" t="n">
        <x:f>IF(OR(M130="CRITICAL",W130="CRITICAL",Y130="OUTSIDE TOLERANCE",AK130="ESCALATED",AK130="ACCEPTANCE REQUESTED"),1,0)</x:f>
        <x:v>0</x:v>
      </x:c>
    </x:row>
    <x:row r="131">
      <x:c r="A131" s="27" t="str">
        <x:v>R-EXT-001</x:v>
      </x:c>
      <x:c r="B131" s="36" t="str">
        <x:v>External Services &amp; Vendors</x:v>
      </x:c>
      <x:c r="C131" s="36" t="str">
        <x:v>GitHub outage</x:v>
      </x:c>
      <x:c r="D131" s="36" t="str">
        <x:v>Existe el riesgo de que ocurra lo siguiente: Repositorio remoto no está disponible.</x:v>
      </x:c>
      <x:c r="E131" s="36" t="str">
        <x:v>Source collaboration</x:v>
      </x:c>
      <x:c r="F131" s="36" t="str">
        <x:v>All</x:v>
      </x:c>
      <x:c r="G131" s="36" t="str">
        <x:v>Ausencia, degradación o incumplimiento de los controles definidos para github outage.</x:v>
      </x:c>
      <x:c r="H131" s="36" t="str">
        <x:v>Repositorio remoto no está disponible</x:v>
      </x:c>
      <x:c r="I131" s="36" t="str">
        <x:v>Puede afectar a Source collaboration, bloquear un gate, causar retrabajo, pérdida de datos/confianza o interrupción operativa.</x:v>
      </x:c>
      <x:c r="J131" s="38" t="n">
        <x:v>3</x:v>
      </x:c>
      <x:c r="K131" s="38" t="n">
        <x:v>4</x:v>
      </x:c>
      <x:c r="L131" s="38" t="n">
        <x:f>J131*K131</x:f>
        <x:v>12</x:v>
      </x:c>
      <x:c r="M131" s="27" t="str">
        <x:f>IF(L131&gt;=20,"CRITICAL",IF(L131&gt;=12,"HIGH",IF(L131&gt;=6,"MEDIUM","LOW")))</x:f>
        <x:v>HIGH</x:v>
      </x:c>
      <x:c r="N131" s="27" t="str">
        <x:v>FAST</x:v>
      </x:c>
      <x:c r="O131" s="27" t="str">
        <x:v>HARD</x:v>
      </x:c>
      <x:c r="P131" s="36" t="str">
        <x:v>Inventario de dependencias, alternativas, exportación local y acceso mínimo.</x:v>
      </x:c>
      <x:c r="Q131" s="27" t="str">
        <x:v>PARTIAL</x:v>
      </x:c>
      <x:c r="R131" s="27" t="str">
        <x:v>MITIGATE</x:v>
      </x:c>
      <x:c r="S131" s="36" t="str">
        <x:v>Eliminar dependencia innecesaria, preparar sustituto y exportar datos.</x:v>
      </x:c>
      <x:c r="T131" s="38" t="n">
        <x:v>3</x:v>
      </x:c>
      <x:c r="U131" s="38" t="n">
        <x:v>4</x:v>
      </x:c>
      <x:c r="V131" s="38" t="n">
        <x:f>T131*U131</x:f>
        <x:v>12</x:v>
      </x:c>
      <x:c r="W131" s="27" t="str">
        <x:f>IF(V131&gt;=20,"CRITICAL",IF(V131&gt;=12,"HIGH",IF(V131&gt;=6,"MEDIUM","LOW")))</x:f>
        <x:v>HIGH</x:v>
      </x:c>
      <x:c r="X131" s="27" t="str">
        <x:v>LOW</x:v>
      </x:c>
      <x:c r="Y131" s="27" t="str">
        <x:f>IF(X131="ZERO",IF(V131=0,"WITHIN TOLERANCE","OUTSIDE TOLERANCE"),IF(X131="LOW",IF(V131&lt;=4,"WITHIN TOLERANCE","OUTSIDE TOLERANCE"),IF(X131="MODERATE",IF(V131&lt;=9,"WITHIN TOLERANCE","OUTSIDE TOLERANCE"),IF(X131="HIGH",IF(V131&lt;=16,"WITHIN TOLERANCE","OUTSIDE TOLERANCE"),"REVIEW"))))</x:f>
        <x:v>OUTSIDE TOLERANCE</x:v>
      </x:c>
      <x:c r="Z131" s="36" t="str">
        <x:v>Production / Engineering</x:v>
      </x:c>
      <x:c r="AA131" s="36" t="str">
        <x:v>Project Owner</x:v>
      </x:c>
      <x:c r="AB131" s="36" t="str">
        <x:v>Servicio degradado &gt; 4 h</x:v>
      </x:c>
      <x:c r="AC131" s="36" t="str">
        <x:v>Umbral: evidencia positiva, tendencia adversa o gate bloqueado.</x:v>
      </x:c>
      <x:c r="AD131" s="36" t="str">
        <x:v>Cambiar a operación local/degradada y contactar proveedor.</x:v>
      </x:c>
      <x:c r="AE131" s="36" t="str">
        <x:v>Restaurar servicio o migrar a alternativa validada.</x:v>
      </x:c>
      <x:c r="AF131" s="27" t="str">
        <x:v>BIA-15</x:v>
      </x:c>
      <x:c r="AG131" s="27" t="str">
        <x:v>PB-15</x:v>
      </x:c>
      <x:c r="AH131" s="27" t="str">
        <x:v>TA-EXT-001</x:v>
      </x:c>
      <x:c r="AI131" s="36" t="str">
        <x:v>10, 11, 23, 24, 25, 27, 28, 31</x:v>
      </x:c>
      <x:c r="AJ131" s="36" t="str">
        <x:v>Setup/build/Steam/legal y registros de herramientas</x:v>
      </x:c>
      <x:c r="AK131" s="27" t="str">
        <x:v>OPEN</x:v>
      </x:c>
      <x:c r="AL131" s="27" t="str">
        <x:v>WEEKLY</x:v>
      </x:c>
      <x:c r="AM131" s="40" t="str">
        <x:v>2026-07-01</x:v>
      </x:c>
      <x:c r="AN131" s="40" t="str">
        <x:v>2026-07-08</x:v>
      </x:c>
      <x:c r="AO131" s="27" t="str">
        <x:v>UNVERIFIED</x:v>
      </x:c>
      <x:c r="AP131" s="36" t="str">
        <x:v>Registro inicial consolidado; validar owner, controles y residual.</x:v>
      </x:c>
      <x:c r="AQ131" s="27" t="n">
        <x:f>IF(OR(M131="CRITICAL",W131="CRITICAL",Y131="OUTSIDE TOLERANCE",AK131="ESCALATED",AK131="ACCEPTANCE REQUESTED"),1,0)</x:f>
        <x:v>1</x:v>
      </x:c>
    </x:row>
    <x:row r="132">
      <x:c r="A132" s="27" t="str">
        <x:v>R-EXT-002</x:v>
      </x:c>
      <x:c r="B132" s="36" t="str">
        <x:v>External Services &amp; Vendors</x:v>
      </x:c>
      <x:c r="C132" s="36" t="str">
        <x:v>Steamworks outage</x:v>
      </x:c>
      <x:c r="D132" s="36" t="str">
        <x:v>Existe el riesgo de que ocurra lo siguiente: No se puede subir/publicar build.</x:v>
      </x:c>
      <x:c r="E132" s="36" t="str">
        <x:v>Distribution</x:v>
      </x:c>
      <x:c r="F132" s="36" t="str">
        <x:v>Release</x:v>
      </x:c>
      <x:c r="G132" s="36" t="str">
        <x:v>Ausencia, degradación o incumplimiento de los controles definidos para steamworks outage.</x:v>
      </x:c>
      <x:c r="H132" s="36" t="str">
        <x:v>No se puede subir/publicar build</x:v>
      </x:c>
      <x:c r="I132" s="36" t="str">
        <x:v>Puede afectar a Distribution, bloquear un gate, causar retrabajo, pérdida de datos/confianza o interrupción operativa.</x:v>
      </x:c>
      <x:c r="J132" s="38" t="n">
        <x:v>3</x:v>
      </x:c>
      <x:c r="K132" s="38" t="n">
        <x:v>5</x:v>
      </x:c>
      <x:c r="L132" s="38" t="n">
        <x:f>J132*K132</x:f>
        <x:v>15</x:v>
      </x:c>
      <x:c r="M132" s="27" t="str">
        <x:f>IF(L132&gt;=20,"CRITICAL",IF(L132&gt;=12,"HIGH",IF(L132&gt;=6,"MEDIUM","LOW")))</x:f>
        <x:v>HIGH</x:v>
      </x:c>
      <x:c r="N132" s="27" t="str">
        <x:v>FAST</x:v>
      </x:c>
      <x:c r="O132" s="27" t="str">
        <x:v>HARD</x:v>
      </x:c>
      <x:c r="P132" s="36" t="str">
        <x:v>Inventario de dependencias, alternativas, exportación local y acceso mínimo.</x:v>
      </x:c>
      <x:c r="Q132" s="27" t="str">
        <x:v>PARTIAL</x:v>
      </x:c>
      <x:c r="R132" s="27" t="str">
        <x:v>MITIGATE</x:v>
      </x:c>
      <x:c r="S132" s="36" t="str">
        <x:v>Eliminar dependencia innecesaria, preparar sustituto y exportar datos.</x:v>
      </x:c>
      <x:c r="T132" s="38" t="n">
        <x:v>3</x:v>
      </x:c>
      <x:c r="U132" s="38" t="n">
        <x:v>5</x:v>
      </x:c>
      <x:c r="V132" s="38" t="n">
        <x:f>T132*U132</x:f>
        <x:v>15</x:v>
      </x:c>
      <x:c r="W132" s="27" t="str">
        <x:f>IF(V132&gt;=20,"CRITICAL",IF(V132&gt;=12,"HIGH",IF(V132&gt;=6,"MEDIUM","LOW")))</x:f>
        <x:v>HIGH</x:v>
      </x:c>
      <x:c r="X132" s="27" t="str">
        <x:v>LOW</x:v>
      </x:c>
      <x:c r="Y132" s="27" t="str">
        <x:f>IF(X132="ZERO",IF(V132=0,"WITHIN TOLERANCE","OUTSIDE TOLERANCE"),IF(X132="LOW",IF(V132&lt;=4,"WITHIN TOLERANCE","OUTSIDE TOLERANCE"),IF(X132="MODERATE",IF(V132&lt;=9,"WITHIN TOLERANCE","OUTSIDE TOLERANCE"),IF(X132="HIGH",IF(V132&lt;=16,"WITHIN TOLERANCE","OUTSIDE TOLERANCE"),"REVIEW"))))</x:f>
        <x:v>OUTSIDE TOLERANCE</x:v>
      </x:c>
      <x:c r="Z132" s="36" t="str">
        <x:v>Production / Engineering</x:v>
      </x:c>
      <x:c r="AA132" s="36" t="str">
        <x:v>Project Owner</x:v>
      </x:c>
      <x:c r="AB132" s="36" t="str">
        <x:v>Outage durante ventana</x:v>
      </x:c>
      <x:c r="AC132" s="36" t="str">
        <x:v>Umbral: evidencia positiva, tendencia adversa o gate bloqueado.</x:v>
      </x:c>
      <x:c r="AD132" s="36" t="str">
        <x:v>Cambiar a operación local/degradada y contactar proveedor.</x:v>
      </x:c>
      <x:c r="AE132" s="36" t="str">
        <x:v>Restaurar servicio o migrar a alternativa validada.</x:v>
      </x:c>
      <x:c r="AF132" s="27" t="str">
        <x:v>BIA-15</x:v>
      </x:c>
      <x:c r="AG132" s="27" t="str">
        <x:v>PB-15</x:v>
      </x:c>
      <x:c r="AH132" s="27" t="str">
        <x:v>TA-EXT-002</x:v>
      </x:c>
      <x:c r="AI132" s="36" t="str">
        <x:v>10, 11, 23, 24, 25, 27, 28, 31</x:v>
      </x:c>
      <x:c r="AJ132" s="36" t="str">
        <x:v>Setup/build/Steam/legal y registros de herramientas</x:v>
      </x:c>
      <x:c r="AK132" s="27" t="str">
        <x:v>OPEN</x:v>
      </x:c>
      <x:c r="AL132" s="27" t="str">
        <x:v>WEEKLY</x:v>
      </x:c>
      <x:c r="AM132" s="40" t="str">
        <x:v>2026-07-01</x:v>
      </x:c>
      <x:c r="AN132" s="40" t="str">
        <x:v>2026-07-08</x:v>
      </x:c>
      <x:c r="AO132" s="27" t="str">
        <x:v>UNVERIFIED</x:v>
      </x:c>
      <x:c r="AP132" s="36" t="str">
        <x:v>Registro inicial consolidado; validar owner, controles y residual.</x:v>
      </x:c>
      <x:c r="AQ132" s="27" t="n">
        <x:f>IF(OR(M132="CRITICAL",W132="CRITICAL",Y132="OUTSIDE TOLERANCE",AK132="ESCALATED",AK132="ACCEPTANCE REQUESTED"),1,0)</x:f>
        <x:v>1</x:v>
      </x:c>
    </x:row>
    <x:row r="133">
      <x:c r="A133" s="27" t="str">
        <x:v>R-EXT-003</x:v>
      </x:c>
      <x:c r="B133" s="36" t="str">
        <x:v>External Services &amp; Vendors</x:v>
      </x:c>
      <x:c r="C133" s="36" t="str">
        <x:v>Unity service/license</x:v>
      </x:c>
      <x:c r="D133" s="36" t="str">
        <x:v>Existe el riesgo de que ocurra lo siguiente: Editor/licencia/servicio impide trabajar.</x:v>
      </x:c>
      <x:c r="E133" s="36" t="str">
        <x:v>Toolchain</x:v>
      </x:c>
      <x:c r="F133" s="36" t="str">
        <x:v>Development</x:v>
      </x:c>
      <x:c r="G133" s="36" t="str">
        <x:v>Ausencia, degradación o incumplimiento de los controles definidos para unity service/license.</x:v>
      </x:c>
      <x:c r="H133" s="36" t="str">
        <x:v>Editor/licencia/servicio impide trabajar</x:v>
      </x:c>
      <x:c r="I133" s="36" t="str">
        <x:v>Puede afectar a Toolchain, bloquear un gate, causar retrabajo, pérdida de datos/confianza o interrupción operativa.</x:v>
      </x:c>
      <x:c r="J133" s="38" t="n">
        <x:v>2</x:v>
      </x:c>
      <x:c r="K133" s="38" t="n">
        <x:v>4</x:v>
      </x:c>
      <x:c r="L133" s="38" t="n">
        <x:f>J133*K133</x:f>
        <x:v>8</x:v>
      </x:c>
      <x:c r="M133" s="27" t="str">
        <x:f>IF(L133&gt;=20,"CRITICAL",IF(L133&gt;=12,"HIGH",IF(L133&gt;=6,"MEDIUM","LOW")))</x:f>
        <x:v>MEDIUM</x:v>
      </x:c>
      <x:c r="N133" s="27" t="str">
        <x:v>FAST</x:v>
      </x:c>
      <x:c r="O133" s="27" t="str">
        <x:v>HARD</x:v>
      </x:c>
      <x:c r="P133" s="36" t="str">
        <x:v>Inventario de dependencias, alternativas, exportación local y acceso mínimo.</x:v>
      </x:c>
      <x:c r="Q133" s="27" t="str">
        <x:v>PARTIAL</x:v>
      </x:c>
      <x:c r="R133" s="27" t="str">
        <x:v>MITIGATE</x:v>
      </x:c>
      <x:c r="S133" s="36" t="str">
        <x:v>Eliminar dependencia innecesaria, preparar sustituto y exportar datos.</x:v>
      </x:c>
      <x:c r="T133" s="38" t="n">
        <x:v>2</x:v>
      </x:c>
      <x:c r="U133" s="38" t="n">
        <x:v>4</x:v>
      </x:c>
      <x:c r="V133" s="38" t="n">
        <x:f>T133*U133</x:f>
        <x:v>8</x:v>
      </x:c>
      <x:c r="W133" s="27" t="str">
        <x:f>IF(V133&gt;=20,"CRITICAL",IF(V133&gt;=12,"HIGH",IF(V133&gt;=6,"MEDIUM","LOW")))</x:f>
        <x:v>MEDIUM</x:v>
      </x:c>
      <x:c r="X133" s="27" t="str">
        <x:v>LOW</x:v>
      </x:c>
      <x:c r="Y133" s="27" t="str">
        <x:f>IF(X133="ZERO",IF(V133=0,"WITHIN TOLERANCE","OUTSIDE TOLERANCE"),IF(X133="LOW",IF(V133&lt;=4,"WITHIN TOLERANCE","OUTSIDE TOLERANCE"),IF(X133="MODERATE",IF(V133&lt;=9,"WITHIN TOLERANCE","OUTSIDE TOLERANCE"),IF(X133="HIGH",IF(V133&lt;=16,"WITHIN TOLERANCE","OUTSIDE TOLERANCE"),"REVIEW"))))</x:f>
        <x:v>OUTSIDE TOLERANCE</x:v>
      </x:c>
      <x:c r="Z133" s="36" t="str">
        <x:v>Production / Engineering</x:v>
      </x:c>
      <x:c r="AA133" s="36" t="str">
        <x:v>Project Owner</x:v>
      </x:c>
      <x:c r="AB133" s="36" t="str">
        <x:v>Activación/login bloqueado</x:v>
      </x:c>
      <x:c r="AC133" s="36" t="str">
        <x:v>Umbral: evidencia positiva, tendencia adversa o gate bloqueado.</x:v>
      </x:c>
      <x:c r="AD133" s="36" t="str">
        <x:v>Cambiar a operación local/degradada y contactar proveedor.</x:v>
      </x:c>
      <x:c r="AE133" s="36" t="str">
        <x:v>Restaurar servicio o migrar a alternativa validada.</x:v>
      </x:c>
      <x:c r="AF133" s="27" t="str">
        <x:v>BIA-15</x:v>
      </x:c>
      <x:c r="AG133" s="27" t="str">
        <x:v>PB-15</x:v>
      </x:c>
      <x:c r="AH133" s="27" t="str">
        <x:v>TA-EXT-003</x:v>
      </x:c>
      <x:c r="AI133" s="36" t="str">
        <x:v>10, 11, 23, 24, 25, 27, 28, 31</x:v>
      </x:c>
      <x:c r="AJ133" s="36" t="str">
        <x:v>Setup/build/Steam/legal y registros de herramientas</x:v>
      </x:c>
      <x:c r="AK133" s="27" t="str">
        <x:v>OPEN</x:v>
      </x:c>
      <x:c r="AL133" s="27" t="str">
        <x:v>WEEKLY</x:v>
      </x:c>
      <x:c r="AM133" s="40" t="str">
        <x:v>2026-07-01</x:v>
      </x:c>
      <x:c r="AN133" s="40" t="str">
        <x:v>2026-07-08</x:v>
      </x:c>
      <x:c r="AO133" s="27" t="str">
        <x:v>UNVERIFIED</x:v>
      </x:c>
      <x:c r="AP133" s="36" t="str">
        <x:v>Registro inicial consolidado; validar owner, controles y residual.</x:v>
      </x:c>
      <x:c r="AQ133" s="27" t="n">
        <x:f>IF(OR(M133="CRITICAL",W133="CRITICAL",Y133="OUTSIDE TOLERANCE",AK133="ESCALATED",AK133="ACCEPTANCE REQUESTED"),1,0)</x:f>
        <x:v>1</x:v>
      </x:c>
    </x:row>
    <x:row r="134">
      <x:c r="A134" s="27" t="str">
        <x:v>R-EXT-004</x:v>
      </x:c>
      <x:c r="B134" s="36" t="str">
        <x:v>External Services &amp; Vendors</x:v>
      </x:c>
      <x:c r="C134" s="36" t="str">
        <x:v>Cloud storage outage</x:v>
      </x:c>
      <x:c r="D134" s="36" t="str">
        <x:v>Existe el riesgo de que ocurra lo siguiente: Backup remoto no es accesible.</x:v>
      </x:c>
      <x:c r="E134" s="36" t="str">
        <x:v>Recovery</x:v>
      </x:c>
      <x:c r="F134" s="36" t="str">
        <x:v>All</x:v>
      </x:c>
      <x:c r="G134" s="36" t="str">
        <x:v>Ausencia, degradación o incumplimiento de los controles definidos para cloud storage outage.</x:v>
      </x:c>
      <x:c r="H134" s="36" t="str">
        <x:v>Backup remoto no es accesible</x:v>
      </x:c>
      <x:c r="I134" s="36" t="str">
        <x:v>Puede afectar a Recovery, bloquear un gate, causar retrabajo, pérdida de datos/confianza o interrupción operativa.</x:v>
      </x:c>
      <x:c r="J134" s="38" t="n">
        <x:v>3</x:v>
      </x:c>
      <x:c r="K134" s="38" t="n">
        <x:v>5</x:v>
      </x:c>
      <x:c r="L134" s="38" t="n">
        <x:f>J134*K134</x:f>
        <x:v>15</x:v>
      </x:c>
      <x:c r="M134" s="27" t="str">
        <x:f>IF(L134&gt;=20,"CRITICAL",IF(L134&gt;=12,"HIGH",IF(L134&gt;=6,"MEDIUM","LOW")))</x:f>
        <x:v>HIGH</x:v>
      </x:c>
      <x:c r="N134" s="27" t="str">
        <x:v>FAST</x:v>
      </x:c>
      <x:c r="O134" s="27" t="str">
        <x:v>HARD</x:v>
      </x:c>
      <x:c r="P134" s="36" t="str">
        <x:v>Inventario de dependencias, alternativas, exportación local y acceso mínimo.</x:v>
      </x:c>
      <x:c r="Q134" s="27" t="str">
        <x:v>PARTIAL</x:v>
      </x:c>
      <x:c r="R134" s="27" t="str">
        <x:v>MITIGATE</x:v>
      </x:c>
      <x:c r="S134" s="36" t="str">
        <x:v>Eliminar dependencia innecesaria, preparar sustituto y exportar datos.</x:v>
      </x:c>
      <x:c r="T134" s="38" t="n">
        <x:v>3</x:v>
      </x:c>
      <x:c r="U134" s="38" t="n">
        <x:v>5</x:v>
      </x:c>
      <x:c r="V134" s="38" t="n">
        <x:f>T134*U134</x:f>
        <x:v>15</x:v>
      </x:c>
      <x:c r="W134" s="27" t="str">
        <x:f>IF(V134&gt;=20,"CRITICAL",IF(V134&gt;=12,"HIGH",IF(V134&gt;=6,"MEDIUM","LOW")))</x:f>
        <x:v>HIGH</x:v>
      </x:c>
      <x:c r="X134" s="27" t="str">
        <x:v>LOW</x:v>
      </x:c>
      <x:c r="Y134" s="27" t="str">
        <x:f>IF(X134="ZERO",IF(V134=0,"WITHIN TOLERANCE","OUTSIDE TOLERANCE"),IF(X134="LOW",IF(V134&lt;=4,"WITHIN TOLERANCE","OUTSIDE TOLERANCE"),IF(X134="MODERATE",IF(V134&lt;=9,"WITHIN TOLERANCE","OUTSIDE TOLERANCE"),IF(X134="HIGH",IF(V134&lt;=16,"WITHIN TOLERANCE","OUTSIDE TOLERANCE"),"REVIEW"))))</x:f>
        <x:v>OUTSIDE TOLERANCE</x:v>
      </x:c>
      <x:c r="Z134" s="36" t="str">
        <x:v>Production / Engineering</x:v>
      </x:c>
      <x:c r="AA134" s="36" t="str">
        <x:v>Project Owner</x:v>
      </x:c>
      <x:c r="AB134" s="36" t="str">
        <x:v>Restore necesita proveedor caído</x:v>
      </x:c>
      <x:c r="AC134" s="36" t="str">
        <x:v>Umbral: evidencia positiva, tendencia adversa o gate bloqueado.</x:v>
      </x:c>
      <x:c r="AD134" s="36" t="str">
        <x:v>Cambiar a operación local/degradada y contactar proveedor.</x:v>
      </x:c>
      <x:c r="AE134" s="36" t="str">
        <x:v>Restaurar servicio o migrar a alternativa validada.</x:v>
      </x:c>
      <x:c r="AF134" s="27" t="str">
        <x:v>BIA-15</x:v>
      </x:c>
      <x:c r="AG134" s="27" t="str">
        <x:v>PB-15</x:v>
      </x:c>
      <x:c r="AH134" s="27" t="str">
        <x:v>TA-EXT-004</x:v>
      </x:c>
      <x:c r="AI134" s="36" t="str">
        <x:v>10, 11, 23, 24, 25, 27, 28, 31</x:v>
      </x:c>
      <x:c r="AJ134" s="36" t="str">
        <x:v>Setup/build/Steam/legal y registros de herramientas</x:v>
      </x:c>
      <x:c r="AK134" s="27" t="str">
        <x:v>OPEN</x:v>
      </x:c>
      <x:c r="AL134" s="27" t="str">
        <x:v>WEEKLY</x:v>
      </x:c>
      <x:c r="AM134" s="40" t="str">
        <x:v>2026-07-01</x:v>
      </x:c>
      <x:c r="AN134" s="40" t="str">
        <x:v>2026-07-08</x:v>
      </x:c>
      <x:c r="AO134" s="27" t="str">
        <x:v>UNVERIFIED</x:v>
      </x:c>
      <x:c r="AP134" s="36" t="str">
        <x:v>Registro inicial consolidado; validar owner, controles y residual.</x:v>
      </x:c>
      <x:c r="AQ134" s="27" t="n">
        <x:f>IF(OR(M134="CRITICAL",W134="CRITICAL",Y134="OUTSIDE TOLERANCE",AK134="ESCALATED",AK134="ACCEPTANCE REQUESTED"),1,0)</x:f>
        <x:v>1</x:v>
      </x:c>
    </x:row>
    <x:row r="135">
      <x:c r="A135" s="27" t="str">
        <x:v>R-EXT-005</x:v>
      </x:c>
      <x:c r="B135" s="36" t="str">
        <x:v>External Services &amp; Vendors</x:v>
      </x:c>
      <x:c r="C135" s="36" t="str">
        <x:v>Vendor termination</x:v>
      </x:c>
      <x:c r="D135" s="36" t="str">
        <x:v>Existe el riesgo de que ocurra lo siguiente: Herramienta/servicio se cierra o cambia términos.</x:v>
      </x:c>
      <x:c r="E135" s="36" t="str">
        <x:v>Operations</x:v>
      </x:c>
      <x:c r="F135" s="36" t="str">
        <x:v>All</x:v>
      </x:c>
      <x:c r="G135" s="36" t="str">
        <x:v>Ausencia, degradación o incumplimiento de los controles definidos para vendor termination.</x:v>
      </x:c>
      <x:c r="H135" s="36" t="str">
        <x:v>Herramienta/servicio se cierra o cambia términos</x:v>
      </x:c>
      <x:c r="I135" s="36" t="str">
        <x:v>Puede afectar a Operations, bloquear un gate, causar retrabajo, pérdida de datos/confianza o interrupción operativa.</x:v>
      </x:c>
      <x:c r="J135" s="38" t="n">
        <x:v>2</x:v>
      </x:c>
      <x:c r="K135" s="38" t="n">
        <x:v>4</x:v>
      </x:c>
      <x:c r="L135" s="38" t="n">
        <x:f>J135*K135</x:f>
        <x:v>8</x:v>
      </x:c>
      <x:c r="M135" s="27" t="str">
        <x:f>IF(L135&gt;=20,"CRITICAL",IF(L135&gt;=12,"HIGH",IF(L135&gt;=6,"MEDIUM","LOW")))</x:f>
        <x:v>MEDIUM</x:v>
      </x:c>
      <x:c r="N135" s="27" t="str">
        <x:v>SLOW</x:v>
      </x:c>
      <x:c r="O135" s="27" t="str">
        <x:v>MODERATE</x:v>
      </x:c>
      <x:c r="P135" s="36" t="str">
        <x:v>Inventario de dependencias, alternativas, exportación local y acceso mínimo.</x:v>
      </x:c>
      <x:c r="Q135" s="27" t="str">
        <x:v>PARTIAL</x:v>
      </x:c>
      <x:c r="R135" s="27" t="str">
        <x:v>MITIGATE</x:v>
      </x:c>
      <x:c r="S135" s="36" t="str">
        <x:v>Eliminar dependencia innecesaria, preparar sustituto y exportar datos.</x:v>
      </x:c>
      <x:c r="T135" s="38" t="n">
        <x:v>2</x:v>
      </x:c>
      <x:c r="U135" s="38" t="n">
        <x:v>4</x:v>
      </x:c>
      <x:c r="V135" s="38" t="n">
        <x:f>T135*U135</x:f>
        <x:v>8</x:v>
      </x:c>
      <x:c r="W135" s="27" t="str">
        <x:f>IF(V135&gt;=20,"CRITICAL",IF(V135&gt;=12,"HIGH",IF(V135&gt;=6,"MEDIUM","LOW")))</x:f>
        <x:v>MEDIUM</x:v>
      </x:c>
      <x:c r="X135" s="27" t="str">
        <x:v>LOW</x:v>
      </x:c>
      <x:c r="Y135" s="27" t="str">
        <x:f>IF(X135="ZERO",IF(V135=0,"WITHIN TOLERANCE","OUTSIDE TOLERANCE"),IF(X135="LOW",IF(V135&lt;=4,"WITHIN TOLERANCE","OUTSIDE TOLERANCE"),IF(X135="MODERATE",IF(V135&lt;=9,"WITHIN TOLERANCE","OUTSIDE TOLERANCE"),IF(X135="HIGH",IF(V135&lt;=16,"WITHIN TOLERANCE","OUTSIDE TOLERANCE"),"REVIEW"))))</x:f>
        <x:v>OUTSIDE TOLERANCE</x:v>
      </x:c>
      <x:c r="Z135" s="36" t="str">
        <x:v>Production / Engineering</x:v>
      </x:c>
      <x:c r="AA135" s="36" t="str">
        <x:v>Project Owner</x:v>
      </x:c>
      <x:c r="AB135" s="36" t="str">
        <x:v>EOL/terms notice</x:v>
      </x:c>
      <x:c r="AC135" s="36" t="str">
        <x:v>Umbral: evidencia positiva, tendencia adversa o gate bloqueado.</x:v>
      </x:c>
      <x:c r="AD135" s="36" t="str">
        <x:v>Cambiar a operación local/degradada y contactar proveedor.</x:v>
      </x:c>
      <x:c r="AE135" s="36" t="str">
        <x:v>Restaurar servicio o migrar a alternativa validada.</x:v>
      </x:c>
      <x:c r="AF135" s="27" t="str">
        <x:v>BIA-15</x:v>
      </x:c>
      <x:c r="AG135" s="27" t="str">
        <x:v>PB-15</x:v>
      </x:c>
      <x:c r="AH135" s="27" t="str">
        <x:v>TA-EXT-005</x:v>
      </x:c>
      <x:c r="AI135" s="36" t="str">
        <x:v>10, 11, 23, 24, 25, 27, 28, 31</x:v>
      </x:c>
      <x:c r="AJ135" s="36" t="str">
        <x:v>Setup/build/Steam/legal y registros de herramientas</x:v>
      </x:c>
      <x:c r="AK135" s="27" t="str">
        <x:v>OPEN</x:v>
      </x:c>
      <x:c r="AL135" s="27" t="str">
        <x:v>MONTHLY</x:v>
      </x:c>
      <x:c r="AM135" s="40" t="str">
        <x:v>2026-07-01</x:v>
      </x:c>
      <x:c r="AN135" s="40" t="str">
        <x:v>2026-07-31</x:v>
      </x:c>
      <x:c r="AO135" s="27" t="str">
        <x:v>UNVERIFIED</x:v>
      </x:c>
      <x:c r="AP135" s="36" t="str">
        <x:v>Registro inicial consolidado; validar owner, controles y residual.</x:v>
      </x:c>
      <x:c r="AQ135" s="27" t="n">
        <x:f>IF(OR(M135="CRITICAL",W135="CRITICAL",Y135="OUTSIDE TOLERANCE",AK135="ESCALATED",AK135="ACCEPTANCE REQUESTED"),1,0)</x:f>
        <x:v>1</x:v>
      </x:c>
    </x:row>
    <x:row r="136">
      <x:c r="A136" s="27" t="str">
        <x:v>R-EXT-006</x:v>
      </x:c>
      <x:c r="B136" s="36" t="str">
        <x:v>External Services &amp; Vendors</x:v>
      </x:c>
      <x:c r="C136" s="36" t="str">
        <x:v>Domain/email loss</x:v>
      </x:c>
      <x:c r="D136" s="36" t="str">
        <x:v>Existe el riesgo de que ocurra lo siguiente: Dominio o email expira/se compromete.</x:v>
      </x:c>
      <x:c r="E136" s="36" t="str">
        <x:v>Identity / accounts</x:v>
      </x:c>
      <x:c r="F136" s="36" t="str">
        <x:v>Marketing/Post-launch</x:v>
      </x:c>
      <x:c r="G136" s="36" t="str">
        <x:v>Ausencia, degradación o incumplimiento de los controles definidos para domain/email loss.</x:v>
      </x:c>
      <x:c r="H136" s="36" t="str">
        <x:v>Dominio o email expira/se compromete</x:v>
      </x:c>
      <x:c r="I136" s="36" t="str">
        <x:v>Puede afectar a Identity / accounts, bloquear un gate, causar retrabajo, pérdida de datos/confianza o interrupción operativa.</x:v>
      </x:c>
      <x:c r="J136" s="38" t="n">
        <x:v>2</x:v>
      </x:c>
      <x:c r="K136" s="38" t="n">
        <x:v>5</x:v>
      </x:c>
      <x:c r="L136" s="38" t="n">
        <x:f>J136*K136</x:f>
        <x:v>10</x:v>
      </x:c>
      <x:c r="M136" s="27" t="str">
        <x:f>IF(L136&gt;=20,"CRITICAL",IF(L136&gt;=12,"HIGH",IF(L136&gt;=6,"MEDIUM","LOW")))</x:f>
        <x:v>MEDIUM</x:v>
      </x:c>
      <x:c r="N136" s="27" t="str">
        <x:v>FAST</x:v>
      </x:c>
      <x:c r="O136" s="27" t="str">
        <x:v>HARD</x:v>
      </x:c>
      <x:c r="P136" s="36" t="str">
        <x:v>Inventario de dependencias, alternativas, exportación local y acceso mínimo.</x:v>
      </x:c>
      <x:c r="Q136" s="27" t="str">
        <x:v>PARTIAL</x:v>
      </x:c>
      <x:c r="R136" s="27" t="str">
        <x:v>MITIGATE</x:v>
      </x:c>
      <x:c r="S136" s="36" t="str">
        <x:v>Eliminar dependencia innecesaria, preparar sustituto y exportar datos.</x:v>
      </x:c>
      <x:c r="T136" s="38" t="n">
        <x:v>2</x:v>
      </x:c>
      <x:c r="U136" s="38" t="n">
        <x:v>5</x:v>
      </x:c>
      <x:c r="V136" s="38" t="n">
        <x:f>T136*U136</x:f>
        <x:v>10</x:v>
      </x:c>
      <x:c r="W136" s="27" t="str">
        <x:f>IF(V136&gt;=20,"CRITICAL",IF(V136&gt;=12,"HIGH",IF(V136&gt;=6,"MEDIUM","LOW")))</x:f>
        <x:v>MEDIUM</x:v>
      </x:c>
      <x:c r="X136" s="27" t="str">
        <x:v>LOW</x:v>
      </x:c>
      <x:c r="Y136" s="27" t="str">
        <x:f>IF(X136="ZERO",IF(V136=0,"WITHIN TOLERANCE","OUTSIDE TOLERANCE"),IF(X136="LOW",IF(V136&lt;=4,"WITHIN TOLERANCE","OUTSIDE TOLERANCE"),IF(X136="MODERATE",IF(V136&lt;=9,"WITHIN TOLERANCE","OUTSIDE TOLERANCE"),IF(X136="HIGH",IF(V136&lt;=16,"WITHIN TOLERANCE","OUTSIDE TOLERANCE"),"REVIEW"))))</x:f>
        <x:v>OUTSIDE TOLERANCE</x:v>
      </x:c>
      <x:c r="Z136" s="36" t="str">
        <x:v>Production / Engineering</x:v>
      </x:c>
      <x:c r="AA136" s="36" t="str">
        <x:v>Project Owner</x:v>
      </x:c>
      <x:c r="AB136" s="36" t="str">
        <x:v>Renewal/MX/auth fails</x:v>
      </x:c>
      <x:c r="AC136" s="36" t="str">
        <x:v>Umbral: evidencia positiva, tendencia adversa o gate bloqueado.</x:v>
      </x:c>
      <x:c r="AD136" s="36" t="str">
        <x:v>Cambiar a operación local/degradada y contactar proveedor.</x:v>
      </x:c>
      <x:c r="AE136" s="36" t="str">
        <x:v>Restaurar servicio o migrar a alternativa validada.</x:v>
      </x:c>
      <x:c r="AF136" s="27" t="str">
        <x:v>BIA-15</x:v>
      </x:c>
      <x:c r="AG136" s="27" t="str">
        <x:v>PB-15</x:v>
      </x:c>
      <x:c r="AH136" s="27" t="str">
        <x:v>TA-EXT-006</x:v>
      </x:c>
      <x:c r="AI136" s="36" t="str">
        <x:v>10, 11, 23, 24, 25, 27, 28, 31</x:v>
      </x:c>
      <x:c r="AJ136" s="36" t="str">
        <x:v>Setup/build/Steam/legal y registros de herramientas</x:v>
      </x:c>
      <x:c r="AK136" s="27" t="str">
        <x:v>OPEN</x:v>
      </x:c>
      <x:c r="AL136" s="27" t="str">
        <x:v>WEEKLY</x:v>
      </x:c>
      <x:c r="AM136" s="40" t="str">
        <x:v>2026-07-01</x:v>
      </x:c>
      <x:c r="AN136" s="40" t="str">
        <x:v>2026-07-08</x:v>
      </x:c>
      <x:c r="AO136" s="27" t="str">
        <x:v>UNVERIFIED</x:v>
      </x:c>
      <x:c r="AP136" s="36" t="str">
        <x:v>Registro inicial consolidado; validar owner, controles y residual.</x:v>
      </x:c>
      <x:c r="AQ136" s="27" t="n">
        <x:f>IF(OR(M136="CRITICAL",W136="CRITICAL",Y136="OUTSIDE TOLERANCE",AK136="ESCALATED",AK136="ACCEPTANCE REQUESTED"),1,0)</x:f>
        <x:v>1</x:v>
      </x:c>
    </x:row>
    <x:row r="137">
      <x:c r="A137" s="27" t="str">
        <x:v>R-EXT-007</x:v>
      </x:c>
      <x:c r="B137" s="36" t="str">
        <x:v>External Services &amp; Vendors</x:v>
      </x:c>
      <x:c r="C137" s="36" t="str">
        <x:v>Contractor failure</x:v>
      </x:c>
      <x:c r="D137" s="36" t="str">
        <x:v>Existe el riesgo de que ocurra lo siguiente: Proveedor no entrega asset/servicio.</x:v>
      </x:c>
      <x:c r="E137" s="36" t="str">
        <x:v>Schedule / quality</x:v>
      </x:c>
      <x:c r="F137" s="36" t="str">
        <x:v>All</x:v>
      </x:c>
      <x:c r="G137" s="36" t="str">
        <x:v>Ausencia, degradación o incumplimiento de los controles definidos para contractor failure.</x:v>
      </x:c>
      <x:c r="H137" s="36" t="str">
        <x:v>Proveedor no entrega asset/servicio</x:v>
      </x:c>
      <x:c r="I137" s="36" t="str">
        <x:v>Puede afectar a Schedule / quality, bloquear un gate, causar retrabajo, pérdida de datos/confianza o interrupción operativa.</x:v>
      </x:c>
      <x:c r="J137" s="38" t="n">
        <x:v>3</x:v>
      </x:c>
      <x:c r="K137" s="38" t="n">
        <x:v>4</x:v>
      </x:c>
      <x:c r="L137" s="38" t="n">
        <x:f>J137*K137</x:f>
        <x:v>12</x:v>
      </x:c>
      <x:c r="M137" s="27" t="str">
        <x:f>IF(L137&gt;=20,"CRITICAL",IF(L137&gt;=12,"HIGH",IF(L137&gt;=6,"MEDIUM","LOW")))</x:f>
        <x:v>HIGH</x:v>
      </x:c>
      <x:c r="N137" s="27" t="str">
        <x:v>MEDIUM</x:v>
      </x:c>
      <x:c r="O137" s="27" t="str">
        <x:v>MODERATE</x:v>
      </x:c>
      <x:c r="P137" s="36" t="str">
        <x:v>Inventario de dependencias, alternativas, exportación local y acceso mínimo.</x:v>
      </x:c>
      <x:c r="Q137" s="27" t="str">
        <x:v>PARTIAL</x:v>
      </x:c>
      <x:c r="R137" s="27" t="str">
        <x:v>MITIGATE</x:v>
      </x:c>
      <x:c r="S137" s="36" t="str">
        <x:v>Eliminar dependencia innecesaria, preparar sustituto y exportar datos.</x:v>
      </x:c>
      <x:c r="T137" s="38" t="n">
        <x:v>3</x:v>
      </x:c>
      <x:c r="U137" s="38" t="n">
        <x:v>4</x:v>
      </x:c>
      <x:c r="V137" s="38" t="n">
        <x:f>T137*U137</x:f>
        <x:v>12</x:v>
      </x:c>
      <x:c r="W137" s="27" t="str">
        <x:f>IF(V137&gt;=20,"CRITICAL",IF(V137&gt;=12,"HIGH",IF(V137&gt;=6,"MEDIUM","LOW")))</x:f>
        <x:v>HIGH</x:v>
      </x:c>
      <x:c r="X137" s="27" t="str">
        <x:v>LOW</x:v>
      </x:c>
      <x:c r="Y137" s="27" t="str">
        <x:f>IF(X137="ZERO",IF(V137=0,"WITHIN TOLERANCE","OUTSIDE TOLERANCE"),IF(X137="LOW",IF(V137&lt;=4,"WITHIN TOLERANCE","OUTSIDE TOLERANCE"),IF(X137="MODERATE",IF(V137&lt;=9,"WITHIN TOLERANCE","OUTSIDE TOLERANCE"),IF(X137="HIGH",IF(V137&lt;=16,"WITHIN TOLERANCE","OUTSIDE TOLERANCE"),"REVIEW"))))</x:f>
        <x:v>OUTSIDE TOLERANCE</x:v>
      </x:c>
      <x:c r="Z137" s="36" t="str">
        <x:v>Production / Engineering</x:v>
      </x:c>
      <x:c r="AA137" s="36" t="str">
        <x:v>Project Owner</x:v>
      </x:c>
      <x:c r="AB137" s="36" t="str">
        <x:v>Milestone incumplido</x:v>
      </x:c>
      <x:c r="AC137" s="36" t="str">
        <x:v>Umbral: evidencia positiva, tendencia adversa o gate bloqueado.</x:v>
      </x:c>
      <x:c r="AD137" s="36" t="str">
        <x:v>Cambiar a operación local/degradada y contactar proveedor.</x:v>
      </x:c>
      <x:c r="AE137" s="36" t="str">
        <x:v>Restaurar servicio o migrar a alternativa validada.</x:v>
      </x:c>
      <x:c r="AF137" s="27" t="str">
        <x:v>BIA-15</x:v>
      </x:c>
      <x:c r="AG137" s="27" t="str">
        <x:v>PB-15</x:v>
      </x:c>
      <x:c r="AH137" s="27" t="str">
        <x:v>TA-EXT-007</x:v>
      </x:c>
      <x:c r="AI137" s="36" t="str">
        <x:v>10, 11, 23, 24, 25, 27, 28, 31</x:v>
      </x:c>
      <x:c r="AJ137" s="36" t="str">
        <x:v>Setup/build/Steam/legal y registros de herramientas</x:v>
      </x:c>
      <x:c r="AK137" s="27" t="str">
        <x:v>OPEN</x:v>
      </x:c>
      <x:c r="AL137" s="27" t="str">
        <x:v>MONTHLY</x:v>
      </x:c>
      <x:c r="AM137" s="40" t="str">
        <x:v>2026-07-01</x:v>
      </x:c>
      <x:c r="AN137" s="40" t="str">
        <x:v>2026-07-31</x:v>
      </x:c>
      <x:c r="AO137" s="27" t="str">
        <x:v>UNVERIFIED</x:v>
      </x:c>
      <x:c r="AP137" s="36" t="str">
        <x:v>Registro inicial consolidado; validar owner, controles y residual.</x:v>
      </x:c>
      <x:c r="AQ137" s="27" t="n">
        <x:f>IF(OR(M137="CRITICAL",W137="CRITICAL",Y137="OUTSIDE TOLERANCE",AK137="ESCALATED",AK137="ACCEPTANCE REQUESTED"),1,0)</x:f>
        <x:v>1</x:v>
      </x:c>
    </x:row>
    <x:row r="138">
      <x:c r="A138" s="27" t="str">
        <x:v>R-EXT-008</x:v>
      </x:c>
      <x:c r="B138" s="36" t="str">
        <x:v>External Services &amp; Vendors</x:v>
      </x:c>
      <x:c r="C138" s="36" t="str">
        <x:v>No export path</x:v>
      </x:c>
      <x:c r="D138" s="36" t="str">
        <x:v>Existe el riesgo de que ocurra lo siguiente: Datos/configuración quedan encerrados en SaaS.</x:v>
      </x:c>
      <x:c r="E138" s="36" t="str">
        <x:v>Continuity</x:v>
      </x:c>
      <x:c r="F138" s="36" t="str">
        <x:v>All</x:v>
      </x:c>
      <x:c r="G138" s="36" t="str">
        <x:v>Ausencia, degradación o incumplimiento de los controles definidos para no export path.</x:v>
      </x:c>
      <x:c r="H138" s="36" t="str">
        <x:v>Datos/configuración quedan encerrados en SaaS</x:v>
      </x:c>
      <x:c r="I138" s="36" t="str">
        <x:v>Puede afectar a Continuity, bloquear un gate, causar retrabajo, pérdida de datos/confianza o interrupción operativa.</x:v>
      </x:c>
      <x:c r="J138" s="38" t="n">
        <x:v>2</x:v>
      </x:c>
      <x:c r="K138" s="38" t="n">
        <x:v>4</x:v>
      </x:c>
      <x:c r="L138" s="38" t="n">
        <x:f>J138*K138</x:f>
        <x:v>8</x:v>
      </x:c>
      <x:c r="M138" s="27" t="str">
        <x:f>IF(L138&gt;=20,"CRITICAL",IF(L138&gt;=12,"HIGH",IF(L138&gt;=6,"MEDIUM","LOW")))</x:f>
        <x:v>MEDIUM</x:v>
      </x:c>
      <x:c r="N138" s="27" t="str">
        <x:v>SLOW</x:v>
      </x:c>
      <x:c r="O138" s="27" t="str">
        <x:v>MODERATE</x:v>
      </x:c>
      <x:c r="P138" s="36" t="str">
        <x:v>Inventario de dependencias, alternativas, exportación local y acceso mínimo.</x:v>
      </x:c>
      <x:c r="Q138" s="27" t="str">
        <x:v>PARTIAL</x:v>
      </x:c>
      <x:c r="R138" s="27" t="str">
        <x:v>MITIGATE</x:v>
      </x:c>
      <x:c r="S138" s="36" t="str">
        <x:v>Eliminar dependencia innecesaria, preparar sustituto y exportar datos.</x:v>
      </x:c>
      <x:c r="T138" s="38" t="n">
        <x:v>2</x:v>
      </x:c>
      <x:c r="U138" s="38" t="n">
        <x:v>4</x:v>
      </x:c>
      <x:c r="V138" s="38" t="n">
        <x:f>T138*U138</x:f>
        <x:v>8</x:v>
      </x:c>
      <x:c r="W138" s="27" t="str">
        <x:f>IF(V138&gt;=20,"CRITICAL",IF(V138&gt;=12,"HIGH",IF(V138&gt;=6,"MEDIUM","LOW")))</x:f>
        <x:v>MEDIUM</x:v>
      </x:c>
      <x:c r="X138" s="27" t="str">
        <x:v>LOW</x:v>
      </x:c>
      <x:c r="Y138" s="27" t="str">
        <x:f>IF(X138="ZERO",IF(V138=0,"WITHIN TOLERANCE","OUTSIDE TOLERANCE"),IF(X138="LOW",IF(V138&lt;=4,"WITHIN TOLERANCE","OUTSIDE TOLERANCE"),IF(X138="MODERATE",IF(V138&lt;=9,"WITHIN TOLERANCE","OUTSIDE TOLERANCE"),IF(X138="HIGH",IF(V138&lt;=16,"WITHIN TOLERANCE","OUTSIDE TOLERANCE"),"REVIEW"))))</x:f>
        <x:v>OUTSIDE TOLERANCE</x:v>
      </x:c>
      <x:c r="Z138" s="36" t="str">
        <x:v>Production / Engineering</x:v>
      </x:c>
      <x:c r="AA138" s="36" t="str">
        <x:v>Project Owner</x:v>
      </x:c>
      <x:c r="AB138" s="36" t="str">
        <x:v>Export no probado</x:v>
      </x:c>
      <x:c r="AC138" s="36" t="str">
        <x:v>Umbral: evidencia positiva, tendencia adversa o gate bloqueado.</x:v>
      </x:c>
      <x:c r="AD138" s="36" t="str">
        <x:v>Cambiar a operación local/degradada y contactar proveedor.</x:v>
      </x:c>
      <x:c r="AE138" s="36" t="str">
        <x:v>Restaurar servicio o migrar a alternativa validada.</x:v>
      </x:c>
      <x:c r="AF138" s="27" t="str">
        <x:v>BIA-15</x:v>
      </x:c>
      <x:c r="AG138" s="27" t="str">
        <x:v>PB-15</x:v>
      </x:c>
      <x:c r="AH138" s="27" t="str">
        <x:v>TA-EXT-008</x:v>
      </x:c>
      <x:c r="AI138" s="36" t="str">
        <x:v>10, 11, 23, 24, 25, 27, 28, 31</x:v>
      </x:c>
      <x:c r="AJ138" s="36" t="str">
        <x:v>Setup/build/Steam/legal y registros de herramientas</x:v>
      </x:c>
      <x:c r="AK138" s="27" t="str">
        <x:v>OPEN</x:v>
      </x:c>
      <x:c r="AL138" s="27" t="str">
        <x:v>MONTHLY</x:v>
      </x:c>
      <x:c r="AM138" s="40" t="str">
        <x:v>2026-07-01</x:v>
      </x:c>
      <x:c r="AN138" s="40" t="str">
        <x:v>2026-07-31</x:v>
      </x:c>
      <x:c r="AO138" s="27" t="str">
        <x:v>UNVERIFIED</x:v>
      </x:c>
      <x:c r="AP138" s="36" t="str">
        <x:v>Registro inicial consolidado; validar owner, controles y residual.</x:v>
      </x:c>
      <x:c r="AQ138" s="27" t="n">
        <x:f>IF(OR(M138="CRITICAL",W138="CRITICAL",Y138="OUTSIDE TOLERANCE",AK138="ESCALATED",AK138="ACCEPTANCE REQUESTED"),1,0)</x:f>
        <x:v>1</x:v>
      </x:c>
    </x:row>
    <x:row r="139">
      <x:c r="A139" s="27" t="str">
        <x:v>R-ENV-001</x:v>
      </x:c>
      <x:c r="B139" s="36" t="str">
        <x:v>Hardware, Facilities &amp; Environment</x:v>
      </x:c>
      <x:c r="C139" s="36" t="str">
        <x:v>Disk failure</x:v>
      </x:c>
      <x:c r="D139" s="36" t="str">
        <x:v>Existe el riesgo de que ocurra lo siguiente: Disco de estación falla.</x:v>
      </x:c>
      <x:c r="E139" s="36" t="str">
        <x:v>Source / assets / saves</x:v>
      </x:c>
      <x:c r="F139" s="36" t="str">
        <x:v>All</x:v>
      </x:c>
      <x:c r="G139" s="36" t="str">
        <x:v>Ausencia, degradación o incumplimiento de los controles definidos para disk failure.</x:v>
      </x:c>
      <x:c r="H139" s="36" t="str">
        <x:v>Disco de estación falla</x:v>
      </x:c>
      <x:c r="I139" s="36" t="str">
        <x:v>Puede afectar a Source / assets / saves, bloquear un gate, causar retrabajo, pérdida de datos/confianza o interrupción operativa.</x:v>
      </x:c>
      <x:c r="J139" s="38" t="n">
        <x:v>3</x:v>
      </x:c>
      <x:c r="K139" s="38" t="n">
        <x:v>5</x:v>
      </x:c>
      <x:c r="L139" s="38" t="n">
        <x:f>J139*K139</x:f>
        <x:v>15</x:v>
      </x:c>
      <x:c r="M139" s="27" t="str">
        <x:f>IF(L139&gt;=20,"CRITICAL",IF(L139&gt;=12,"HIGH",IF(L139&gt;=6,"MEDIUM","LOW")))</x:f>
        <x:v>HIGH</x:v>
      </x:c>
      <x:c r="N139" s="27" t="str">
        <x:v>IMMEDIATE</x:v>
      </x:c>
      <x:c r="O139" s="27" t="str">
        <x:v>HARD</x:v>
      </x:c>
      <x:c r="P139" s="36" t="str">
        <x:v>Backups, cifrado, inventario, protección eléctrica y entorno reproducible.</x:v>
      </x:c>
      <x:c r="Q139" s="27" t="str">
        <x:v>PARTIAL</x:v>
      </x:c>
      <x:c r="R139" s="27" t="str">
        <x:v>MITIGATE</x:v>
      </x:c>
      <x:c r="S139" s="36" t="str">
        <x:v>Mantener equipo alternativo, copias externas y procedimiento de rebuild.</x:v>
      </x:c>
      <x:c r="T139" s="38" t="n">
        <x:v>3</x:v>
      </x:c>
      <x:c r="U139" s="38" t="n">
        <x:v>5</x:v>
      </x:c>
      <x:c r="V139" s="38" t="n">
        <x:f>T139*U139</x:f>
        <x:v>15</x:v>
      </x:c>
      <x:c r="W139" s="27" t="str">
        <x:f>IF(V139&gt;=20,"CRITICAL",IF(V139&gt;=12,"HIGH",IF(V139&gt;=6,"MEDIUM","LOW")))</x:f>
        <x:v>HIGH</x:v>
      </x:c>
      <x:c r="X139" s="27" t="str">
        <x:v>LOW</x:v>
      </x:c>
      <x:c r="Y139" s="27" t="str">
        <x:f>IF(X139="ZERO",IF(V139=0,"WITHIN TOLERANCE","OUTSIDE TOLERANCE"),IF(X139="LOW",IF(V139&lt;=4,"WITHIN TOLERANCE","OUTSIDE TOLERANCE"),IF(X139="MODERATE",IF(V139&lt;=9,"WITHIN TOLERANCE","OUTSIDE TOLERANCE"),IF(X139="HIGH",IF(V139&lt;=16,"WITHIN TOLERANCE","OUTSIDE TOLERANCE"),"REVIEW"))))</x:f>
        <x:v>OUTSIDE TOLERANCE</x:v>
      </x:c>
      <x:c r="Z139" s="36" t="str">
        <x:v>Project Owner / IT</x:v>
      </x:c>
      <x:c r="AA139" s="36" t="str">
        <x:v>Production</x:v>
      </x:c>
      <x:c r="AB139" s="36" t="str">
        <x:v>SMART/I/O failure</x:v>
      </x:c>
      <x:c r="AC139" s="36" t="str">
        <x:v>Umbral: evidencia positiva, tendencia adversa o gate bloqueado.</x:v>
      </x:c>
      <x:c r="AD139" s="36" t="str">
        <x:v>Proteger evidencia/datos y pasar a hardware alternativo.</x:v>
      </x:c>
      <x:c r="AE139" s="36" t="str">
        <x:v>Reponer equipo, restaurar repositorio/datos y validar toolchain.</x:v>
      </x:c>
      <x:c r="AF139" s="27" t="str">
        <x:v>BIA-16</x:v>
      </x:c>
      <x:c r="AG139" s="27" t="str">
        <x:v>PB-16</x:v>
      </x:c>
      <x:c r="AH139" s="27" t="str">
        <x:v>TA-ENV-001</x:v>
      </x:c>
      <x:c r="AI139" s="36" t="str">
        <x:v>10, 11, 25, 27, 30, 31, 34</x:v>
      </x:c>
      <x:c r="AJ139" s="36" t="str">
        <x:v>Environment records, setup guides, handoffs y build records</x:v>
      </x:c>
      <x:c r="AK139" s="27" t="str">
        <x:v>OPEN</x:v>
      </x:c>
      <x:c r="AL139" s="27" t="str">
        <x:v>WEEKLY</x:v>
      </x:c>
      <x:c r="AM139" s="40" t="str">
        <x:v>2026-07-01</x:v>
      </x:c>
      <x:c r="AN139" s="40" t="str">
        <x:v>2026-07-08</x:v>
      </x:c>
      <x:c r="AO139" s="27" t="str">
        <x:v>UNVERIFIED</x:v>
      </x:c>
      <x:c r="AP139" s="36" t="str">
        <x:v>Registro inicial consolidado; validar owner, controles y residual.</x:v>
      </x:c>
      <x:c r="AQ139" s="27" t="n">
        <x:f>IF(OR(M139="CRITICAL",W139="CRITICAL",Y139="OUTSIDE TOLERANCE",AK139="ESCALATED",AK139="ACCEPTANCE REQUESTED"),1,0)</x:f>
        <x:v>1</x:v>
      </x:c>
    </x:row>
    <x:row r="140">
      <x:c r="A140" s="27" t="str">
        <x:v>R-ENV-002</x:v>
      </x:c>
      <x:c r="B140" s="36" t="str">
        <x:v>Hardware, Facilities &amp; Environment</x:v>
      </x:c>
      <x:c r="C140" s="36" t="str">
        <x:v>Device theft</x:v>
      </x:c>
      <x:c r="D140" s="36" t="str">
        <x:v>Existe el riesgo de que ocurra lo siguiente: Equipo es robado.</x:v>
      </x:c>
      <x:c r="E140" s="36" t="str">
        <x:v>Data / credentials</x:v>
      </x:c>
      <x:c r="F140" s="36" t="str">
        <x:v>All</x:v>
      </x:c>
      <x:c r="G140" s="36" t="str">
        <x:v>Ausencia, degradación o incumplimiento de los controles definidos para device theft.</x:v>
      </x:c>
      <x:c r="H140" s="36" t="str">
        <x:v>Equipo es robado</x:v>
      </x:c>
      <x:c r="I140" s="36" t="str">
        <x:v>Puede afectar a Data / credentials, bloquear un gate, causar retrabajo, pérdida de datos/confianza o interrupción operativa.</x:v>
      </x:c>
      <x:c r="J140" s="38" t="n">
        <x:v>2</x:v>
      </x:c>
      <x:c r="K140" s="38" t="n">
        <x:v>5</x:v>
      </x:c>
      <x:c r="L140" s="38" t="n">
        <x:f>J140*K140</x:f>
        <x:v>10</x:v>
      </x:c>
      <x:c r="M140" s="27" t="str">
        <x:f>IF(L140&gt;=20,"CRITICAL",IF(L140&gt;=12,"HIGH",IF(L140&gt;=6,"MEDIUM","LOW")))</x:f>
        <x:v>MEDIUM</x:v>
      </x:c>
      <x:c r="N140" s="27" t="str">
        <x:v>IMMEDIATE</x:v>
      </x:c>
      <x:c r="O140" s="27" t="str">
        <x:v>HARD</x:v>
      </x:c>
      <x:c r="P140" s="36" t="str">
        <x:v>Backups, cifrado, inventario, protección eléctrica y entorno reproducible.</x:v>
      </x:c>
      <x:c r="Q140" s="27" t="str">
        <x:v>PARTIAL</x:v>
      </x:c>
      <x:c r="R140" s="27" t="str">
        <x:v>MITIGATE</x:v>
      </x:c>
      <x:c r="S140" s="36" t="str">
        <x:v>Mantener equipo alternativo, copias externas y procedimiento de rebuild.</x:v>
      </x:c>
      <x:c r="T140" s="38" t="n">
        <x:v>2</x:v>
      </x:c>
      <x:c r="U140" s="38" t="n">
        <x:v>5</x:v>
      </x:c>
      <x:c r="V140" s="38" t="n">
        <x:f>T140*U140</x:f>
        <x:v>10</x:v>
      </x:c>
      <x:c r="W140" s="27" t="str">
        <x:f>IF(V140&gt;=20,"CRITICAL",IF(V140&gt;=12,"HIGH",IF(V140&gt;=6,"MEDIUM","LOW")))</x:f>
        <x:v>MEDIUM</x:v>
      </x:c>
      <x:c r="X140" s="27" t="str">
        <x:v>LOW</x:v>
      </x:c>
      <x:c r="Y140" s="27" t="str">
        <x:f>IF(X140="ZERO",IF(V140=0,"WITHIN TOLERANCE","OUTSIDE TOLERANCE"),IF(X140="LOW",IF(V140&lt;=4,"WITHIN TOLERANCE","OUTSIDE TOLERANCE"),IF(X140="MODERATE",IF(V140&lt;=9,"WITHIN TOLERANCE","OUTSIDE TOLERANCE"),IF(X140="HIGH",IF(V140&lt;=16,"WITHIN TOLERANCE","OUTSIDE TOLERANCE"),"REVIEW"))))</x:f>
        <x:v>OUTSIDE TOLERANCE</x:v>
      </x:c>
      <x:c r="Z140" s="36" t="str">
        <x:v>Project Owner / IT</x:v>
      </x:c>
      <x:c r="AA140" s="36" t="str">
        <x:v>Production</x:v>
      </x:c>
      <x:c r="AB140" s="36" t="str">
        <x:v>Equipo perdido</x:v>
      </x:c>
      <x:c r="AC140" s="36" t="str">
        <x:v>Umbral: evidencia positiva, tendencia adversa o gate bloqueado.</x:v>
      </x:c>
      <x:c r="AD140" s="36" t="str">
        <x:v>Proteger evidencia/datos y pasar a hardware alternativo.</x:v>
      </x:c>
      <x:c r="AE140" s="36" t="str">
        <x:v>Reponer equipo, restaurar repositorio/datos y validar toolchain.</x:v>
      </x:c>
      <x:c r="AF140" s="27" t="str">
        <x:v>BIA-16</x:v>
      </x:c>
      <x:c r="AG140" s="27" t="str">
        <x:v>PB-16</x:v>
      </x:c>
      <x:c r="AH140" s="27" t="str">
        <x:v>TA-ENV-002</x:v>
      </x:c>
      <x:c r="AI140" s="36" t="str">
        <x:v>10, 11, 25, 27, 30, 31, 34</x:v>
      </x:c>
      <x:c r="AJ140" s="36" t="str">
        <x:v>Environment records, setup guides, handoffs y build records</x:v>
      </x:c>
      <x:c r="AK140" s="27" t="str">
        <x:v>OPEN</x:v>
      </x:c>
      <x:c r="AL140" s="27" t="str">
        <x:v>WEEKLY</x:v>
      </x:c>
      <x:c r="AM140" s="40" t="str">
        <x:v>2026-07-01</x:v>
      </x:c>
      <x:c r="AN140" s="40" t="str">
        <x:v>2026-07-08</x:v>
      </x:c>
      <x:c r="AO140" s="27" t="str">
        <x:v>UNVERIFIED</x:v>
      </x:c>
      <x:c r="AP140" s="36" t="str">
        <x:v>Registro inicial consolidado; validar owner, controles y residual.</x:v>
      </x:c>
      <x:c r="AQ140" s="27" t="n">
        <x:f>IF(OR(M140="CRITICAL",W140="CRITICAL",Y140="OUTSIDE TOLERANCE",AK140="ESCALATED",AK140="ACCEPTANCE REQUESTED"),1,0)</x:f>
        <x:v>1</x:v>
      </x:c>
    </x:row>
    <x:row r="141">
      <x:c r="A141" s="27" t="str">
        <x:v>R-ENV-003</x:v>
      </x:c>
      <x:c r="B141" s="36" t="str">
        <x:v>Hardware, Facilities &amp; Environment</x:v>
      </x:c>
      <x:c r="C141" s="36" t="str">
        <x:v>Power event</x:v>
      </x:c>
      <x:c r="D141" s="36" t="str">
        <x:v>Existe el riesgo de que ocurra lo siguiente: Corte/sobretensión interrumpe escritura o daña equipo.</x:v>
      </x:c>
      <x:c r="E141" s="36" t="str">
        <x:v>Workstation / data</x:v>
      </x:c>
      <x:c r="F141" s="36" t="str">
        <x:v>All</x:v>
      </x:c>
      <x:c r="G141" s="36" t="str">
        <x:v>Ausencia, degradación o incumplimiento de los controles definidos para power event.</x:v>
      </x:c>
      <x:c r="H141" s="36" t="str">
        <x:v>Corte/sobretensión interrumpe escritura o daña equipo</x:v>
      </x:c>
      <x:c r="I141" s="36" t="str">
        <x:v>Puede afectar a Workstation / data, bloquear un gate, causar retrabajo, pérdida de datos/confianza o interrupción operativa.</x:v>
      </x:c>
      <x:c r="J141" s="38" t="n">
        <x:v>3</x:v>
      </x:c>
      <x:c r="K141" s="38" t="n">
        <x:v>4</x:v>
      </x:c>
      <x:c r="L141" s="38" t="n">
        <x:f>J141*K141</x:f>
        <x:v>12</x:v>
      </x:c>
      <x:c r="M141" s="27" t="str">
        <x:f>IF(L141&gt;=20,"CRITICAL",IF(L141&gt;=12,"HIGH",IF(L141&gt;=6,"MEDIUM","LOW")))</x:f>
        <x:v>HIGH</x:v>
      </x:c>
      <x:c r="N141" s="27" t="str">
        <x:v>IMMEDIATE</x:v>
      </x:c>
      <x:c r="O141" s="27" t="str">
        <x:v>HARD</x:v>
      </x:c>
      <x:c r="P141" s="36" t="str">
        <x:v>Backups, cifrado, inventario, protección eléctrica y entorno reproducible.</x:v>
      </x:c>
      <x:c r="Q141" s="27" t="str">
        <x:v>PARTIAL</x:v>
      </x:c>
      <x:c r="R141" s="27" t="str">
        <x:v>MITIGATE</x:v>
      </x:c>
      <x:c r="S141" s="36" t="str">
        <x:v>Mantener equipo alternativo, copias externas y procedimiento de rebuild.</x:v>
      </x:c>
      <x:c r="T141" s="38" t="n">
        <x:v>3</x:v>
      </x:c>
      <x:c r="U141" s="38" t="n">
        <x:v>4</x:v>
      </x:c>
      <x:c r="V141" s="38" t="n">
        <x:f>T141*U141</x:f>
        <x:v>12</x:v>
      </x:c>
      <x:c r="W141" s="27" t="str">
        <x:f>IF(V141&gt;=20,"CRITICAL",IF(V141&gt;=12,"HIGH",IF(V141&gt;=6,"MEDIUM","LOW")))</x:f>
        <x:v>HIGH</x:v>
      </x:c>
      <x:c r="X141" s="27" t="str">
        <x:v>LOW</x:v>
      </x:c>
      <x:c r="Y141" s="27" t="str">
        <x:f>IF(X141="ZERO",IF(V141=0,"WITHIN TOLERANCE","OUTSIDE TOLERANCE"),IF(X141="LOW",IF(V141&lt;=4,"WITHIN TOLERANCE","OUTSIDE TOLERANCE"),IF(X141="MODERATE",IF(V141&lt;=9,"WITHIN TOLERANCE","OUTSIDE TOLERANCE"),IF(X141="HIGH",IF(V141&lt;=16,"WITHIN TOLERANCE","OUTSIDE TOLERANCE"),"REVIEW"))))</x:f>
        <x:v>OUTSIDE TOLERANCE</x:v>
      </x:c>
      <x:c r="Z141" s="36" t="str">
        <x:v>Project Owner / IT</x:v>
      </x:c>
      <x:c r="AA141" s="36" t="str">
        <x:v>Production</x:v>
      </x:c>
      <x:c r="AB141" s="36" t="str">
        <x:v>Power loss</x:v>
      </x:c>
      <x:c r="AC141" s="36" t="str">
        <x:v>Umbral: evidencia positiva, tendencia adversa o gate bloqueado.</x:v>
      </x:c>
      <x:c r="AD141" s="36" t="str">
        <x:v>Proteger evidencia/datos y pasar a hardware alternativo.</x:v>
      </x:c>
      <x:c r="AE141" s="36" t="str">
        <x:v>Reponer equipo, restaurar repositorio/datos y validar toolchain.</x:v>
      </x:c>
      <x:c r="AF141" s="27" t="str">
        <x:v>BIA-16</x:v>
      </x:c>
      <x:c r="AG141" s="27" t="str">
        <x:v>PB-16</x:v>
      </x:c>
      <x:c r="AH141" s="27" t="str">
        <x:v>TA-ENV-003</x:v>
      </x:c>
      <x:c r="AI141" s="36" t="str">
        <x:v>10, 11, 25, 27, 30, 31, 34</x:v>
      </x:c>
      <x:c r="AJ141" s="36" t="str">
        <x:v>Environment records, setup guides, handoffs y build records</x:v>
      </x:c>
      <x:c r="AK141" s="27" t="str">
        <x:v>OPEN</x:v>
      </x:c>
      <x:c r="AL141" s="27" t="str">
        <x:v>WEEKLY</x:v>
      </x:c>
      <x:c r="AM141" s="40" t="str">
        <x:v>2026-07-01</x:v>
      </x:c>
      <x:c r="AN141" s="40" t="str">
        <x:v>2026-07-08</x:v>
      </x:c>
      <x:c r="AO141" s="27" t="str">
        <x:v>UNVERIFIED</x:v>
      </x:c>
      <x:c r="AP141" s="36" t="str">
        <x:v>Registro inicial consolidado; validar owner, controles y residual.</x:v>
      </x:c>
      <x:c r="AQ141" s="27" t="n">
        <x:f>IF(OR(M141="CRITICAL",W141="CRITICAL",Y141="OUTSIDE TOLERANCE",AK141="ESCALATED",AK141="ACCEPTANCE REQUESTED"),1,0)</x:f>
        <x:v>1</x:v>
      </x:c>
    </x:row>
    <x:row r="142">
      <x:c r="A142" s="27" t="str">
        <x:v>R-ENV-004</x:v>
      </x:c>
      <x:c r="B142" s="36" t="str">
        <x:v>Hardware, Facilities &amp; Environment</x:v>
      </x:c>
      <x:c r="C142" s="36" t="str">
        <x:v>Fire/flood</x:v>
      </x:c>
      <x:c r="D142" s="36" t="str">
        <x:v>Existe el riesgo de que ocurra lo siguiente: Ubicación principal queda inaccesible.</x:v>
      </x:c>
      <x:c r="E142" s="36" t="str">
        <x:v>Project continuity</x:v>
      </x:c>
      <x:c r="F142" s="36" t="str">
        <x:v>All</x:v>
      </x:c>
      <x:c r="G142" s="36" t="str">
        <x:v>Ausencia, degradación o incumplimiento de los controles definidos para fire/flood.</x:v>
      </x:c>
      <x:c r="H142" s="36" t="str">
        <x:v>Ubicación principal queda inaccesible</x:v>
      </x:c>
      <x:c r="I142" s="36" t="str">
        <x:v>Puede afectar a Project continuity, bloquear un gate, causar retrabajo, pérdida de datos/confianza o interrupción operativa.</x:v>
      </x:c>
      <x:c r="J142" s="38" t="n">
        <x:v>1</x:v>
      </x:c>
      <x:c r="K142" s="38" t="n">
        <x:v>5</x:v>
      </x:c>
      <x:c r="L142" s="38" t="n">
        <x:f>J142*K142</x:f>
        <x:v>5</x:v>
      </x:c>
      <x:c r="M142" s="27" t="str">
        <x:f>IF(L142&gt;=20,"CRITICAL",IF(L142&gt;=12,"HIGH",IF(L142&gt;=6,"MEDIUM","LOW")))</x:f>
        <x:v>LOW</x:v>
      </x:c>
      <x:c r="N142" s="27" t="str">
        <x:v>IMMEDIATE</x:v>
      </x:c>
      <x:c r="O142" s="27" t="str">
        <x:v>HARD</x:v>
      </x:c>
      <x:c r="P142" s="36" t="str">
        <x:v>Backups, cifrado, inventario, protección eléctrica y entorno reproducible.</x:v>
      </x:c>
      <x:c r="Q142" s="27" t="str">
        <x:v>PARTIAL</x:v>
      </x:c>
      <x:c r="R142" s="27" t="str">
        <x:v>MITIGATE</x:v>
      </x:c>
      <x:c r="S142" s="36" t="str">
        <x:v>Mantener equipo alternativo, copias externas y procedimiento de rebuild.</x:v>
      </x:c>
      <x:c r="T142" s="38" t="n">
        <x:v>1</x:v>
      </x:c>
      <x:c r="U142" s="38" t="n">
        <x:v>5</x:v>
      </x:c>
      <x:c r="V142" s="38" t="n">
        <x:f>T142*U142</x:f>
        <x:v>5</x:v>
      </x:c>
      <x:c r="W142" s="27" t="str">
        <x:f>IF(V142&gt;=20,"CRITICAL",IF(V142&gt;=12,"HIGH",IF(V142&gt;=6,"MEDIUM","LOW")))</x:f>
        <x:v>LOW</x:v>
      </x:c>
      <x:c r="X142" s="27" t="str">
        <x:v>LOW</x:v>
      </x:c>
      <x:c r="Y142" s="27" t="str">
        <x:f>IF(X142="ZERO",IF(V142=0,"WITHIN TOLERANCE","OUTSIDE TOLERANCE"),IF(X142="LOW",IF(V142&lt;=4,"WITHIN TOLERANCE","OUTSIDE TOLERANCE"),IF(X142="MODERATE",IF(V142&lt;=9,"WITHIN TOLERANCE","OUTSIDE TOLERANCE"),IF(X142="HIGH",IF(V142&lt;=16,"WITHIN TOLERANCE","OUTSIDE TOLERANCE"),"REVIEW"))))</x:f>
        <x:v>OUTSIDE TOLERANCE</x:v>
      </x:c>
      <x:c r="Z142" s="36" t="str">
        <x:v>Project Owner / IT</x:v>
      </x:c>
      <x:c r="AA142" s="36" t="str">
        <x:v>Production</x:v>
      </x:c>
      <x:c r="AB142" s="36" t="str">
        <x:v>Facility incident</x:v>
      </x:c>
      <x:c r="AC142" s="36" t="str">
        <x:v>Umbral: evidencia positiva, tendencia adversa o gate bloqueado.</x:v>
      </x:c>
      <x:c r="AD142" s="36" t="str">
        <x:v>Proteger evidencia/datos y pasar a hardware alternativo.</x:v>
      </x:c>
      <x:c r="AE142" s="36" t="str">
        <x:v>Reponer equipo, restaurar repositorio/datos y validar toolchain.</x:v>
      </x:c>
      <x:c r="AF142" s="27" t="str">
        <x:v>BIA-16</x:v>
      </x:c>
      <x:c r="AG142" s="27" t="str">
        <x:v>PB-16</x:v>
      </x:c>
      <x:c r="AH142" s="27" t="str">
        <x:v>TA-ENV-004</x:v>
      </x:c>
      <x:c r="AI142" s="36" t="str">
        <x:v>10, 11, 25, 27, 30, 31, 34</x:v>
      </x:c>
      <x:c r="AJ142" s="36" t="str">
        <x:v>Environment records, setup guides, handoffs y build records</x:v>
      </x:c>
      <x:c r="AK142" s="27" t="str">
        <x:v>OPEN</x:v>
      </x:c>
      <x:c r="AL142" s="27" t="str">
        <x:v>WEEKLY</x:v>
      </x:c>
      <x:c r="AM142" s="40" t="str">
        <x:v>2026-07-01</x:v>
      </x:c>
      <x:c r="AN142" s="40" t="str">
        <x:v>2026-07-08</x:v>
      </x:c>
      <x:c r="AO142" s="27" t="str">
        <x:v>UNVERIFIED</x:v>
      </x:c>
      <x:c r="AP142" s="36" t="str">
        <x:v>Registro inicial consolidado; validar owner, controles y residual.</x:v>
      </x:c>
      <x:c r="AQ142" s="27" t="n">
        <x:f>IF(OR(M142="CRITICAL",W142="CRITICAL",Y142="OUTSIDE TOLERANCE",AK142="ESCALATED",AK142="ACCEPTANCE REQUESTED"),1,0)</x:f>
        <x:v>1</x:v>
      </x:c>
    </x:row>
    <x:row r="143">
      <x:c r="A143" s="27" t="str">
        <x:v>R-ENV-005</x:v>
      </x:c>
      <x:c r="B143" s="36" t="str">
        <x:v>Hardware, Facilities &amp; Environment</x:v>
      </x:c>
      <x:c r="C143" s="36" t="str">
        <x:v>Internet outage</x:v>
      </x:c>
      <x:c r="D143" s="36" t="str">
        <x:v>Existe el riesgo de que ocurra lo siguiente: Conectividad impide servicios remotos.</x:v>
      </x:c>
      <x:c r="E143" s="36" t="str">
        <x:v>Operations</x:v>
      </x:c>
      <x:c r="F143" s="36" t="str">
        <x:v>All</x:v>
      </x:c>
      <x:c r="G143" s="36" t="str">
        <x:v>Ausencia, degradación o incumplimiento de los controles definidos para internet outage.</x:v>
      </x:c>
      <x:c r="H143" s="36" t="str">
        <x:v>Conectividad impide servicios remotos</x:v>
      </x:c>
      <x:c r="I143" s="36" t="str">
        <x:v>Puede afectar a Operations, bloquear un gate, causar retrabajo, pérdida de datos/confianza o interrupción operativa.</x:v>
      </x:c>
      <x:c r="J143" s="38" t="n">
        <x:v>4</x:v>
      </x:c>
      <x:c r="K143" s="38" t="n">
        <x:v>3</x:v>
      </x:c>
      <x:c r="L143" s="38" t="n">
        <x:f>J143*K143</x:f>
        <x:v>12</x:v>
      </x:c>
      <x:c r="M143" s="27" t="str">
        <x:f>IF(L143&gt;=20,"CRITICAL",IF(L143&gt;=12,"HIGH",IF(L143&gt;=6,"MEDIUM","LOW")))</x:f>
        <x:v>HIGH</x:v>
      </x:c>
      <x:c r="N143" s="27" t="str">
        <x:v>FAST</x:v>
      </x:c>
      <x:c r="O143" s="27" t="str">
        <x:v>HARD</x:v>
      </x:c>
      <x:c r="P143" s="36" t="str">
        <x:v>Backups, cifrado, inventario, protección eléctrica y entorno reproducible.</x:v>
      </x:c>
      <x:c r="Q143" s="27" t="str">
        <x:v>PARTIAL</x:v>
      </x:c>
      <x:c r="R143" s="27" t="str">
        <x:v>MITIGATE</x:v>
      </x:c>
      <x:c r="S143" s="36" t="str">
        <x:v>Mantener equipo alternativo, copias externas y procedimiento de rebuild.</x:v>
      </x:c>
      <x:c r="T143" s="38" t="n">
        <x:v>4</x:v>
      </x:c>
      <x:c r="U143" s="38" t="n">
        <x:v>3</x:v>
      </x:c>
      <x:c r="V143" s="38" t="n">
        <x:f>T143*U143</x:f>
        <x:v>12</x:v>
      </x:c>
      <x:c r="W143" s="27" t="str">
        <x:f>IF(V143&gt;=20,"CRITICAL",IF(V143&gt;=12,"HIGH",IF(V143&gt;=6,"MEDIUM","LOW")))</x:f>
        <x:v>HIGH</x:v>
      </x:c>
      <x:c r="X143" s="27" t="str">
        <x:v>LOW</x:v>
      </x:c>
      <x:c r="Y143" s="27" t="str">
        <x:f>IF(X143="ZERO",IF(V143=0,"WITHIN TOLERANCE","OUTSIDE TOLERANCE"),IF(X143="LOW",IF(V143&lt;=4,"WITHIN TOLERANCE","OUTSIDE TOLERANCE"),IF(X143="MODERATE",IF(V143&lt;=9,"WITHIN TOLERANCE","OUTSIDE TOLERANCE"),IF(X143="HIGH",IF(V143&lt;=16,"WITHIN TOLERANCE","OUTSIDE TOLERANCE"),"REVIEW"))))</x:f>
        <x:v>OUTSIDE TOLERANCE</x:v>
      </x:c>
      <x:c r="Z143" s="36" t="str">
        <x:v>Project Owner / IT</x:v>
      </x:c>
      <x:c r="AA143" s="36" t="str">
        <x:v>Production</x:v>
      </x:c>
      <x:c r="AB143" s="36" t="str">
        <x:v>Sin conexión &gt; 4 h</x:v>
      </x:c>
      <x:c r="AC143" s="36" t="str">
        <x:v>Umbral: evidencia positiva, tendencia adversa o gate bloqueado.</x:v>
      </x:c>
      <x:c r="AD143" s="36" t="str">
        <x:v>Proteger evidencia/datos y pasar a hardware alternativo.</x:v>
      </x:c>
      <x:c r="AE143" s="36" t="str">
        <x:v>Reponer equipo, restaurar repositorio/datos y validar toolchain.</x:v>
      </x:c>
      <x:c r="AF143" s="27" t="str">
        <x:v>BIA-16</x:v>
      </x:c>
      <x:c r="AG143" s="27" t="str">
        <x:v>PB-16</x:v>
      </x:c>
      <x:c r="AH143" s="27" t="str">
        <x:v>TA-ENV-005</x:v>
      </x:c>
      <x:c r="AI143" s="36" t="str">
        <x:v>10, 11, 25, 27, 30, 31, 34</x:v>
      </x:c>
      <x:c r="AJ143" s="36" t="str">
        <x:v>Environment records, setup guides, handoffs y build records</x:v>
      </x:c>
      <x:c r="AK143" s="27" t="str">
        <x:v>OPEN</x:v>
      </x:c>
      <x:c r="AL143" s="27" t="str">
        <x:v>WEEKLY</x:v>
      </x:c>
      <x:c r="AM143" s="40" t="str">
        <x:v>2026-07-01</x:v>
      </x:c>
      <x:c r="AN143" s="40" t="str">
        <x:v>2026-07-08</x:v>
      </x:c>
      <x:c r="AO143" s="27" t="str">
        <x:v>UNVERIFIED</x:v>
      </x:c>
      <x:c r="AP143" s="36" t="str">
        <x:v>Registro inicial consolidado; validar owner, controles y residual.</x:v>
      </x:c>
      <x:c r="AQ143" s="27" t="n">
        <x:f>IF(OR(M143="CRITICAL",W143="CRITICAL",Y143="OUTSIDE TOLERANCE",AK143="ESCALATED",AK143="ACCEPTANCE REQUESTED"),1,0)</x:f>
        <x:v>1</x:v>
      </x:c>
    </x:row>
    <x:row r="144">
      <x:c r="A144" s="27" t="str">
        <x:v>R-ENV-006</x:v>
      </x:c>
      <x:c r="B144" s="36" t="str">
        <x:v>Hardware, Facilities &amp; Environment</x:v>
      </x:c>
      <x:c r="C144" s="36" t="str">
        <x:v>Thermal instability</x:v>
      </x:c>
      <x:c r="D144" s="36" t="str">
        <x:v>Existe el riesgo de que ocurra lo siguiente: Equipo se degrada/crashea bajo carga.</x:v>
      </x:c>
      <x:c r="E144" s="36" t="str">
        <x:v>Build/performance validity</x:v>
      </x:c>
      <x:c r="F144" s="36" t="str">
        <x:v>Development</x:v>
      </x:c>
      <x:c r="G144" s="36" t="str">
        <x:v>Ausencia, degradación o incumplimiento de los controles definidos para thermal instability.</x:v>
      </x:c>
      <x:c r="H144" s="36" t="str">
        <x:v>Equipo se degrada/crashea bajo carga</x:v>
      </x:c>
      <x:c r="I144" s="36" t="str">
        <x:v>Puede afectar a Build/performance validity, bloquear un gate, causar retrabajo, pérdida de datos/confianza o interrupción operativa.</x:v>
      </x:c>
      <x:c r="J144" s="38" t="n">
        <x:v>3</x:v>
      </x:c>
      <x:c r="K144" s="38" t="n">
        <x:v>4</x:v>
      </x:c>
      <x:c r="L144" s="38" t="n">
        <x:f>J144*K144</x:f>
        <x:v>12</x:v>
      </x:c>
      <x:c r="M144" s="27" t="str">
        <x:f>IF(L144&gt;=20,"CRITICAL",IF(L144&gt;=12,"HIGH",IF(L144&gt;=6,"MEDIUM","LOW")))</x:f>
        <x:v>HIGH</x:v>
      </x:c>
      <x:c r="N144" s="27" t="str">
        <x:v>MEDIUM</x:v>
      </x:c>
      <x:c r="O144" s="27" t="str">
        <x:v>MODERATE</x:v>
      </x:c>
      <x:c r="P144" s="36" t="str">
        <x:v>Backups, cifrado, inventario, protección eléctrica y entorno reproducible.</x:v>
      </x:c>
      <x:c r="Q144" s="27" t="str">
        <x:v>PARTIAL</x:v>
      </x:c>
      <x:c r="R144" s="27" t="str">
        <x:v>MITIGATE</x:v>
      </x:c>
      <x:c r="S144" s="36" t="str">
        <x:v>Mantener equipo alternativo, copias externas y procedimiento de rebuild.</x:v>
      </x:c>
      <x:c r="T144" s="38" t="n">
        <x:v>3</x:v>
      </x:c>
      <x:c r="U144" s="38" t="n">
        <x:v>4</x:v>
      </x:c>
      <x:c r="V144" s="38" t="n">
        <x:f>T144*U144</x:f>
        <x:v>12</x:v>
      </x:c>
      <x:c r="W144" s="27" t="str">
        <x:f>IF(V144&gt;=20,"CRITICAL",IF(V144&gt;=12,"HIGH",IF(V144&gt;=6,"MEDIUM","LOW")))</x:f>
        <x:v>HIGH</x:v>
      </x:c>
      <x:c r="X144" s="27" t="str">
        <x:v>LOW</x:v>
      </x:c>
      <x:c r="Y144" s="27" t="str">
        <x:f>IF(X144="ZERO",IF(V144=0,"WITHIN TOLERANCE","OUTSIDE TOLERANCE"),IF(X144="LOW",IF(V144&lt;=4,"WITHIN TOLERANCE","OUTSIDE TOLERANCE"),IF(X144="MODERATE",IF(V144&lt;=9,"WITHIN TOLERANCE","OUTSIDE TOLERANCE"),IF(X144="HIGH",IF(V144&lt;=16,"WITHIN TOLERANCE","OUTSIDE TOLERANCE"),"REVIEW"))))</x:f>
        <x:v>OUTSIDE TOLERANCE</x:v>
      </x:c>
      <x:c r="Z144" s="36" t="str">
        <x:v>Project Owner / IT</x:v>
      </x:c>
      <x:c r="AA144" s="36" t="str">
        <x:v>Production</x:v>
      </x:c>
      <x:c r="AB144" s="36" t="str">
        <x:v>Temperature/throttling</x:v>
      </x:c>
      <x:c r="AC144" s="36" t="str">
        <x:v>Umbral: evidencia positiva, tendencia adversa o gate bloqueado.</x:v>
      </x:c>
      <x:c r="AD144" s="36" t="str">
        <x:v>Proteger evidencia/datos y pasar a hardware alternativo.</x:v>
      </x:c>
      <x:c r="AE144" s="36" t="str">
        <x:v>Reponer equipo, restaurar repositorio/datos y validar toolchain.</x:v>
      </x:c>
      <x:c r="AF144" s="27" t="str">
        <x:v>BIA-16</x:v>
      </x:c>
      <x:c r="AG144" s="27" t="str">
        <x:v>PB-16</x:v>
      </x:c>
      <x:c r="AH144" s="27" t="str">
        <x:v>TA-ENV-006</x:v>
      </x:c>
      <x:c r="AI144" s="36" t="str">
        <x:v>10, 11, 25, 27, 30, 31, 34</x:v>
      </x:c>
      <x:c r="AJ144" s="36" t="str">
        <x:v>Environment records, setup guides, handoffs y build records</x:v>
      </x:c>
      <x:c r="AK144" s="27" t="str">
        <x:v>OPEN</x:v>
      </x:c>
      <x:c r="AL144" s="27" t="str">
        <x:v>MONTHLY</x:v>
      </x:c>
      <x:c r="AM144" s="40" t="str">
        <x:v>2026-07-01</x:v>
      </x:c>
      <x:c r="AN144" s="40" t="str">
        <x:v>2026-07-31</x:v>
      </x:c>
      <x:c r="AO144" s="27" t="str">
        <x:v>UNVERIFIED</x:v>
      </x:c>
      <x:c r="AP144" s="36" t="str">
        <x:v>Registro inicial consolidado; validar owner, controles y residual.</x:v>
      </x:c>
      <x:c r="AQ144" s="27" t="n">
        <x:f>IF(OR(M144="CRITICAL",W144="CRITICAL",Y144="OUTSIDE TOLERANCE",AK144="ESCALATED",AK144="ACCEPTANCE REQUESTED"),1,0)</x:f>
        <x:v>1</x:v>
      </x:c>
    </x:row>
    <x:row r="145">
      <x:c r="A145" s="27" t="str">
        <x:v>R-ENV-007</x:v>
      </x:c>
      <x:c r="B145" s="36" t="str">
        <x:v>Hardware, Facilities &amp; Environment</x:v>
      </x:c>
      <x:c r="C145" s="36" t="str">
        <x:v>Replacement delay</x:v>
      </x:c>
      <x:c r="D145" s="36" t="str">
        <x:v>Existe el riesgo de que ocurra lo siguiente: Hardware alternativo tarda demasiado.</x:v>
      </x:c>
      <x:c r="E145" s="36" t="str">
        <x:v>Recovery time</x:v>
      </x:c>
      <x:c r="F145" s="36" t="str">
        <x:v>All</x:v>
      </x:c>
      <x:c r="G145" s="36" t="str">
        <x:v>Ausencia, degradación o incumplimiento de los controles definidos para replacement delay.</x:v>
      </x:c>
      <x:c r="H145" s="36" t="str">
        <x:v>Hardware alternativo tarda demasiado</x:v>
      </x:c>
      <x:c r="I145" s="36" t="str">
        <x:v>Puede afectar a Recovery time, bloquear un gate, causar retrabajo, pérdida de datos/confianza o interrupción operativa.</x:v>
      </x:c>
      <x:c r="J145" s="38" t="n">
        <x:v>3</x:v>
      </x:c>
      <x:c r="K145" s="38" t="n">
        <x:v>4</x:v>
      </x:c>
      <x:c r="L145" s="38" t="n">
        <x:f>J145*K145</x:f>
        <x:v>12</x:v>
      </x:c>
      <x:c r="M145" s="27" t="str">
        <x:f>IF(L145&gt;=20,"CRITICAL",IF(L145&gt;=12,"HIGH",IF(L145&gt;=6,"MEDIUM","LOW")))</x:f>
        <x:v>HIGH</x:v>
      </x:c>
      <x:c r="N145" s="27" t="str">
        <x:v>SLOW</x:v>
      </x:c>
      <x:c r="O145" s="27" t="str">
        <x:v>MODERATE</x:v>
      </x:c>
      <x:c r="P145" s="36" t="str">
        <x:v>Backups, cifrado, inventario, protección eléctrica y entorno reproducible.</x:v>
      </x:c>
      <x:c r="Q145" s="27" t="str">
        <x:v>PARTIAL</x:v>
      </x:c>
      <x:c r="R145" s="27" t="str">
        <x:v>MITIGATE</x:v>
      </x:c>
      <x:c r="S145" s="36" t="str">
        <x:v>Mantener equipo alternativo, copias externas y procedimiento de rebuild.</x:v>
      </x:c>
      <x:c r="T145" s="38" t="n">
        <x:v>3</x:v>
      </x:c>
      <x:c r="U145" s="38" t="n">
        <x:v>4</x:v>
      </x:c>
      <x:c r="V145" s="38" t="n">
        <x:f>T145*U145</x:f>
        <x:v>12</x:v>
      </x:c>
      <x:c r="W145" s="27" t="str">
        <x:f>IF(V145&gt;=20,"CRITICAL",IF(V145&gt;=12,"HIGH",IF(V145&gt;=6,"MEDIUM","LOW")))</x:f>
        <x:v>HIGH</x:v>
      </x:c>
      <x:c r="X145" s="27" t="str">
        <x:v>LOW</x:v>
      </x:c>
      <x:c r="Y145" s="27" t="str">
        <x:f>IF(X145="ZERO",IF(V145=0,"WITHIN TOLERANCE","OUTSIDE TOLERANCE"),IF(X145="LOW",IF(V145&lt;=4,"WITHIN TOLERANCE","OUTSIDE TOLERANCE"),IF(X145="MODERATE",IF(V145&lt;=9,"WITHIN TOLERANCE","OUTSIDE TOLERANCE"),IF(X145="HIGH",IF(V145&lt;=16,"WITHIN TOLERANCE","OUTSIDE TOLERANCE"),"REVIEW"))))</x:f>
        <x:v>OUTSIDE TOLERANCE</x:v>
      </x:c>
      <x:c r="Z145" s="36" t="str">
        <x:v>Project Owner / IT</x:v>
      </x:c>
      <x:c r="AA145" s="36" t="str">
        <x:v>Production</x:v>
      </x:c>
      <x:c r="AB145" s="36" t="str">
        <x:v>Sin spare/procurement</x:v>
      </x:c>
      <x:c r="AC145" s="36" t="str">
        <x:v>Umbral: evidencia positiva, tendencia adversa o gate bloqueado.</x:v>
      </x:c>
      <x:c r="AD145" s="36" t="str">
        <x:v>Proteger evidencia/datos y pasar a hardware alternativo.</x:v>
      </x:c>
      <x:c r="AE145" s="36" t="str">
        <x:v>Reponer equipo, restaurar repositorio/datos y validar toolchain.</x:v>
      </x:c>
      <x:c r="AF145" s="27" t="str">
        <x:v>BIA-16</x:v>
      </x:c>
      <x:c r="AG145" s="27" t="str">
        <x:v>PB-16</x:v>
      </x:c>
      <x:c r="AH145" s="27" t="str">
        <x:v>TA-ENV-007</x:v>
      </x:c>
      <x:c r="AI145" s="36" t="str">
        <x:v>10, 11, 25, 27, 30, 31, 34</x:v>
      </x:c>
      <x:c r="AJ145" s="36" t="str">
        <x:v>Environment records, setup guides, handoffs y build records</x:v>
      </x:c>
      <x:c r="AK145" s="27" t="str">
        <x:v>OPEN</x:v>
      </x:c>
      <x:c r="AL145" s="27" t="str">
        <x:v>MONTHLY</x:v>
      </x:c>
      <x:c r="AM145" s="40" t="str">
        <x:v>2026-07-01</x:v>
      </x:c>
      <x:c r="AN145" s="40" t="str">
        <x:v>2026-07-31</x:v>
      </x:c>
      <x:c r="AO145" s="27" t="str">
        <x:v>UNVERIFIED</x:v>
      </x:c>
      <x:c r="AP145" s="36" t="str">
        <x:v>Registro inicial consolidado; validar owner, controles y residual.</x:v>
      </x:c>
      <x:c r="AQ145" s="27" t="n">
        <x:f>IF(OR(M145="CRITICAL",W145="CRITICAL",Y145="OUTSIDE TOLERANCE",AK145="ESCALATED",AK145="ACCEPTANCE REQUESTED"),1,0)</x:f>
        <x:v>1</x:v>
      </x:c>
    </x:row>
    <x:row r="146">
      <x:c r="A146" s="27" t="str">
        <x:v>R-ENV-008</x:v>
      </x:c>
      <x:c r="B146" s="36" t="str">
        <x:v>Hardware, Facilities &amp; Environment</x:v>
      </x:c>
      <x:c r="C146" s="36" t="str">
        <x:v>Workspace access</x:v>
      </x:c>
      <x:c r="D146" s="36" t="str">
        <x:v>Existe el riesgo de que ocurra lo siguiente: Owner no puede acceder al entorno físico.</x:v>
      </x:c>
      <x:c r="E146" s="36" t="str">
        <x:v>Operations</x:v>
      </x:c>
      <x:c r="F146" s="36" t="str">
        <x:v>All</x:v>
      </x:c>
      <x:c r="G146" s="36" t="str">
        <x:v>Ausencia, degradación o incumplimiento de los controles definidos para workspace access.</x:v>
      </x:c>
      <x:c r="H146" s="36" t="str">
        <x:v>Owner no puede acceder al entorno físico</x:v>
      </x:c>
      <x:c r="I146" s="36" t="str">
        <x:v>Puede afectar a Operations, bloquear un gate, causar retrabajo, pérdida de datos/confianza o interrupción operativa.</x:v>
      </x:c>
      <x:c r="J146" s="38" t="n">
        <x:v>2</x:v>
      </x:c>
      <x:c r="K146" s="38" t="n">
        <x:v>4</x:v>
      </x:c>
      <x:c r="L146" s="38" t="n">
        <x:f>J146*K146</x:f>
        <x:v>8</x:v>
      </x:c>
      <x:c r="M146" s="27" t="str">
        <x:f>IF(L146&gt;=20,"CRITICAL",IF(L146&gt;=12,"HIGH",IF(L146&gt;=6,"MEDIUM","LOW")))</x:f>
        <x:v>MEDIUM</x:v>
      </x:c>
      <x:c r="N146" s="27" t="str">
        <x:v>FAST</x:v>
      </x:c>
      <x:c r="O146" s="27" t="str">
        <x:v>HARD</x:v>
      </x:c>
      <x:c r="P146" s="36" t="str">
        <x:v>Backups, cifrado, inventario, protección eléctrica y entorno reproducible.</x:v>
      </x:c>
      <x:c r="Q146" s="27" t="str">
        <x:v>PARTIAL</x:v>
      </x:c>
      <x:c r="R146" s="27" t="str">
        <x:v>MITIGATE</x:v>
      </x:c>
      <x:c r="S146" s="36" t="str">
        <x:v>Mantener equipo alternativo, copias externas y procedimiento de rebuild.</x:v>
      </x:c>
      <x:c r="T146" s="38" t="n">
        <x:v>2</x:v>
      </x:c>
      <x:c r="U146" s="38" t="n">
        <x:v>4</x:v>
      </x:c>
      <x:c r="V146" s="38" t="n">
        <x:f>T146*U146</x:f>
        <x:v>8</x:v>
      </x:c>
      <x:c r="W146" s="27" t="str">
        <x:f>IF(V146&gt;=20,"CRITICAL",IF(V146&gt;=12,"HIGH",IF(V146&gt;=6,"MEDIUM","LOW")))</x:f>
        <x:v>MEDIUM</x:v>
      </x:c>
      <x:c r="X146" s="27" t="str">
        <x:v>LOW</x:v>
      </x:c>
      <x:c r="Y146" s="27" t="str">
        <x:f>IF(X146="ZERO",IF(V146=0,"WITHIN TOLERANCE","OUTSIDE TOLERANCE"),IF(X146="LOW",IF(V146&lt;=4,"WITHIN TOLERANCE","OUTSIDE TOLERANCE"),IF(X146="MODERATE",IF(V146&lt;=9,"WITHIN TOLERANCE","OUTSIDE TOLERANCE"),IF(X146="HIGH",IF(V146&lt;=16,"WITHIN TOLERANCE","OUTSIDE TOLERANCE"),"REVIEW"))))</x:f>
        <x:v>OUTSIDE TOLERANCE</x:v>
      </x:c>
      <x:c r="Z146" s="36" t="str">
        <x:v>Project Owner / IT</x:v>
      </x:c>
      <x:c r="AA146" s="36" t="str">
        <x:v>Production</x:v>
      </x:c>
      <x:c r="AB146" s="36" t="str">
        <x:v>Access disruption</x:v>
      </x:c>
      <x:c r="AC146" s="36" t="str">
        <x:v>Umbral: evidencia positiva, tendencia adversa o gate bloqueado.</x:v>
      </x:c>
      <x:c r="AD146" s="36" t="str">
        <x:v>Proteger evidencia/datos y pasar a hardware alternativo.</x:v>
      </x:c>
      <x:c r="AE146" s="36" t="str">
        <x:v>Reponer equipo, restaurar repositorio/datos y validar toolchain.</x:v>
      </x:c>
      <x:c r="AF146" s="27" t="str">
        <x:v>BIA-16</x:v>
      </x:c>
      <x:c r="AG146" s="27" t="str">
        <x:v>PB-16</x:v>
      </x:c>
      <x:c r="AH146" s="27" t="str">
        <x:v>TA-ENV-008</x:v>
      </x:c>
      <x:c r="AI146" s="36" t="str">
        <x:v>10, 11, 25, 27, 30, 31, 34</x:v>
      </x:c>
      <x:c r="AJ146" s="36" t="str">
        <x:v>Environment records, setup guides, handoffs y build records</x:v>
      </x:c>
      <x:c r="AK146" s="27" t="str">
        <x:v>OPEN</x:v>
      </x:c>
      <x:c r="AL146" s="27" t="str">
        <x:v>WEEKLY</x:v>
      </x:c>
      <x:c r="AM146" s="40" t="str">
        <x:v>2026-07-01</x:v>
      </x:c>
      <x:c r="AN146" s="40" t="str">
        <x:v>2026-07-08</x:v>
      </x:c>
      <x:c r="AO146" s="27" t="str">
        <x:v>UNVERIFIED</x:v>
      </x:c>
      <x:c r="AP146" s="36" t="str">
        <x:v>Registro inicial consolidado; validar owner, controles y residual.</x:v>
      </x:c>
      <x:c r="AQ146" s="27" t="n">
        <x:f>IF(OR(M146="CRITICAL",W146="CRITICAL",Y146="OUTSIDE TOLERANCE",AK146="ESCALATED",AK146="ACCEPTANCE REQUESTED"),1,0)</x:f>
        <x:v>1</x:v>
      </x:c>
    </x:row>
    <x:row r="147">
      <x:c r="A147" s="27" t="str">
        <x:v>R-DOC-001</x:v>
      </x:c>
      <x:c r="B147" s="36" t="str">
        <x:v>Documentation &amp; Knowledge</x:v>
      </x:c>
      <x:c r="C147" s="36" t="str">
        <x:v>Baseline incompleteness</x:v>
      </x:c>
      <x:c r="D147" s="36" t="str">
        <x:v>Existe el riesgo de que ocurra lo siguiente: Documentos 12–16/34 o referencias quedan sin cerrar.</x:v>
      </x:c>
      <x:c r="E147" s="36" t="str">
        <x:v>Final baseline</x:v>
      </x:c>
      <x:c r="F147" s="36" t="str">
        <x:v>Closure</x:v>
      </x:c>
      <x:c r="G147" s="36" t="str">
        <x:v>Ausencia, degradación o incumplimiento de los controles definidos para baseline incompleteness.</x:v>
      </x:c>
      <x:c r="H147" s="36" t="str">
        <x:v>Documentos 12–16/34 o referencias quedan sin cerrar</x:v>
      </x:c>
      <x:c r="I147" s="36" t="str">
        <x:v>Puede afectar a Final baseline, bloquear un gate, causar retrabajo, pérdida de datos/confianza o interrupción operativa.</x:v>
      </x:c>
      <x:c r="J147" s="38" t="n">
        <x:v>5</x:v>
      </x:c>
      <x:c r="K147" s="38" t="n">
        <x:v>4</x:v>
      </x:c>
      <x:c r="L147" s="38" t="n">
        <x:f>J147*K147</x:f>
        <x:v>20</x:v>
      </x:c>
      <x:c r="M147" s="27" t="str">
        <x:f>IF(L147&gt;=20,"CRITICAL",IF(L147&gt;=12,"HIGH",IF(L147&gt;=6,"MEDIUM","LOW")))</x:f>
        <x:v>CRITICAL</x:v>
      </x:c>
      <x:c r="N147" s="27" t="str">
        <x:v>MEDIUM</x:v>
      </x:c>
      <x:c r="O147" s="27" t="str">
        <x:v>MODERATE</x:v>
      </x:c>
      <x:c r="P147" s="36" t="str">
        <x:v>Baseline numerada, hashes, trazabilidad, Binder, Guía y auditoría.</x:v>
      </x:c>
      <x:c r="Q147" s="27" t="str">
        <x:v>DEFINED</x:v>
      </x:c>
      <x:c r="R147" s="27" t="str">
        <x:v>MITIGATE</x:v>
      </x:c>
      <x:c r="S147" s="36" t="str">
        <x:v>Regenerar documentos afectados, preservar historia y cerrar referencias.</x:v>
      </x:c>
      <x:c r="T147" s="38" t="n">
        <x:v>5</x:v>
      </x:c>
      <x:c r="U147" s="38" t="n">
        <x:v>4</x:v>
      </x:c>
      <x:c r="V147" s="38" t="n">
        <x:f>T147*U147</x:f>
        <x:v>20</x:v>
      </x:c>
      <x:c r="W147" s="27" t="str">
        <x:f>IF(V147&gt;=20,"CRITICAL",IF(V147&gt;=12,"HIGH",IF(V147&gt;=6,"MEDIUM","LOW")))</x:f>
        <x:v>CRITICAL</x:v>
      </x:c>
      <x:c r="X147" s="27" t="str">
        <x:v>LOW</x:v>
      </x:c>
      <x:c r="Y147" s="27" t="str">
        <x:f>IF(X147="ZERO",IF(V147=0,"WITHIN TOLERANCE","OUTSIDE TOLERANCE"),IF(X147="LOW",IF(V147&lt;=4,"WITHIN TOLERANCE","OUTSIDE TOLERANCE"),IF(X147="MODERATE",IF(V147&lt;=9,"WITHIN TOLERANCE","OUTSIDE TOLERANCE"),IF(X147="HIGH",IF(V147&lt;=16,"WITHIN TOLERANCE","OUTSIDE TOLERANCE"),"REVIEW"))))</x:f>
        <x:v>OUTSIDE TOLERANCE</x:v>
      </x:c>
      <x:c r="Z147" s="36" t="str">
        <x:v>Documentation / Production</x:v>
      </x:c>
      <x:c r="AA147" s="36" t="str">
        <x:v>Project Owner</x:v>
      </x:c>
      <x:c r="AB147" s="36" t="str">
        <x:v>Manifest muestra acciones abiertas</x:v>
      </x:c>
      <x:c r="AC147" s="36" t="str">
        <x:v>Umbral: evidencia positiva, tendencia adversa o gate bloqueado.</x:v>
      </x:c>
      <x:c r="AD147" s="36" t="str">
        <x:v>Congelar edición y determinar última autoridad verificable.</x:v>
      </x:c>
      <x:c r="AE147" s="36" t="str">
        <x:v>Restaurar baseline/hashes, aplicar cambios trazables y reauditar.</x:v>
      </x:c>
      <x:c r="AF147" s="27" t="str">
        <x:v>BIA-17</x:v>
      </x:c>
      <x:c r="AG147" s="27" t="str">
        <x:v>PB-17</x:v>
      </x:c>
      <x:c r="AH147" s="27" t="str">
        <x:v>TA-DOC-001</x:v>
      </x:c>
      <x:c r="AI147" s="36" t="str">
        <x:v>12, 13, 14, 15, 16, 31, 32, 33, 34, 33, 34</x:v>
      </x:c>
      <x:c r="AJ147" s="36" t="str">
        <x:v>Baselines v0.3–v0.6, README, manifests, checksums, ADR y handoffs</x:v>
      </x:c>
      <x:c r="AK147" s="27" t="str">
        <x:v>OPEN</x:v>
      </x:c>
      <x:c r="AL147" s="27" t="str">
        <x:v>WEEKLY</x:v>
      </x:c>
      <x:c r="AM147" s="40" t="str">
        <x:v>2026-07-01</x:v>
      </x:c>
      <x:c r="AN147" s="40" t="str">
        <x:v>2026-07-08</x:v>
      </x:c>
      <x:c r="AO147" s="27" t="str">
        <x:v>UNVERIFIED</x:v>
      </x:c>
      <x:c r="AP147" s="36" t="str">
        <x:v>Registro inicial consolidado; validar owner, controles y residual.</x:v>
      </x:c>
      <x:c r="AQ147" s="27" t="n">
        <x:f>IF(OR(M147="CRITICAL",W147="CRITICAL",Y147="OUTSIDE TOLERANCE",AK147="ESCALATED",AK147="ACCEPTANCE REQUESTED"),1,0)</x:f>
        <x:v>1</x:v>
      </x:c>
    </x:row>
    <x:row r="148">
      <x:c r="A148" s="27" t="str">
        <x:v>R-DOC-002</x:v>
      </x:c>
      <x:c r="B148" s="36" t="str">
        <x:v>Documentation &amp; Knowledge</x:v>
      </x:c>
      <x:c r="C148" s="36" t="str">
        <x:v>Hash mismatch</x:v>
      </x:c>
      <x:c r="D148" s="36" t="str">
        <x:v>Existe el riesgo de que ocurra lo siguiente: Archivo no coincide con checksum publicado.</x:v>
      </x:c>
      <x:c r="E148" s="36" t="str">
        <x:v>Integrity</x:v>
      </x:c>
      <x:c r="F148" s="36" t="str">
        <x:v>All</x:v>
      </x:c>
      <x:c r="G148" s="36" t="str">
        <x:v>Ausencia, degradación o incumplimiento de los controles definidos para hash mismatch.</x:v>
      </x:c>
      <x:c r="H148" s="36" t="str">
        <x:v>Archivo no coincide con checksum publicado</x:v>
      </x:c>
      <x:c r="I148" s="36" t="str">
        <x:v>Puede afectar a Integrity, bloquear un gate, causar retrabajo, pérdida de datos/confianza o interrupción operativa.</x:v>
      </x:c>
      <x:c r="J148" s="38" t="n">
        <x:v>3</x:v>
      </x:c>
      <x:c r="K148" s="38" t="n">
        <x:v>5</x:v>
      </x:c>
      <x:c r="L148" s="38" t="n">
        <x:f>J148*K148</x:f>
        <x:v>15</x:v>
      </x:c>
      <x:c r="M148" s="27" t="str">
        <x:f>IF(L148&gt;=20,"CRITICAL",IF(L148&gt;=12,"HIGH",IF(L148&gt;=6,"MEDIUM","LOW")))</x:f>
        <x:v>HIGH</x:v>
      </x:c>
      <x:c r="N148" s="27" t="str">
        <x:v>FAST</x:v>
      </x:c>
      <x:c r="O148" s="27" t="str">
        <x:v>HARD</x:v>
      </x:c>
      <x:c r="P148" s="36" t="str">
        <x:v>Baseline numerada, hashes, trazabilidad, Binder, Guía y auditoría.</x:v>
      </x:c>
      <x:c r="Q148" s="27" t="str">
        <x:v>DEFINED</x:v>
      </x:c>
      <x:c r="R148" s="27" t="str">
        <x:v>MITIGATE</x:v>
      </x:c>
      <x:c r="S148" s="36" t="str">
        <x:v>Regenerar documentos afectados, preservar historia y cerrar referencias.</x:v>
      </x:c>
      <x:c r="T148" s="38" t="n">
        <x:v>3</x:v>
      </x:c>
      <x:c r="U148" s="38" t="n">
        <x:v>5</x:v>
      </x:c>
      <x:c r="V148" s="38" t="n">
        <x:f>T148*U148</x:f>
        <x:v>15</x:v>
      </x:c>
      <x:c r="W148" s="27" t="str">
        <x:f>IF(V148&gt;=20,"CRITICAL",IF(V148&gt;=12,"HIGH",IF(V148&gt;=6,"MEDIUM","LOW")))</x:f>
        <x:v>HIGH</x:v>
      </x:c>
      <x:c r="X148" s="27" t="str">
        <x:v>LOW</x:v>
      </x:c>
      <x:c r="Y148" s="27" t="str">
        <x:f>IF(X148="ZERO",IF(V148=0,"WITHIN TOLERANCE","OUTSIDE TOLERANCE"),IF(X148="LOW",IF(V148&lt;=4,"WITHIN TOLERANCE","OUTSIDE TOLERANCE"),IF(X148="MODERATE",IF(V148&lt;=9,"WITHIN TOLERANCE","OUTSIDE TOLERANCE"),IF(X148="HIGH",IF(V148&lt;=16,"WITHIN TOLERANCE","OUTSIDE TOLERANCE"),"REVIEW"))))</x:f>
        <x:v>OUTSIDE TOLERANCE</x:v>
      </x:c>
      <x:c r="Z148" s="36" t="str">
        <x:v>Documentation / Production</x:v>
      </x:c>
      <x:c r="AA148" s="36" t="str">
        <x:v>Project Owner</x:v>
      </x:c>
      <x:c r="AB148" s="36" t="str">
        <x:v>Verification fails</x:v>
      </x:c>
      <x:c r="AC148" s="36" t="str">
        <x:v>Umbral: evidencia positiva, tendencia adversa o gate bloqueado.</x:v>
      </x:c>
      <x:c r="AD148" s="36" t="str">
        <x:v>Congelar edición y determinar última autoridad verificable.</x:v>
      </x:c>
      <x:c r="AE148" s="36" t="str">
        <x:v>Restaurar baseline/hashes, aplicar cambios trazables y reauditar.</x:v>
      </x:c>
      <x:c r="AF148" s="27" t="str">
        <x:v>BIA-17</x:v>
      </x:c>
      <x:c r="AG148" s="27" t="str">
        <x:v>PB-17</x:v>
      </x:c>
      <x:c r="AH148" s="27" t="str">
        <x:v>TA-DOC-002</x:v>
      </x:c>
      <x:c r="AI148" s="36" t="str">
        <x:v>12, 13, 14, 15, 16, 31, 32, 33, 34, 33, 34</x:v>
      </x:c>
      <x:c r="AJ148" s="36" t="str">
        <x:v>Baselines v0.3–v0.6, README, manifests, checksums, ADR y handoffs</x:v>
      </x:c>
      <x:c r="AK148" s="27" t="str">
        <x:v>OPEN</x:v>
      </x:c>
      <x:c r="AL148" s="27" t="str">
        <x:v>WEEKLY</x:v>
      </x:c>
      <x:c r="AM148" s="40" t="str">
        <x:v>2026-07-01</x:v>
      </x:c>
      <x:c r="AN148" s="40" t="str">
        <x:v>2026-07-08</x:v>
      </x:c>
      <x:c r="AO148" s="27" t="str">
        <x:v>UNVERIFIED</x:v>
      </x:c>
      <x:c r="AP148" s="36" t="str">
        <x:v>Registro inicial consolidado; validar owner, controles y residual.</x:v>
      </x:c>
      <x:c r="AQ148" s="27" t="n">
        <x:f>IF(OR(M148="CRITICAL",W148="CRITICAL",Y148="OUTSIDE TOLERANCE",AK148="ESCALATED",AK148="ACCEPTANCE REQUESTED"),1,0)</x:f>
        <x:v>1</x:v>
      </x:c>
    </x:row>
    <x:row r="149">
      <x:c r="A149" s="27" t="str">
        <x:v>R-DOC-003</x:v>
      </x:c>
      <x:c r="B149" s="36" t="str">
        <x:v>Documentation &amp; Knowledge</x:v>
      </x:c>
      <x:c r="C149" s="36" t="str">
        <x:v>History loss</x:v>
      </x:c>
      <x:c r="D149" s="36" t="str">
        <x:v>Existe el riesgo de que ocurra lo siguiente: Baseline antigua o evidencia se borra por consolidación.</x:v>
      </x:c>
      <x:c r="E149" s="36" t="str">
        <x:v>Audit trail</x:v>
      </x:c>
      <x:c r="F149" s="36" t="str">
        <x:v>All</x:v>
      </x:c>
      <x:c r="G149" s="36" t="str">
        <x:v>Ausencia, degradación o incumplimiento de los controles definidos para history loss.</x:v>
      </x:c>
      <x:c r="H149" s="36" t="str">
        <x:v>Baseline antigua o evidencia se borra por consolidación</x:v>
      </x:c>
      <x:c r="I149" s="36" t="str">
        <x:v>Puede afectar a Audit trail, bloquear un gate, causar retrabajo, pérdida de datos/confianza o interrupción operativa.</x:v>
      </x:c>
      <x:c r="J149" s="38" t="n">
        <x:v>2</x:v>
      </x:c>
      <x:c r="K149" s="38" t="n">
        <x:v>5</x:v>
      </x:c>
      <x:c r="L149" s="38" t="n">
        <x:f>J149*K149</x:f>
        <x:v>10</x:v>
      </x:c>
      <x:c r="M149" s="27" t="str">
        <x:f>IF(L149&gt;=20,"CRITICAL",IF(L149&gt;=12,"HIGH",IF(L149&gt;=6,"MEDIUM","LOW")))</x:f>
        <x:v>MEDIUM</x:v>
      </x:c>
      <x:c r="N149" s="27" t="str">
        <x:v>FAST</x:v>
      </x:c>
      <x:c r="O149" s="27" t="str">
        <x:v>HARD</x:v>
      </x:c>
      <x:c r="P149" s="36" t="str">
        <x:v>Baseline numerada, hashes, trazabilidad, Binder, Guía y auditoría.</x:v>
      </x:c>
      <x:c r="Q149" s="27" t="str">
        <x:v>DEFINED</x:v>
      </x:c>
      <x:c r="R149" s="27" t="str">
        <x:v>MITIGATE</x:v>
      </x:c>
      <x:c r="S149" s="36" t="str">
        <x:v>Regenerar documentos afectados, preservar historia y cerrar referencias.</x:v>
      </x:c>
      <x:c r="T149" s="38" t="n">
        <x:v>2</x:v>
      </x:c>
      <x:c r="U149" s="38" t="n">
        <x:v>5</x:v>
      </x:c>
      <x:c r="V149" s="38" t="n">
        <x:f>T149*U149</x:f>
        <x:v>10</x:v>
      </x:c>
      <x:c r="W149" s="27" t="str">
        <x:f>IF(V149&gt;=20,"CRITICAL",IF(V149&gt;=12,"HIGH",IF(V149&gt;=6,"MEDIUM","LOW")))</x:f>
        <x:v>MEDIUM</x:v>
      </x:c>
      <x:c r="X149" s="27" t="str">
        <x:v>LOW</x:v>
      </x:c>
      <x:c r="Y149" s="27" t="str">
        <x:f>IF(X149="ZERO",IF(V149=0,"WITHIN TOLERANCE","OUTSIDE TOLERANCE"),IF(X149="LOW",IF(V149&lt;=4,"WITHIN TOLERANCE","OUTSIDE TOLERANCE"),IF(X149="MODERATE",IF(V149&lt;=9,"WITHIN TOLERANCE","OUTSIDE TOLERANCE"),IF(X149="HIGH",IF(V149&lt;=16,"WITHIN TOLERANCE","OUTSIDE TOLERANCE"),"REVIEW"))))</x:f>
        <x:v>OUTSIDE TOLERANCE</x:v>
      </x:c>
      <x:c r="Z149" s="36" t="str">
        <x:v>Documentation / Production</x:v>
      </x:c>
      <x:c r="AA149" s="36" t="str">
        <x:v>Project Owner</x:v>
      </x:c>
      <x:c r="AB149" s="36" t="str">
        <x:v>Cleanup sin disposition</x:v>
      </x:c>
      <x:c r="AC149" s="36" t="str">
        <x:v>Umbral: evidencia positiva, tendencia adversa o gate bloqueado.</x:v>
      </x:c>
      <x:c r="AD149" s="36" t="str">
        <x:v>Congelar edición y determinar última autoridad verificable.</x:v>
      </x:c>
      <x:c r="AE149" s="36" t="str">
        <x:v>Restaurar baseline/hashes, aplicar cambios trazables y reauditar.</x:v>
      </x:c>
      <x:c r="AF149" s="27" t="str">
        <x:v>BIA-17</x:v>
      </x:c>
      <x:c r="AG149" s="27" t="str">
        <x:v>PB-17</x:v>
      </x:c>
      <x:c r="AH149" s="27" t="str">
        <x:v>TA-DOC-003</x:v>
      </x:c>
      <x:c r="AI149" s="36" t="str">
        <x:v>12, 13, 14, 15, 16, 31, 32, 33, 34, 33, 34</x:v>
      </x:c>
      <x:c r="AJ149" s="36" t="str">
        <x:v>Baselines v0.3–v0.6, README, manifests, checksums, ADR y handoffs</x:v>
      </x:c>
      <x:c r="AK149" s="27" t="str">
        <x:v>OPEN</x:v>
      </x:c>
      <x:c r="AL149" s="27" t="str">
        <x:v>WEEKLY</x:v>
      </x:c>
      <x:c r="AM149" s="40" t="str">
        <x:v>2026-07-01</x:v>
      </x:c>
      <x:c r="AN149" s="40" t="str">
        <x:v>2026-07-08</x:v>
      </x:c>
      <x:c r="AO149" s="27" t="str">
        <x:v>UNVERIFIED</x:v>
      </x:c>
      <x:c r="AP149" s="36" t="str">
        <x:v>Registro inicial consolidado; validar owner, controles y residual.</x:v>
      </x:c>
      <x:c r="AQ149" s="27" t="n">
        <x:f>IF(OR(M149="CRITICAL",W149="CRITICAL",Y149="OUTSIDE TOLERANCE",AK149="ESCALATED",AK149="ACCEPTANCE REQUESTED"),1,0)</x:f>
        <x:v>1</x:v>
      </x:c>
    </x:row>
    <x:row r="150">
      <x:c r="A150" s="27" t="str">
        <x:v>R-DOC-004</x:v>
      </x:c>
      <x:c r="B150" s="36" t="str">
        <x:v>Documentation &amp; Knowledge</x:v>
      </x:c>
      <x:c r="C150" s="36" t="str">
        <x:v>Self-hash error</x:v>
      </x:c>
      <x:c r="D150" s="36" t="str">
        <x:v>Existe el riesgo de que ocurra lo siguiente: Se intenta embebir hash del XLSX dentro de sí mismo.</x:v>
      </x:c>
      <x:c r="E150" s="36" t="str">
        <x:v>Manifest integrity</x:v>
      </x:c>
      <x:c r="F150" s="36" t="str">
        <x:v>Closure</x:v>
      </x:c>
      <x:c r="G150" s="36" t="str">
        <x:v>Ausencia, degradación o incumplimiento de los controles definidos para self-hash error.</x:v>
      </x:c>
      <x:c r="H150" s="36" t="str">
        <x:v>Se intenta embebir hash del XLSX dentro de sí mismo</x:v>
      </x:c>
      <x:c r="I150" s="36" t="str">
        <x:v>Puede afectar a Manifest integrity, bloquear un gate, causar retrabajo, pérdida de datos/confianza o interrupción operativa.</x:v>
      </x:c>
      <x:c r="J150" s="38" t="n">
        <x:v>3</x:v>
      </x:c>
      <x:c r="K150" s="38" t="n">
        <x:v>3</x:v>
      </x:c>
      <x:c r="L150" s="38" t="n">
        <x:f>J150*K150</x:f>
        <x:v>9</x:v>
      </x:c>
      <x:c r="M150" s="27" t="str">
        <x:f>IF(L150&gt;=20,"CRITICAL",IF(L150&gt;=12,"HIGH",IF(L150&gt;=6,"MEDIUM","LOW")))</x:f>
        <x:v>MEDIUM</x:v>
      </x:c>
      <x:c r="N150" s="27" t="str">
        <x:v>FAST</x:v>
      </x:c>
      <x:c r="O150" s="27" t="str">
        <x:v>HARD</x:v>
      </x:c>
      <x:c r="P150" s="36" t="str">
        <x:v>Baseline numerada, hashes, trazabilidad, Binder, Guía y auditoría.</x:v>
      </x:c>
      <x:c r="Q150" s="27" t="str">
        <x:v>DEFINED</x:v>
      </x:c>
      <x:c r="R150" s="27" t="str">
        <x:v>MITIGATE</x:v>
      </x:c>
      <x:c r="S150" s="36" t="str">
        <x:v>Regenerar documentos afectados, preservar historia y cerrar referencias.</x:v>
      </x:c>
      <x:c r="T150" s="38" t="n">
        <x:v>3</x:v>
      </x:c>
      <x:c r="U150" s="38" t="n">
        <x:v>3</x:v>
      </x:c>
      <x:c r="V150" s="38" t="n">
        <x:f>T150*U150</x:f>
        <x:v>9</x:v>
      </x:c>
      <x:c r="W150" s="27" t="str">
        <x:f>IF(V150&gt;=20,"CRITICAL",IF(V150&gt;=12,"HIGH",IF(V150&gt;=6,"MEDIUM","LOW")))</x:f>
        <x:v>MEDIUM</x:v>
      </x:c>
      <x:c r="X150" s="27" t="str">
        <x:v>LOW</x:v>
      </x:c>
      <x:c r="Y150" s="27" t="str">
        <x:f>IF(X150="ZERO",IF(V150=0,"WITHIN TOLERANCE","OUTSIDE TOLERANCE"),IF(X150="LOW",IF(V150&lt;=4,"WITHIN TOLERANCE","OUTSIDE TOLERANCE"),IF(X150="MODERATE",IF(V150&lt;=9,"WITHIN TOLERANCE","OUTSIDE TOLERANCE"),IF(X150="HIGH",IF(V150&lt;=16,"WITHIN TOLERANCE","OUTSIDE TOLERANCE"),"REVIEW"))))</x:f>
        <x:v>OUTSIDE TOLERANCE</x:v>
      </x:c>
      <x:c r="Z150" s="36" t="str">
        <x:v>Documentation / Production</x:v>
      </x:c>
      <x:c r="AA150" s="36" t="str">
        <x:v>Project Owner</x:v>
      </x:c>
      <x:c r="AB150" s="36" t="str">
        <x:v>Hash cambia tras edición</x:v>
      </x:c>
      <x:c r="AC150" s="36" t="str">
        <x:v>Umbral: evidencia positiva, tendencia adversa o gate bloqueado.</x:v>
      </x:c>
      <x:c r="AD150" s="36" t="str">
        <x:v>Congelar edición y determinar última autoridad verificable.</x:v>
      </x:c>
      <x:c r="AE150" s="36" t="str">
        <x:v>Restaurar baseline/hashes, aplicar cambios trazables y reauditar.</x:v>
      </x:c>
      <x:c r="AF150" s="27" t="str">
        <x:v>BIA-17</x:v>
      </x:c>
      <x:c r="AG150" s="27" t="str">
        <x:v>PB-17</x:v>
      </x:c>
      <x:c r="AH150" s="27" t="str">
        <x:v>TA-DOC-004</x:v>
      </x:c>
      <x:c r="AI150" s="36" t="str">
        <x:v>12, 13, 14, 15, 16, 31, 32, 33, 34, 33, 34</x:v>
      </x:c>
      <x:c r="AJ150" s="36" t="str">
        <x:v>Baselines v0.3–v0.6, README, manifests, checksums, ADR y handoffs</x:v>
      </x:c>
      <x:c r="AK150" s="27" t="str">
        <x:v>OPEN</x:v>
      </x:c>
      <x:c r="AL150" s="27" t="str">
        <x:v>WEEKLY</x:v>
      </x:c>
      <x:c r="AM150" s="40" t="str">
        <x:v>2026-07-01</x:v>
      </x:c>
      <x:c r="AN150" s="40" t="str">
        <x:v>2026-07-08</x:v>
      </x:c>
      <x:c r="AO150" s="27" t="str">
        <x:v>UNVERIFIED</x:v>
      </x:c>
      <x:c r="AP150" s="36" t="str">
        <x:v>Registro inicial consolidado; validar owner, controles y residual.</x:v>
      </x:c>
      <x:c r="AQ150" s="27" t="n">
        <x:f>IF(OR(M150="CRITICAL",W150="CRITICAL",Y150="OUTSIDE TOLERANCE",AK150="ESCALATED",AK150="ACCEPTANCE REQUESTED"),1,0)</x:f>
        <x:v>1</x:v>
      </x:c>
    </x:row>
    <x:row r="151">
      <x:c r="A151" s="27" t="str">
        <x:v>R-DOC-005</x:v>
      </x:c>
      <x:c r="B151" s="36" t="str">
        <x:v>Documentation &amp; Knowledge</x:v>
      </x:c>
      <x:c r="C151" s="36" t="str">
        <x:v>Stale guidance</x:v>
      </x:c>
      <x:c r="D151" s="36" t="str">
        <x:v>Existe el riesgo de que ocurra lo siguiente: Guía/Binder describe estado anterior.</x:v>
      </x:c>
      <x:c r="E151" s="36" t="str">
        <x:v>Operational knowledge</x:v>
      </x:c>
      <x:c r="F151" s="36" t="str">
        <x:v>All</x:v>
      </x:c>
      <x:c r="G151" s="36" t="str">
        <x:v>Ausencia, degradación o incumplimiento de los controles definidos para stale guidance.</x:v>
      </x:c>
      <x:c r="H151" s="36" t="str">
        <x:v>Guía/Binder describe estado anterior</x:v>
      </x:c>
      <x:c r="I151" s="36" t="str">
        <x:v>Puede afectar a Operational knowledge, bloquear un gate, causar retrabajo, pérdida de datos/confianza o interrupción operativa.</x:v>
      </x:c>
      <x:c r="J151" s="38" t="n">
        <x:v>5</x:v>
      </x:c>
      <x:c r="K151" s="38" t="n">
        <x:v>4</x:v>
      </x:c>
      <x:c r="L151" s="38" t="n">
        <x:f>J151*K151</x:f>
        <x:v>20</x:v>
      </x:c>
      <x:c r="M151" s="27" t="str">
        <x:f>IF(L151&gt;=20,"CRITICAL",IF(L151&gt;=12,"HIGH",IF(L151&gt;=6,"MEDIUM","LOW")))</x:f>
        <x:v>CRITICAL</x:v>
      </x:c>
      <x:c r="N151" s="27" t="str">
        <x:v>MEDIUM</x:v>
      </x:c>
      <x:c r="O151" s="27" t="str">
        <x:v>MODERATE</x:v>
      </x:c>
      <x:c r="P151" s="36" t="str">
        <x:v>Baseline numerada, hashes, trazabilidad, Binder, Guía y auditoría.</x:v>
      </x:c>
      <x:c r="Q151" s="27" t="str">
        <x:v>DEFINED</x:v>
      </x:c>
      <x:c r="R151" s="27" t="str">
        <x:v>MITIGATE</x:v>
      </x:c>
      <x:c r="S151" s="36" t="str">
        <x:v>Regenerar documentos afectados, preservar historia y cerrar referencias.</x:v>
      </x:c>
      <x:c r="T151" s="38" t="n">
        <x:v>5</x:v>
      </x:c>
      <x:c r="U151" s="38" t="n">
        <x:v>4</x:v>
      </x:c>
      <x:c r="V151" s="38" t="n">
        <x:f>T151*U151</x:f>
        <x:v>20</x:v>
      </x:c>
      <x:c r="W151" s="27" t="str">
        <x:f>IF(V151&gt;=20,"CRITICAL",IF(V151&gt;=12,"HIGH",IF(V151&gt;=6,"MEDIUM","LOW")))</x:f>
        <x:v>CRITICAL</x:v>
      </x:c>
      <x:c r="X151" s="27" t="str">
        <x:v>LOW</x:v>
      </x:c>
      <x:c r="Y151" s="27" t="str">
        <x:f>IF(X151="ZERO",IF(V151=0,"WITHIN TOLERANCE","OUTSIDE TOLERANCE"),IF(X151="LOW",IF(V151&lt;=4,"WITHIN TOLERANCE","OUTSIDE TOLERANCE"),IF(X151="MODERATE",IF(V151&lt;=9,"WITHIN TOLERANCE","OUTSIDE TOLERANCE"),IF(X151="HIGH",IF(V151&lt;=16,"WITHIN TOLERANCE","OUTSIDE TOLERANCE"),"REVIEW"))))</x:f>
        <x:v>OUTSIDE TOLERANCE</x:v>
      </x:c>
      <x:c r="Z151" s="36" t="str">
        <x:v>Documentation / Production</x:v>
      </x:c>
      <x:c r="AA151" s="36" t="str">
        <x:v>Project Owner</x:v>
      </x:c>
      <x:c r="AB151" s="36" t="str">
        <x:v>Documento no incluye 17–34</x:v>
      </x:c>
      <x:c r="AC151" s="36" t="str">
        <x:v>Umbral: evidencia positiva, tendencia adversa o gate bloqueado.</x:v>
      </x:c>
      <x:c r="AD151" s="36" t="str">
        <x:v>Congelar edición y determinar última autoridad verificable.</x:v>
      </x:c>
      <x:c r="AE151" s="36" t="str">
        <x:v>Restaurar baseline/hashes, aplicar cambios trazables y reauditar.</x:v>
      </x:c>
      <x:c r="AF151" s="27" t="str">
        <x:v>BIA-17</x:v>
      </x:c>
      <x:c r="AG151" s="27" t="str">
        <x:v>PB-17</x:v>
      </x:c>
      <x:c r="AH151" s="27" t="str">
        <x:v>TA-DOC-005</x:v>
      </x:c>
      <x:c r="AI151" s="36" t="str">
        <x:v>12, 13, 14, 15, 16, 31, 32, 33, 34, 33, 34</x:v>
      </x:c>
      <x:c r="AJ151" s="36" t="str">
        <x:v>Baselines v0.3–v0.6, README, manifests, checksums, ADR y handoffs</x:v>
      </x:c>
      <x:c r="AK151" s="27" t="str">
        <x:v>OPEN</x:v>
      </x:c>
      <x:c r="AL151" s="27" t="str">
        <x:v>WEEKLY</x:v>
      </x:c>
      <x:c r="AM151" s="40" t="str">
        <x:v>2026-07-01</x:v>
      </x:c>
      <x:c r="AN151" s="40" t="str">
        <x:v>2026-07-08</x:v>
      </x:c>
      <x:c r="AO151" s="27" t="str">
        <x:v>UNVERIFIED</x:v>
      </x:c>
      <x:c r="AP151" s="36" t="str">
        <x:v>Registro inicial consolidado; validar owner, controles y residual.</x:v>
      </x:c>
      <x:c r="AQ151" s="27" t="n">
        <x:f>IF(OR(M151="CRITICAL",W151="CRITICAL",Y151="OUTSIDE TOLERANCE",AK151="ESCALATED",AK151="ACCEPTANCE REQUESTED"),1,0)</x:f>
        <x:v>1</x:v>
      </x:c>
    </x:row>
    <x:row r="152">
      <x:c r="A152" s="27" t="str">
        <x:v>R-DOC-006</x:v>
      </x:c>
      <x:c r="B152" s="36" t="str">
        <x:v>Documentation &amp; Knowledge</x:v>
      </x:c>
      <x:c r="C152" s="36" t="str">
        <x:v>Chat dependency</x:v>
      </x:c>
      <x:c r="D152" s="36" t="str">
        <x:v>Existe el riesgo de que ocurra lo siguiente: Decisión esencial solo existe en conversación.</x:v>
      </x:c>
      <x:c r="E152" s="36" t="str">
        <x:v>Continuity</x:v>
      </x:c>
      <x:c r="F152" s="36" t="str">
        <x:v>All</x:v>
      </x:c>
      <x:c r="G152" s="36" t="str">
        <x:v>Ausencia, degradación o incumplimiento de los controles definidos para chat dependency.</x:v>
      </x:c>
      <x:c r="H152" s="36" t="str">
        <x:v>Decisión esencial solo existe en conversación</x:v>
      </x:c>
      <x:c r="I152" s="36" t="str">
        <x:v>Puede afectar a Continuity, bloquear un gate, causar retrabajo, pérdida de datos/confianza o interrupción operativa.</x:v>
      </x:c>
      <x:c r="J152" s="38" t="n">
        <x:v>4</x:v>
      </x:c>
      <x:c r="K152" s="38" t="n">
        <x:v>5</x:v>
      </x:c>
      <x:c r="L152" s="38" t="n">
        <x:f>J152*K152</x:f>
        <x:v>20</x:v>
      </x:c>
      <x:c r="M152" s="27" t="str">
        <x:f>IF(L152&gt;=20,"CRITICAL",IF(L152&gt;=12,"HIGH",IF(L152&gt;=6,"MEDIUM","LOW")))</x:f>
        <x:v>CRITICAL</x:v>
      </x:c>
      <x:c r="N152" s="27" t="str">
        <x:v>MEDIUM</x:v>
      </x:c>
      <x:c r="O152" s="27" t="str">
        <x:v>MODERATE</x:v>
      </x:c>
      <x:c r="P152" s="36" t="str">
        <x:v>Baseline numerada, hashes, trazabilidad, Binder, Guía y auditoría.</x:v>
      </x:c>
      <x:c r="Q152" s="27" t="str">
        <x:v>DEFINED</x:v>
      </x:c>
      <x:c r="R152" s="27" t="str">
        <x:v>MITIGATE</x:v>
      </x:c>
      <x:c r="S152" s="36" t="str">
        <x:v>Regenerar documentos afectados, preservar historia y cerrar referencias.</x:v>
      </x:c>
      <x:c r="T152" s="38" t="n">
        <x:v>4</x:v>
      </x:c>
      <x:c r="U152" s="38" t="n">
        <x:v>5</x:v>
      </x:c>
      <x:c r="V152" s="38" t="n">
        <x:f>T152*U152</x:f>
        <x:v>20</x:v>
      </x:c>
      <x:c r="W152" s="27" t="str">
        <x:f>IF(V152&gt;=20,"CRITICAL",IF(V152&gt;=12,"HIGH",IF(V152&gt;=6,"MEDIUM","LOW")))</x:f>
        <x:v>CRITICAL</x:v>
      </x:c>
      <x:c r="X152" s="27" t="str">
        <x:v>LOW</x:v>
      </x:c>
      <x:c r="Y152" s="27" t="str">
        <x:f>IF(X152="ZERO",IF(V152=0,"WITHIN TOLERANCE","OUTSIDE TOLERANCE"),IF(X152="LOW",IF(V152&lt;=4,"WITHIN TOLERANCE","OUTSIDE TOLERANCE"),IF(X152="MODERATE",IF(V152&lt;=9,"WITHIN TOLERANCE","OUTSIDE TOLERANCE"),IF(X152="HIGH",IF(V152&lt;=16,"WITHIN TOLERANCE","OUTSIDE TOLERANCE"),"REVIEW"))))</x:f>
        <x:v>OUTSIDE TOLERANCE</x:v>
      </x:c>
      <x:c r="Z152" s="36" t="str">
        <x:v>Documentation / Production</x:v>
      </x:c>
      <x:c r="AA152" s="36" t="str">
        <x:v>Project Owner</x:v>
      </x:c>
      <x:c r="AB152" s="36" t="str">
        <x:v>No hay artefacto estable</x:v>
      </x:c>
      <x:c r="AC152" s="36" t="str">
        <x:v>Umbral: evidencia positiva, tendencia adversa o gate bloqueado.</x:v>
      </x:c>
      <x:c r="AD152" s="36" t="str">
        <x:v>Congelar edición y determinar última autoridad verificable.</x:v>
      </x:c>
      <x:c r="AE152" s="36" t="str">
        <x:v>Restaurar baseline/hashes, aplicar cambios trazables y reauditar.</x:v>
      </x:c>
      <x:c r="AF152" s="27" t="str">
        <x:v>BIA-17</x:v>
      </x:c>
      <x:c r="AG152" s="27" t="str">
        <x:v>PB-17</x:v>
      </x:c>
      <x:c r="AH152" s="27" t="str">
        <x:v>TA-DOC-006</x:v>
      </x:c>
      <x:c r="AI152" s="36" t="str">
        <x:v>12, 13, 14, 15, 16, 31, 32, 33, 34, 33, 34</x:v>
      </x:c>
      <x:c r="AJ152" s="36" t="str">
        <x:v>Baselines v0.3–v0.6, README, manifests, checksums, ADR y handoffs</x:v>
      </x:c>
      <x:c r="AK152" s="27" t="str">
        <x:v>OPEN</x:v>
      </x:c>
      <x:c r="AL152" s="27" t="str">
        <x:v>WEEKLY</x:v>
      </x:c>
      <x:c r="AM152" s="40" t="str">
        <x:v>2026-07-01</x:v>
      </x:c>
      <x:c r="AN152" s="40" t="str">
        <x:v>2026-07-08</x:v>
      </x:c>
      <x:c r="AO152" s="27" t="str">
        <x:v>UNVERIFIED</x:v>
      </x:c>
      <x:c r="AP152" s="36" t="str">
        <x:v>Registro inicial consolidado; validar owner, controles y residual.</x:v>
      </x:c>
      <x:c r="AQ152" s="27" t="n">
        <x:f>IF(OR(M152="CRITICAL",W152="CRITICAL",Y152="OUTSIDE TOLERANCE",AK152="ESCALATED",AK152="ACCEPTANCE REQUESTED"),1,0)</x:f>
        <x:v>1</x:v>
      </x:c>
    </x:row>
    <x:row r="153">
      <x:c r="A153" s="27" t="str">
        <x:v>R-DOC-007</x:v>
      </x:c>
      <x:c r="B153" s="36" t="str">
        <x:v>Documentation &amp; Knowledge</x:v>
      </x:c>
      <x:c r="C153" s="36" t="str">
        <x:v>Naming drift</x:v>
      </x:c>
      <x:c r="D153" s="36" t="str">
        <x:v>Existe el riesgo de que ocurra lo siguiente: Nombres/rutas/versiones divergen entre documentos.</x:v>
      </x:c>
      <x:c r="E153" s="36" t="str">
        <x:v>Traceability</x:v>
      </x:c>
      <x:c r="F153" s="36" t="str">
        <x:v>All</x:v>
      </x:c>
      <x:c r="G153" s="36" t="str">
        <x:v>Ausencia, degradación o incumplimiento de los controles definidos para naming drift.</x:v>
      </x:c>
      <x:c r="H153" s="36" t="str">
        <x:v>Nombres/rutas/versiones divergen entre documentos</x:v>
      </x:c>
      <x:c r="I153" s="36" t="str">
        <x:v>Puede afectar a Traceability, bloquear un gate, causar retrabajo, pérdida de datos/confianza o interrupción operativa.</x:v>
      </x:c>
      <x:c r="J153" s="38" t="n">
        <x:v>4</x:v>
      </x:c>
      <x:c r="K153" s="38" t="n">
        <x:v>3</x:v>
      </x:c>
      <x:c r="L153" s="38" t="n">
        <x:f>J153*K153</x:f>
        <x:v>12</x:v>
      </x:c>
      <x:c r="M153" s="27" t="str">
        <x:f>IF(L153&gt;=20,"CRITICAL",IF(L153&gt;=12,"HIGH",IF(L153&gt;=6,"MEDIUM","LOW")))</x:f>
        <x:v>HIGH</x:v>
      </x:c>
      <x:c r="N153" s="27" t="str">
        <x:v>SLOW</x:v>
      </x:c>
      <x:c r="O153" s="27" t="str">
        <x:v>MODERATE</x:v>
      </x:c>
      <x:c r="P153" s="36" t="str">
        <x:v>Baseline numerada, hashes, trazabilidad, Binder, Guía y auditoría.</x:v>
      </x:c>
      <x:c r="Q153" s="27" t="str">
        <x:v>DEFINED</x:v>
      </x:c>
      <x:c r="R153" s="27" t="str">
        <x:v>MITIGATE</x:v>
      </x:c>
      <x:c r="S153" s="36" t="str">
        <x:v>Regenerar documentos afectados, preservar historia y cerrar referencias.</x:v>
      </x:c>
      <x:c r="T153" s="38" t="n">
        <x:v>4</x:v>
      </x:c>
      <x:c r="U153" s="38" t="n">
        <x:v>3</x:v>
      </x:c>
      <x:c r="V153" s="38" t="n">
        <x:f>T153*U153</x:f>
        <x:v>12</x:v>
      </x:c>
      <x:c r="W153" s="27" t="str">
        <x:f>IF(V153&gt;=20,"CRITICAL",IF(V153&gt;=12,"HIGH",IF(V153&gt;=6,"MEDIUM","LOW")))</x:f>
        <x:v>HIGH</x:v>
      </x:c>
      <x:c r="X153" s="27" t="str">
        <x:v>LOW</x:v>
      </x:c>
      <x:c r="Y153" s="27" t="str">
        <x:f>IF(X153="ZERO",IF(V153=0,"WITHIN TOLERANCE","OUTSIDE TOLERANCE"),IF(X153="LOW",IF(V153&lt;=4,"WITHIN TOLERANCE","OUTSIDE TOLERANCE"),IF(X153="MODERATE",IF(V153&lt;=9,"WITHIN TOLERANCE","OUTSIDE TOLERANCE"),IF(X153="HIGH",IF(V153&lt;=16,"WITHIN TOLERANCE","OUTSIDE TOLERANCE"),"REVIEW"))))</x:f>
        <x:v>OUTSIDE TOLERANCE</x:v>
      </x:c>
      <x:c r="Z153" s="36" t="str">
        <x:v>Documentation / Production</x:v>
      </x:c>
      <x:c r="AA153" s="36" t="str">
        <x:v>Project Owner</x:v>
      </x:c>
      <x:c r="AB153" s="36" t="str">
        <x:v>Referencia no resuelve</x:v>
      </x:c>
      <x:c r="AC153" s="36" t="str">
        <x:v>Umbral: evidencia positiva, tendencia adversa o gate bloqueado.</x:v>
      </x:c>
      <x:c r="AD153" s="36" t="str">
        <x:v>Congelar edición y determinar última autoridad verificable.</x:v>
      </x:c>
      <x:c r="AE153" s="36" t="str">
        <x:v>Restaurar baseline/hashes, aplicar cambios trazables y reauditar.</x:v>
      </x:c>
      <x:c r="AF153" s="27" t="str">
        <x:v>BIA-17</x:v>
      </x:c>
      <x:c r="AG153" s="27" t="str">
        <x:v>PB-17</x:v>
      </x:c>
      <x:c r="AH153" s="27" t="str">
        <x:v>TA-DOC-007</x:v>
      </x:c>
      <x:c r="AI153" s="36" t="str">
        <x:v>12, 13, 14, 15, 16, 31, 32, 33, 34, 33, 34</x:v>
      </x:c>
      <x:c r="AJ153" s="36" t="str">
        <x:v>Baselines v0.3–v0.6, README, manifests, checksums, ADR y handoffs</x:v>
      </x:c>
      <x:c r="AK153" s="27" t="str">
        <x:v>OPEN</x:v>
      </x:c>
      <x:c r="AL153" s="27" t="str">
        <x:v>MONTHLY</x:v>
      </x:c>
      <x:c r="AM153" s="40" t="str">
        <x:v>2026-07-01</x:v>
      </x:c>
      <x:c r="AN153" s="40" t="str">
        <x:v>2026-07-31</x:v>
      </x:c>
      <x:c r="AO153" s="27" t="str">
        <x:v>UNVERIFIED</x:v>
      </x:c>
      <x:c r="AP153" s="36" t="str">
        <x:v>Registro inicial consolidado; validar owner, controles y residual.</x:v>
      </x:c>
      <x:c r="AQ153" s="27" t="n">
        <x:f>IF(OR(M153="CRITICAL",W153="CRITICAL",Y153="OUTSIDE TOLERANCE",AK153="ESCALATED",AK153="ACCEPTANCE REQUESTED"),1,0)</x:f>
        <x:v>1</x:v>
      </x:c>
    </x:row>
    <x:row r="154">
      <x:c r="A154" s="27" t="str">
        <x:v>R-DOC-008</x:v>
      </x:c>
      <x:c r="B154" s="36" t="str">
        <x:v>Documentation &amp; Knowledge</x:v>
      </x:c>
      <x:c r="C154" s="36" t="str">
        <x:v>No final package test</x:v>
      </x:c>
      <x:c r="D154" s="36" t="str">
        <x:v>Existe el riesgo de que ocurra lo siguiente: ZIP final no se restaura en entorno limpio.</x:v>
      </x:c>
      <x:c r="E154" s="36" t="str">
        <x:v>Handoff</x:v>
      </x:c>
      <x:c r="F154" s="36" t="str">
        <x:v>Closure</x:v>
      </x:c>
      <x:c r="G154" s="36" t="str">
        <x:v>Ausencia, degradación o incumplimiento de los controles definidos para no final package test.</x:v>
      </x:c>
      <x:c r="H154" s="36" t="str">
        <x:v>ZIP final no se restaura en entorno limpio</x:v>
      </x:c>
      <x:c r="I154" s="36" t="str">
        <x:v>Puede afectar a Handoff, bloquear un gate, causar retrabajo, pérdida de datos/confianza o interrupción operativa.</x:v>
      </x:c>
      <x:c r="J154" s="38" t="n">
        <x:v>4</x:v>
      </x:c>
      <x:c r="K154" s="38" t="n">
        <x:v>5</x:v>
      </x:c>
      <x:c r="L154" s="38" t="n">
        <x:f>J154*K154</x:f>
        <x:v>20</x:v>
      </x:c>
      <x:c r="M154" s="27" t="str">
        <x:f>IF(L154&gt;=20,"CRITICAL",IF(L154&gt;=12,"HIGH",IF(L154&gt;=6,"MEDIUM","LOW")))</x:f>
        <x:v>CRITICAL</x:v>
      </x:c>
      <x:c r="N154" s="27" t="str">
        <x:v>FAST</x:v>
      </x:c>
      <x:c r="O154" s="27" t="str">
        <x:v>HARD</x:v>
      </x:c>
      <x:c r="P154" s="36" t="str">
        <x:v>Baseline numerada, hashes, trazabilidad, Binder, Guía y auditoría.</x:v>
      </x:c>
      <x:c r="Q154" s="27" t="str">
        <x:v>DEFINED</x:v>
      </x:c>
      <x:c r="R154" s="27" t="str">
        <x:v>MITIGATE</x:v>
      </x:c>
      <x:c r="S154" s="36" t="str">
        <x:v>Regenerar documentos afectados, preservar historia y cerrar referencias.</x:v>
      </x:c>
      <x:c r="T154" s="38" t="n">
        <x:v>4</x:v>
      </x:c>
      <x:c r="U154" s="38" t="n">
        <x:v>5</x:v>
      </x:c>
      <x:c r="V154" s="38" t="n">
        <x:f>T154*U154</x:f>
        <x:v>20</x:v>
      </x:c>
      <x:c r="W154" s="27" t="str">
        <x:f>IF(V154&gt;=20,"CRITICAL",IF(V154&gt;=12,"HIGH",IF(V154&gt;=6,"MEDIUM","LOW")))</x:f>
        <x:v>CRITICAL</x:v>
      </x:c>
      <x:c r="X154" s="27" t="str">
        <x:v>LOW</x:v>
      </x:c>
      <x:c r="Y154" s="27" t="str">
        <x:f>IF(X154="ZERO",IF(V154=0,"WITHIN TOLERANCE","OUTSIDE TOLERANCE"),IF(X154="LOW",IF(V154&lt;=4,"WITHIN TOLERANCE","OUTSIDE TOLERANCE"),IF(X154="MODERATE",IF(V154&lt;=9,"WITHIN TOLERANCE","OUTSIDE TOLERANCE"),IF(X154="HIGH",IF(V154&lt;=16,"WITHIN TOLERANCE","OUTSIDE TOLERANCE"),"REVIEW"))))</x:f>
        <x:v>OUTSIDE TOLERANCE</x:v>
      </x:c>
      <x:c r="Z154" s="36" t="str">
        <x:v>Documentation / Production</x:v>
      </x:c>
      <x:c r="AA154" s="36" t="str">
        <x:v>Project Owner</x:v>
      </x:c>
      <x:c r="AB154" s="36" t="str">
        <x:v>Restore drill NOT TESTED</x:v>
      </x:c>
      <x:c r="AC154" s="36" t="str">
        <x:v>Umbral: evidencia positiva, tendencia adversa o gate bloqueado.</x:v>
      </x:c>
      <x:c r="AD154" s="36" t="str">
        <x:v>Congelar edición y determinar última autoridad verificable.</x:v>
      </x:c>
      <x:c r="AE154" s="36" t="str">
        <x:v>Restaurar baseline/hashes, aplicar cambios trazables y reauditar.</x:v>
      </x:c>
      <x:c r="AF154" s="27" t="str">
        <x:v>BIA-17</x:v>
      </x:c>
      <x:c r="AG154" s="27" t="str">
        <x:v>PB-17</x:v>
      </x:c>
      <x:c r="AH154" s="27" t="str">
        <x:v>TA-DOC-008</x:v>
      </x:c>
      <x:c r="AI154" s="36" t="str">
        <x:v>12, 13, 14, 15, 16, 31, 32, 33, 34, 33, 34</x:v>
      </x:c>
      <x:c r="AJ154" s="36" t="str">
        <x:v>Baselines v0.3–v0.6, README, manifests, checksums, ADR y handoffs</x:v>
      </x:c>
      <x:c r="AK154" s="27" t="str">
        <x:v>OPEN</x:v>
      </x:c>
      <x:c r="AL154" s="27" t="str">
        <x:v>WEEKLY</x:v>
      </x:c>
      <x:c r="AM154" s="40" t="str">
        <x:v>2026-07-01</x:v>
      </x:c>
      <x:c r="AN154" s="40" t="str">
        <x:v>2026-07-08</x:v>
      </x:c>
      <x:c r="AO154" s="27" t="str">
        <x:v>UNVERIFIED</x:v>
      </x:c>
      <x:c r="AP154" s="36" t="str">
        <x:v>Registro inicial consolidado; validar owner, controles y residual.</x:v>
      </x:c>
      <x:c r="AQ154" s="27" t="n">
        <x:f>IF(OR(M154="CRITICAL",W154="CRITICAL",Y154="OUTSIDE TOLERANCE",AK154="ESCALATED",AK154="ACCEPTANCE REQUESTED"),1,0)</x:f>
        <x:v>1</x:v>
      </x:c>
    </x:row>
    <x:row r="155">
      <x:c r="A155" s="27" t="str">
        <x:v>R-BCP-001</x:v>
      </x:c>
      <x:c r="B155" s="36" t="str">
        <x:v>Business Continuity</x:v>
      </x:c>
      <x:c r="C155" s="36" t="str">
        <x:v>LOSS</x:v>
      </x:c>
      <x:c r="D155" s="36" t="str">
        <x:v>Existe el riesgo de que ocurra lo siguiente: Repository and Git history se pierde o queda corrupto.</x:v>
      </x:c>
      <x:c r="E155" s="36" t="str">
        <x:v>Source code, metadata and decision history</x:v>
      </x:c>
      <x:c r="F155" s="36" t="str">
        <x:v>All</x:v>
      </x:c>
      <x:c r="G155" s="36" t="str">
        <x:v>Fallo físico, humano, proveedor, credencial o proceso de copia.</x:v>
      </x:c>
      <x:c r="H155" s="36" t="str">
        <x:v>Repository and Git history se pierde o queda corrupto</x:v>
      </x:c>
      <x:c r="I155" s="36" t="str">
        <x:v>Interrupción de Source code, metadata and decision history; posible incumplimiento del objetivo RPO 4h / RTO 24h.</x:v>
      </x:c>
      <x:c r="J155" s="38" t="n">
        <x:v>3</x:v>
      </x:c>
      <x:c r="K155" s="38" t="n">
        <x:v>5</x:v>
      </x:c>
      <x:c r="L155" s="38" t="n">
        <x:f>J155*K155</x:f>
        <x:v>15</x:v>
      </x:c>
      <x:c r="M155" s="27" t="str">
        <x:f>IF(L155&gt;=20,"CRITICAL",IF(L155&gt;=12,"HIGH",IF(L155&gt;=6,"MEDIUM","LOW")))</x:f>
        <x:v>HIGH</x:v>
      </x:c>
      <x:c r="N155" s="27" t="str">
        <x:v>FAST</x:v>
      </x:c>
      <x:c r="O155" s="27" t="str">
        <x:v>HARD</x:v>
      </x:c>
      <x:c r="P155" s="36" t="str">
        <x:v>Commit/push cadence and verified clone</x:v>
      </x:c>
      <x:c r="Q155" s="27" t="str">
        <x:v>PLANNED</x:v>
      </x:c>
      <x:c r="R155" s="27" t="str">
        <x:v>MITIGATE</x:v>
      </x:c>
      <x:c r="S155" s="36" t="str">
        <x:v>Implementar copia redundante, prueba de restauración y propietario alternativo para Repository and Git history.</x:v>
      </x:c>
      <x:c r="T155" s="38" t="n">
        <x:v>3</x:v>
      </x:c>
      <x:c r="U155" s="38" t="n">
        <x:v>5</x:v>
      </x:c>
      <x:c r="V155" s="38" t="n">
        <x:f>T155*U155</x:f>
        <x:v>15</x:v>
      </x:c>
      <x:c r="W155" s="27" t="str">
        <x:f>IF(V155&gt;=20,"CRITICAL",IF(V155&gt;=12,"HIGH",IF(V155&gt;=6,"MEDIUM","LOW")))</x:f>
        <x:v>HIGH</x:v>
      </x:c>
      <x:c r="X155" s="27" t="str">
        <x:v>LOW</x:v>
      </x:c>
      <x:c r="Y155" s="27" t="str">
        <x:f>IF(X155="ZERO",IF(V155=0,"WITHIN TOLERANCE","OUTSIDE TOLERANCE"),IF(X155="LOW",IF(V155&lt;=4,"WITHIN TOLERANCE","OUTSIDE TOLERANCE"),IF(X155="MODERATE",IF(V155&lt;=9,"WITHIN TOLERANCE","OUTSIDE TOLERANCE"),IF(X155="HIGH",IF(V155&lt;=16,"WITHIN TOLERANCE","OUTSIDE TOLERANCE"),"REVIEW"))))</x:f>
        <x:v>OUTSIDE TOLERANCE</x:v>
      </x:c>
      <x:c r="Z155" s="36" t="str">
        <x:v>Engineering</x:v>
      </x:c>
      <x:c r="AA155" s="36" t="str">
        <x:v>Project Owner</x:v>
      </x:c>
      <x:c r="AB155" s="36" t="str">
        <x:v>Activo no disponible, checksum inválido o prueba de restore vencida.</x:v>
      </x:c>
      <x:c r="AC155" s="36" t="str">
        <x:v>RPO 4h / RTO 24h</x:v>
      </x:c>
      <x:c r="AD155" s="36" t="str">
        <x:v>Proteger evidencia/datos y pasar a hardware alternativo.</x:v>
      </x:c>
      <x:c r="AE155" s="36" t="str">
        <x:v>Restaurar Repository and Git history desde la copia verificada más reciente; validar integridad y registrar pérdida de datos.</x:v>
      </x:c>
      <x:c r="AF155" s="27" t="str">
        <x:v>BIA-18</x:v>
      </x:c>
      <x:c r="AG155" s="27" t="str">
        <x:v>PB-18</x:v>
      </x:c>
      <x:c r="AH155" s="27" t="str">
        <x:v>TA-BCP-001</x:v>
      </x:c>
      <x:c r="AI155" s="36" t="str">
        <x:v>11, 13, 25, 27, 31, 32, 33, 34, 33</x:v>
      </x:c>
      <x:c r="AJ155" s="36" t="str">
        <x:v>Package manifests, checksums, build records, handoffs y archivos históricos</x:v>
      </x:c>
      <x:c r="AK155" s="27" t="str">
        <x:v>OPEN</x:v>
      </x:c>
      <x:c r="AL155" s="27" t="str">
        <x:v>MONTHLY</x:v>
      </x:c>
      <x:c r="AM155" s="40" t="str">
        <x:v>2026-07-01</x:v>
      </x:c>
      <x:c r="AN155" s="40" t="str">
        <x:v>2026-07-31</x:v>
      </x:c>
      <x:c r="AO155" s="27" t="str">
        <x:v>UNVERIFIED</x:v>
      </x:c>
      <x:c r="AP155" s="36" t="str">
        <x:v>Riesgo de continuidad específico del activo. Objetivo RPO 4h / RTO 24h.</x:v>
      </x:c>
      <x:c r="AQ155" s="27" t="n">
        <x:f>IF(OR(M155="CRITICAL",W155="CRITICAL",Y155="OUTSIDE TOLERANCE",AK155="ESCALATED",AK155="ACCEPTANCE REQUESTED"),1,0)</x:f>
        <x:v>1</x:v>
      </x:c>
    </x:row>
    <x:row r="156">
      <x:c r="A156" s="27" t="str">
        <x:v>R-BCP-002</x:v>
      </x:c>
      <x:c r="B156" s="36" t="str">
        <x:v>Business Continuity</x:v>
      </x:c>
      <x:c r="C156" s="36" t="str">
        <x:v>ACCESS</x:v>
      </x:c>
      <x:c r="D156" s="36" t="str">
        <x:v>Existe el riesgo de que ocurra lo siguiente: Repository and Git history queda inaccesible durante más que RPO 4h / RTO 24h.</x:v>
      </x:c>
      <x:c r="E156" s="36" t="str">
        <x:v>Source code, metadata and decision history</x:v>
      </x:c>
      <x:c r="F156" s="36" t="str">
        <x:v>All</x:v>
      </x:c>
      <x:c r="G156" s="36" t="str">
        <x:v>Fallo físico, humano, proveedor, credencial o proceso de copia.</x:v>
      </x:c>
      <x:c r="H156" s="36" t="str">
        <x:v>Repository and Git history queda inaccesible durante más que RPO 4h / RTO 24h</x:v>
      </x:c>
      <x:c r="I156" s="36" t="str">
        <x:v>Interrupción de Source code, metadata and decision history; posible incumplimiento del objetivo RPO 4h / RTO 24h.</x:v>
      </x:c>
      <x:c r="J156" s="38" t="n">
        <x:v>3</x:v>
      </x:c>
      <x:c r="K156" s="38" t="n">
        <x:v>4</x:v>
      </x:c>
      <x:c r="L156" s="38" t="n">
        <x:f>J156*K156</x:f>
        <x:v>12</x:v>
      </x:c>
      <x:c r="M156" s="27" t="str">
        <x:f>IF(L156&gt;=20,"CRITICAL",IF(L156&gt;=12,"HIGH",IF(L156&gt;=6,"MEDIUM","LOW")))</x:f>
        <x:v>HIGH</x:v>
      </x:c>
      <x:c r="N156" s="27" t="str">
        <x:v>FAST</x:v>
      </x:c>
      <x:c r="O156" s="27" t="str">
        <x:v>HARD</x:v>
      </x:c>
      <x:c r="P156" s="36" t="str">
        <x:v>Commit/push cadence and verified clone</x:v>
      </x:c>
      <x:c r="Q156" s="27" t="str">
        <x:v>PLANNED</x:v>
      </x:c>
      <x:c r="R156" s="27" t="str">
        <x:v>MITIGATE</x:v>
      </x:c>
      <x:c r="S156" s="36" t="str">
        <x:v>Implementar copia redundante, prueba de restauración y propietario alternativo para Repository and Git history.</x:v>
      </x:c>
      <x:c r="T156" s="38" t="n">
        <x:v>3</x:v>
      </x:c>
      <x:c r="U156" s="38" t="n">
        <x:v>4</x:v>
      </x:c>
      <x:c r="V156" s="38" t="n">
        <x:f>T156*U156</x:f>
        <x:v>12</x:v>
      </x:c>
      <x:c r="W156" s="27" t="str">
        <x:f>IF(V156&gt;=20,"CRITICAL",IF(V156&gt;=12,"HIGH",IF(V156&gt;=6,"MEDIUM","LOW")))</x:f>
        <x:v>HIGH</x:v>
      </x:c>
      <x:c r="X156" s="27" t="str">
        <x:v>LOW</x:v>
      </x:c>
      <x:c r="Y156" s="27" t="str">
        <x:f>IF(X156="ZERO",IF(V156=0,"WITHIN TOLERANCE","OUTSIDE TOLERANCE"),IF(X156="LOW",IF(V156&lt;=4,"WITHIN TOLERANCE","OUTSIDE TOLERANCE"),IF(X156="MODERATE",IF(V156&lt;=9,"WITHIN TOLERANCE","OUTSIDE TOLERANCE"),IF(X156="HIGH",IF(V156&lt;=16,"WITHIN TOLERANCE","OUTSIDE TOLERANCE"),"REVIEW"))))</x:f>
        <x:v>OUTSIDE TOLERANCE</x:v>
      </x:c>
      <x:c r="Z156" s="36" t="str">
        <x:v>Engineering</x:v>
      </x:c>
      <x:c r="AA156" s="36" t="str">
        <x:v>Project Owner</x:v>
      </x:c>
      <x:c r="AB156" s="36" t="str">
        <x:v>Activo no disponible, checksum inválido o prueba de restore vencida.</x:v>
      </x:c>
      <x:c r="AC156" s="36" t="str">
        <x:v>RPO 4h / RTO 24h</x:v>
      </x:c>
      <x:c r="AD156" s="36" t="str">
        <x:v>Proteger evidencia/datos y pasar a hardware alternativo.</x:v>
      </x:c>
      <x:c r="AE156" s="36" t="str">
        <x:v>Restaurar Repository and Git history desde la copia verificada más reciente; validar integridad y registrar pérdida de datos.</x:v>
      </x:c>
      <x:c r="AF156" s="27" t="str">
        <x:v>BIA-18</x:v>
      </x:c>
      <x:c r="AG156" s="27" t="str">
        <x:v>PB-18</x:v>
      </x:c>
      <x:c r="AH156" s="27" t="str">
        <x:v>TA-BCP-002</x:v>
      </x:c>
      <x:c r="AI156" s="36" t="str">
        <x:v>11, 13, 25, 27, 31, 32, 33, 34, 33</x:v>
      </x:c>
      <x:c r="AJ156" s="36" t="str">
        <x:v>Package manifests, checksums, build records, handoffs y archivos históricos</x:v>
      </x:c>
      <x:c r="AK156" s="27" t="str">
        <x:v>OPEN</x:v>
      </x:c>
      <x:c r="AL156" s="27" t="str">
        <x:v>MONTHLY</x:v>
      </x:c>
      <x:c r="AM156" s="40" t="str">
        <x:v>2026-07-01</x:v>
      </x:c>
      <x:c r="AN156" s="40" t="str">
        <x:v>2026-07-31</x:v>
      </x:c>
      <x:c r="AO156" s="27" t="str">
        <x:v>UNVERIFIED</x:v>
      </x:c>
      <x:c r="AP156" s="36" t="str">
        <x:v>Riesgo de continuidad específico del activo. Objetivo RPO 4h / RTO 24h.</x:v>
      </x:c>
      <x:c r="AQ156" s="27" t="n">
        <x:f>IF(OR(M156="CRITICAL",W156="CRITICAL",Y156="OUTSIDE TOLERANCE",AK156="ESCALATED",AK156="ACCEPTANCE REQUESTED"),1,0)</x:f>
        <x:v>1</x:v>
      </x:c>
    </x:row>
    <x:row r="157">
      <x:c r="A157" s="27" t="str">
        <x:v>R-BCP-003</x:v>
      </x:c>
      <x:c r="B157" s="36" t="str">
        <x:v>Business Continuity</x:v>
      </x:c>
      <x:c r="C157" s="36" t="str">
        <x:v>LOSS</x:v>
      </x:c>
      <x:c r="D157" s="36" t="str">
        <x:v>Existe el riesgo de que ocurra lo siguiente: Unity project and ProjectSettings se pierde o queda corrupto.</x:v>
      </x:c>
      <x:c r="E157" s="36" t="str">
        <x:v>Reproducible game project</x:v>
      </x:c>
      <x:c r="F157" s="36" t="str">
        <x:v>All</x:v>
      </x:c>
      <x:c r="G157" s="36" t="str">
        <x:v>Fallo físico, humano, proveedor, credencial o proceso de copia.</x:v>
      </x:c>
      <x:c r="H157" s="36" t="str">
        <x:v>Unity project and ProjectSettings se pierde o queda corrupto</x:v>
      </x:c>
      <x:c r="I157" s="36" t="str">
        <x:v>Interrupción de Reproducible game project; posible incumplimiento del objetivo RPO 4h / RTO 24h.</x:v>
      </x:c>
      <x:c r="J157" s="38" t="n">
        <x:v>3</x:v>
      </x:c>
      <x:c r="K157" s="38" t="n">
        <x:v>5</x:v>
      </x:c>
      <x:c r="L157" s="38" t="n">
        <x:f>J157*K157</x:f>
        <x:v>15</x:v>
      </x:c>
      <x:c r="M157" s="27" t="str">
        <x:f>IF(L157&gt;=20,"CRITICAL",IF(L157&gt;=12,"HIGH",IF(L157&gt;=6,"MEDIUM","LOW")))</x:f>
        <x:v>HIGH</x:v>
      </x:c>
      <x:c r="N157" s="27" t="str">
        <x:v>FAST</x:v>
      </x:c>
      <x:c r="O157" s="27" t="str">
        <x:v>HARD</x:v>
      </x:c>
      <x:c r="P157" s="36" t="str">
        <x:v>Versioned files plus clean rebuild</x:v>
      </x:c>
      <x:c r="Q157" s="27" t="str">
        <x:v>PLANNED</x:v>
      </x:c>
      <x:c r="R157" s="27" t="str">
        <x:v>MITIGATE</x:v>
      </x:c>
      <x:c r="S157" s="36" t="str">
        <x:v>Implementar copia redundante, prueba de restauración y propietario alternativo para Unity project and ProjectSettings.</x:v>
      </x:c>
      <x:c r="T157" s="38" t="n">
        <x:v>3</x:v>
      </x:c>
      <x:c r="U157" s="38" t="n">
        <x:v>5</x:v>
      </x:c>
      <x:c r="V157" s="38" t="n">
        <x:f>T157*U157</x:f>
        <x:v>15</x:v>
      </x:c>
      <x:c r="W157" s="27" t="str">
        <x:f>IF(V157&gt;=20,"CRITICAL",IF(V157&gt;=12,"HIGH",IF(V157&gt;=6,"MEDIUM","LOW")))</x:f>
        <x:v>HIGH</x:v>
      </x:c>
      <x:c r="X157" s="27" t="str">
        <x:v>LOW</x:v>
      </x:c>
      <x:c r="Y157" s="27" t="str">
        <x:f>IF(X157="ZERO",IF(V157=0,"WITHIN TOLERANCE","OUTSIDE TOLERANCE"),IF(X157="LOW",IF(V157&lt;=4,"WITHIN TOLERANCE","OUTSIDE TOLERANCE"),IF(X157="MODERATE",IF(V157&lt;=9,"WITHIN TOLERANCE","OUTSIDE TOLERANCE"),IF(X157="HIGH",IF(V157&lt;=16,"WITHIN TOLERANCE","OUTSIDE TOLERANCE"),"REVIEW"))))</x:f>
        <x:v>OUTSIDE TOLERANCE</x:v>
      </x:c>
      <x:c r="Z157" s="36" t="str">
        <x:v>Engineering</x:v>
      </x:c>
      <x:c r="AA157" s="36" t="str">
        <x:v>Project Owner</x:v>
      </x:c>
      <x:c r="AB157" s="36" t="str">
        <x:v>Activo no disponible, checksum inválido o prueba de restore vencida.</x:v>
      </x:c>
      <x:c r="AC157" s="36" t="str">
        <x:v>RPO 4h / RTO 24h</x:v>
      </x:c>
      <x:c r="AD157" s="36" t="str">
        <x:v>Proteger evidencia/datos y pasar a hardware alternativo.</x:v>
      </x:c>
      <x:c r="AE157" s="36" t="str">
        <x:v>Restaurar Unity project and ProjectSettings desde la copia verificada más reciente; validar integridad y registrar pérdida de datos.</x:v>
      </x:c>
      <x:c r="AF157" s="27" t="str">
        <x:v>BIA-18</x:v>
      </x:c>
      <x:c r="AG157" s="27" t="str">
        <x:v>PB-18</x:v>
      </x:c>
      <x:c r="AH157" s="27" t="str">
        <x:v>TA-BCP-003</x:v>
      </x:c>
      <x:c r="AI157" s="36" t="str">
        <x:v>11, 13, 25, 27, 31, 32, 33, 34, 33</x:v>
      </x:c>
      <x:c r="AJ157" s="36" t="str">
        <x:v>Package manifests, checksums, build records, handoffs y archivos históricos</x:v>
      </x:c>
      <x:c r="AK157" s="27" t="str">
        <x:v>OPEN</x:v>
      </x:c>
      <x:c r="AL157" s="27" t="str">
        <x:v>MONTHLY</x:v>
      </x:c>
      <x:c r="AM157" s="40" t="str">
        <x:v>2026-07-01</x:v>
      </x:c>
      <x:c r="AN157" s="40" t="str">
        <x:v>2026-07-31</x:v>
      </x:c>
      <x:c r="AO157" s="27" t="str">
        <x:v>UNVERIFIED</x:v>
      </x:c>
      <x:c r="AP157" s="36" t="str">
        <x:v>Riesgo de continuidad específico del activo. Objetivo RPO 4h / RTO 24h.</x:v>
      </x:c>
      <x:c r="AQ157" s="27" t="n">
        <x:f>IF(OR(M157="CRITICAL",W157="CRITICAL",Y157="OUTSIDE TOLERANCE",AK157="ESCALATED",AK157="ACCEPTANCE REQUESTED"),1,0)</x:f>
        <x:v>1</x:v>
      </x:c>
    </x:row>
    <x:row r="158">
      <x:c r="A158" s="27" t="str">
        <x:v>R-BCP-004</x:v>
      </x:c>
      <x:c r="B158" s="36" t="str">
        <x:v>Business Continuity</x:v>
      </x:c>
      <x:c r="C158" s="36" t="str">
        <x:v>ACCESS</x:v>
      </x:c>
      <x:c r="D158" s="36" t="str">
        <x:v>Existe el riesgo de que ocurra lo siguiente: Unity project and ProjectSettings queda inaccesible durante más que RPO 4h / RTO 24h.</x:v>
      </x:c>
      <x:c r="E158" s="36" t="str">
        <x:v>Reproducible game project</x:v>
      </x:c>
      <x:c r="F158" s="36" t="str">
        <x:v>All</x:v>
      </x:c>
      <x:c r="G158" s="36" t="str">
        <x:v>Fallo físico, humano, proveedor, credencial o proceso de copia.</x:v>
      </x:c>
      <x:c r="H158" s="36" t="str">
        <x:v>Unity project and ProjectSettings queda inaccesible durante más que RPO 4h / RTO 24h</x:v>
      </x:c>
      <x:c r="I158" s="36" t="str">
        <x:v>Interrupción de Reproducible game project; posible incumplimiento del objetivo RPO 4h / RTO 24h.</x:v>
      </x:c>
      <x:c r="J158" s="38" t="n">
        <x:v>3</x:v>
      </x:c>
      <x:c r="K158" s="38" t="n">
        <x:v>4</x:v>
      </x:c>
      <x:c r="L158" s="38" t="n">
        <x:f>J158*K158</x:f>
        <x:v>12</x:v>
      </x:c>
      <x:c r="M158" s="27" t="str">
        <x:f>IF(L158&gt;=20,"CRITICAL",IF(L158&gt;=12,"HIGH",IF(L158&gt;=6,"MEDIUM","LOW")))</x:f>
        <x:v>HIGH</x:v>
      </x:c>
      <x:c r="N158" s="27" t="str">
        <x:v>FAST</x:v>
      </x:c>
      <x:c r="O158" s="27" t="str">
        <x:v>HARD</x:v>
      </x:c>
      <x:c r="P158" s="36" t="str">
        <x:v>Versioned files plus clean rebuild</x:v>
      </x:c>
      <x:c r="Q158" s="27" t="str">
        <x:v>PLANNED</x:v>
      </x:c>
      <x:c r="R158" s="27" t="str">
        <x:v>MITIGATE</x:v>
      </x:c>
      <x:c r="S158" s="36" t="str">
        <x:v>Implementar copia redundante, prueba de restauración y propietario alternativo para Unity project and ProjectSettings.</x:v>
      </x:c>
      <x:c r="T158" s="38" t="n">
        <x:v>3</x:v>
      </x:c>
      <x:c r="U158" s="38" t="n">
        <x:v>4</x:v>
      </x:c>
      <x:c r="V158" s="38" t="n">
        <x:f>T158*U158</x:f>
        <x:v>12</x:v>
      </x:c>
      <x:c r="W158" s="27" t="str">
        <x:f>IF(V158&gt;=20,"CRITICAL",IF(V158&gt;=12,"HIGH",IF(V158&gt;=6,"MEDIUM","LOW")))</x:f>
        <x:v>HIGH</x:v>
      </x:c>
      <x:c r="X158" s="27" t="str">
        <x:v>LOW</x:v>
      </x:c>
      <x:c r="Y158" s="27" t="str">
        <x:f>IF(X158="ZERO",IF(V158=0,"WITHIN TOLERANCE","OUTSIDE TOLERANCE"),IF(X158="LOW",IF(V158&lt;=4,"WITHIN TOLERANCE","OUTSIDE TOLERANCE"),IF(X158="MODERATE",IF(V158&lt;=9,"WITHIN TOLERANCE","OUTSIDE TOLERANCE"),IF(X158="HIGH",IF(V158&lt;=16,"WITHIN TOLERANCE","OUTSIDE TOLERANCE"),"REVIEW"))))</x:f>
        <x:v>OUTSIDE TOLERANCE</x:v>
      </x:c>
      <x:c r="Z158" s="36" t="str">
        <x:v>Engineering</x:v>
      </x:c>
      <x:c r="AA158" s="36" t="str">
        <x:v>Project Owner</x:v>
      </x:c>
      <x:c r="AB158" s="36" t="str">
        <x:v>Activo no disponible, checksum inválido o prueba de restore vencida.</x:v>
      </x:c>
      <x:c r="AC158" s="36" t="str">
        <x:v>RPO 4h / RTO 24h</x:v>
      </x:c>
      <x:c r="AD158" s="36" t="str">
        <x:v>Proteger evidencia/datos y pasar a hardware alternativo.</x:v>
      </x:c>
      <x:c r="AE158" s="36" t="str">
        <x:v>Restaurar Unity project and ProjectSettings desde la copia verificada más reciente; validar integridad y registrar pérdida de datos.</x:v>
      </x:c>
      <x:c r="AF158" s="27" t="str">
        <x:v>BIA-18</x:v>
      </x:c>
      <x:c r="AG158" s="27" t="str">
        <x:v>PB-18</x:v>
      </x:c>
      <x:c r="AH158" s="27" t="str">
        <x:v>TA-BCP-004</x:v>
      </x:c>
      <x:c r="AI158" s="36" t="str">
        <x:v>11, 13, 25, 27, 31, 32, 33, 34, 33</x:v>
      </x:c>
      <x:c r="AJ158" s="36" t="str">
        <x:v>Package manifests, checksums, build records, handoffs y archivos históricos</x:v>
      </x:c>
      <x:c r="AK158" s="27" t="str">
        <x:v>OPEN</x:v>
      </x:c>
      <x:c r="AL158" s="27" t="str">
        <x:v>MONTHLY</x:v>
      </x:c>
      <x:c r="AM158" s="40" t="str">
        <x:v>2026-07-01</x:v>
      </x:c>
      <x:c r="AN158" s="40" t="str">
        <x:v>2026-07-31</x:v>
      </x:c>
      <x:c r="AO158" s="27" t="str">
        <x:v>UNVERIFIED</x:v>
      </x:c>
      <x:c r="AP158" s="36" t="str">
        <x:v>Riesgo de continuidad específico del activo. Objetivo RPO 4h / RTO 24h.</x:v>
      </x:c>
      <x:c r="AQ158" s="27" t="n">
        <x:f>IF(OR(M158="CRITICAL",W158="CRITICAL",Y158="OUTSIDE TOLERANCE",AK158="ESCALATED",AK158="ACCEPTANCE REQUESTED"),1,0)</x:f>
        <x:v>1</x:v>
      </x:c>
    </x:row>
    <x:row r="159">
      <x:c r="A159" s="27" t="str">
        <x:v>R-BCP-005</x:v>
      </x:c>
      <x:c r="B159" s="36" t="str">
        <x:v>Business Continuity</x:v>
      </x:c>
      <x:c r="C159" s="36" t="str">
        <x:v>LOSS</x:v>
      </x:c>
      <x:c r="D159" s="36" t="str">
        <x:v>Existe el riesgo de que ocurra lo siguiente: Source art files se pierde o queda corrupto.</x:v>
      </x:c>
      <x:c r="E159" s="36" t="str">
        <x:v>Editable DCC sources</x:v>
      </x:c>
      <x:c r="F159" s="36" t="str">
        <x:v>All</x:v>
      </x:c>
      <x:c r="G159" s="36" t="str">
        <x:v>Fallo físico, humano, proveedor, credencial o proceso de copia.</x:v>
      </x:c>
      <x:c r="H159" s="36" t="str">
        <x:v>Source art files se pierde o queda corrupto</x:v>
      </x:c>
      <x:c r="I159" s="36" t="str">
        <x:v>Interrupción de Editable DCC sources; posible incumplimiento del objetivo RPO 24h / RTO 72h.</x:v>
      </x:c>
      <x:c r="J159" s="38" t="n">
        <x:v>3</x:v>
      </x:c>
      <x:c r="K159" s="38" t="n">
        <x:v>5</x:v>
      </x:c>
      <x:c r="L159" s="38" t="n">
        <x:f>J159*K159</x:f>
        <x:v>15</x:v>
      </x:c>
      <x:c r="M159" s="27" t="str">
        <x:f>IF(L159&gt;=20,"CRITICAL",IF(L159&gt;=12,"HIGH",IF(L159&gt;=6,"MEDIUM","LOW")))</x:f>
        <x:v>HIGH</x:v>
      </x:c>
      <x:c r="N159" s="27" t="str">
        <x:v>FAST</x:v>
      </x:c>
      <x:c r="O159" s="27" t="str">
        <x:v>HARD</x:v>
      </x:c>
      <x:c r="P159" s="36" t="str">
        <x:v>3-2-1 copy and source inventory</x:v>
      </x:c>
      <x:c r="Q159" s="27" t="str">
        <x:v>PLANNED</x:v>
      </x:c>
      <x:c r="R159" s="27" t="str">
        <x:v>MITIGATE</x:v>
      </x:c>
      <x:c r="S159" s="36" t="str">
        <x:v>Implementar copia redundante, prueba de restauración y propietario alternativo para Source art files.</x:v>
      </x:c>
      <x:c r="T159" s="38" t="n">
        <x:v>3</x:v>
      </x:c>
      <x:c r="U159" s="38" t="n">
        <x:v>5</x:v>
      </x:c>
      <x:c r="V159" s="38" t="n">
        <x:f>T159*U159</x:f>
        <x:v>15</x:v>
      </x:c>
      <x:c r="W159" s="27" t="str">
        <x:f>IF(V159&gt;=20,"CRITICAL",IF(V159&gt;=12,"HIGH",IF(V159&gt;=6,"MEDIUM","LOW")))</x:f>
        <x:v>HIGH</x:v>
      </x:c>
      <x:c r="X159" s="27" t="str">
        <x:v>LOW</x:v>
      </x:c>
      <x:c r="Y159" s="27" t="str">
        <x:f>IF(X159="ZERO",IF(V159=0,"WITHIN TOLERANCE","OUTSIDE TOLERANCE"),IF(X159="LOW",IF(V159&lt;=4,"WITHIN TOLERANCE","OUTSIDE TOLERANCE"),IF(X159="MODERATE",IF(V159&lt;=9,"WITHIN TOLERANCE","OUTSIDE TOLERANCE"),IF(X159="HIGH",IF(V159&lt;=16,"WITHIN TOLERANCE","OUTSIDE TOLERANCE"),"REVIEW"))))</x:f>
        <x:v>OUTSIDE TOLERANCE</x:v>
      </x:c>
      <x:c r="Z159" s="36" t="str">
        <x:v>Art</x:v>
      </x:c>
      <x:c r="AA159" s="36" t="str">
        <x:v>Project Owner</x:v>
      </x:c>
      <x:c r="AB159" s="36" t="str">
        <x:v>Activo no disponible, checksum inválido o prueba de restore vencida.</x:v>
      </x:c>
      <x:c r="AC159" s="36" t="str">
        <x:v>RPO 24h / RTO 72h</x:v>
      </x:c>
      <x:c r="AD159" s="36" t="str">
        <x:v>Proteger evidencia/datos y pasar a hardware alternativo.</x:v>
      </x:c>
      <x:c r="AE159" s="36" t="str">
        <x:v>Restaurar Source art files desde la copia verificada más reciente; validar integridad y registrar pérdida de datos.</x:v>
      </x:c>
      <x:c r="AF159" s="27" t="str">
        <x:v>BIA-18</x:v>
      </x:c>
      <x:c r="AG159" s="27" t="str">
        <x:v>PB-18</x:v>
      </x:c>
      <x:c r="AH159" s="27" t="str">
        <x:v>TA-BCP-005</x:v>
      </x:c>
      <x:c r="AI159" s="36" t="str">
        <x:v>11, 13, 25, 27, 31, 32, 33, 34, 33</x:v>
      </x:c>
      <x:c r="AJ159" s="36" t="str">
        <x:v>Package manifests, checksums, build records, handoffs y archivos históricos</x:v>
      </x:c>
      <x:c r="AK159" s="27" t="str">
        <x:v>OPEN</x:v>
      </x:c>
      <x:c r="AL159" s="27" t="str">
        <x:v>MONTHLY</x:v>
      </x:c>
      <x:c r="AM159" s="40" t="str">
        <x:v>2026-07-01</x:v>
      </x:c>
      <x:c r="AN159" s="40" t="str">
        <x:v>2026-07-31</x:v>
      </x:c>
      <x:c r="AO159" s="27" t="str">
        <x:v>UNVERIFIED</x:v>
      </x:c>
      <x:c r="AP159" s="36" t="str">
        <x:v>Riesgo de continuidad específico del activo. Objetivo RPO 24h / RTO 72h.</x:v>
      </x:c>
      <x:c r="AQ159" s="27" t="n">
        <x:f>IF(OR(M159="CRITICAL",W159="CRITICAL",Y159="OUTSIDE TOLERANCE",AK159="ESCALATED",AK159="ACCEPTANCE REQUESTED"),1,0)</x:f>
        <x:v>1</x:v>
      </x:c>
    </x:row>
    <x:row r="160">
      <x:c r="A160" s="27" t="str">
        <x:v>R-BCP-006</x:v>
      </x:c>
      <x:c r="B160" s="36" t="str">
        <x:v>Business Continuity</x:v>
      </x:c>
      <x:c r="C160" s="36" t="str">
        <x:v>ACCESS</x:v>
      </x:c>
      <x:c r="D160" s="36" t="str">
        <x:v>Existe el riesgo de que ocurra lo siguiente: Source art files queda inaccesible durante más que RPO 24h / RTO 72h.</x:v>
      </x:c>
      <x:c r="E160" s="36" t="str">
        <x:v>Editable DCC sources</x:v>
      </x:c>
      <x:c r="F160" s="36" t="str">
        <x:v>All</x:v>
      </x:c>
      <x:c r="G160" s="36" t="str">
        <x:v>Fallo físico, humano, proveedor, credencial o proceso de copia.</x:v>
      </x:c>
      <x:c r="H160" s="36" t="str">
        <x:v>Source art files queda inaccesible durante más que RPO 24h / RTO 72h</x:v>
      </x:c>
      <x:c r="I160" s="36" t="str">
        <x:v>Interrupción de Editable DCC sources; posible incumplimiento del objetivo RPO 24h / RTO 72h.</x:v>
      </x:c>
      <x:c r="J160" s="38" t="n">
        <x:v>3</x:v>
      </x:c>
      <x:c r="K160" s="38" t="n">
        <x:v>4</x:v>
      </x:c>
      <x:c r="L160" s="38" t="n">
        <x:f>J160*K160</x:f>
        <x:v>12</x:v>
      </x:c>
      <x:c r="M160" s="27" t="str">
        <x:f>IF(L160&gt;=20,"CRITICAL",IF(L160&gt;=12,"HIGH",IF(L160&gt;=6,"MEDIUM","LOW")))</x:f>
        <x:v>HIGH</x:v>
      </x:c>
      <x:c r="N160" s="27" t="str">
        <x:v>FAST</x:v>
      </x:c>
      <x:c r="O160" s="27" t="str">
        <x:v>HARD</x:v>
      </x:c>
      <x:c r="P160" s="36" t="str">
        <x:v>3-2-1 copy and source inventory</x:v>
      </x:c>
      <x:c r="Q160" s="27" t="str">
        <x:v>PLANNED</x:v>
      </x:c>
      <x:c r="R160" s="27" t="str">
        <x:v>MITIGATE</x:v>
      </x:c>
      <x:c r="S160" s="36" t="str">
        <x:v>Implementar copia redundante, prueba de restauración y propietario alternativo para Source art files.</x:v>
      </x:c>
      <x:c r="T160" s="38" t="n">
        <x:v>3</x:v>
      </x:c>
      <x:c r="U160" s="38" t="n">
        <x:v>4</x:v>
      </x:c>
      <x:c r="V160" s="38" t="n">
        <x:f>T160*U160</x:f>
        <x:v>12</x:v>
      </x:c>
      <x:c r="W160" s="27" t="str">
        <x:f>IF(V160&gt;=20,"CRITICAL",IF(V160&gt;=12,"HIGH",IF(V160&gt;=6,"MEDIUM","LOW")))</x:f>
        <x:v>HIGH</x:v>
      </x:c>
      <x:c r="X160" s="27" t="str">
        <x:v>LOW</x:v>
      </x:c>
      <x:c r="Y160" s="27" t="str">
        <x:f>IF(X160="ZERO",IF(V160=0,"WITHIN TOLERANCE","OUTSIDE TOLERANCE"),IF(X160="LOW",IF(V160&lt;=4,"WITHIN TOLERANCE","OUTSIDE TOLERANCE"),IF(X160="MODERATE",IF(V160&lt;=9,"WITHIN TOLERANCE","OUTSIDE TOLERANCE"),IF(X160="HIGH",IF(V160&lt;=16,"WITHIN TOLERANCE","OUTSIDE TOLERANCE"),"REVIEW"))))</x:f>
        <x:v>OUTSIDE TOLERANCE</x:v>
      </x:c>
      <x:c r="Z160" s="36" t="str">
        <x:v>Art</x:v>
      </x:c>
      <x:c r="AA160" s="36" t="str">
        <x:v>Project Owner</x:v>
      </x:c>
      <x:c r="AB160" s="36" t="str">
        <x:v>Activo no disponible, checksum inválido o prueba de restore vencida.</x:v>
      </x:c>
      <x:c r="AC160" s="36" t="str">
        <x:v>RPO 24h / RTO 72h</x:v>
      </x:c>
      <x:c r="AD160" s="36" t="str">
        <x:v>Proteger evidencia/datos y pasar a hardware alternativo.</x:v>
      </x:c>
      <x:c r="AE160" s="36" t="str">
        <x:v>Restaurar Source art files desde la copia verificada más reciente; validar integridad y registrar pérdida de datos.</x:v>
      </x:c>
      <x:c r="AF160" s="27" t="str">
        <x:v>BIA-18</x:v>
      </x:c>
      <x:c r="AG160" s="27" t="str">
        <x:v>PB-18</x:v>
      </x:c>
      <x:c r="AH160" s="27" t="str">
        <x:v>TA-BCP-006</x:v>
      </x:c>
      <x:c r="AI160" s="36" t="str">
        <x:v>11, 13, 25, 27, 31, 32, 33, 34, 33</x:v>
      </x:c>
      <x:c r="AJ160" s="36" t="str">
        <x:v>Package manifests, checksums, build records, handoffs y archivos históricos</x:v>
      </x:c>
      <x:c r="AK160" s="27" t="str">
        <x:v>OPEN</x:v>
      </x:c>
      <x:c r="AL160" s="27" t="str">
        <x:v>MONTHLY</x:v>
      </x:c>
      <x:c r="AM160" s="40" t="str">
        <x:v>2026-07-01</x:v>
      </x:c>
      <x:c r="AN160" s="40" t="str">
        <x:v>2026-07-31</x:v>
      </x:c>
      <x:c r="AO160" s="27" t="str">
        <x:v>UNVERIFIED</x:v>
      </x:c>
      <x:c r="AP160" s="36" t="str">
        <x:v>Riesgo de continuidad específico del activo. Objetivo RPO 24h / RTO 72h.</x:v>
      </x:c>
      <x:c r="AQ160" s="27" t="n">
        <x:f>IF(OR(M160="CRITICAL",W160="CRITICAL",Y160="OUTSIDE TOLERANCE",AK160="ESCALATED",AK160="ACCEPTANCE REQUESTED"),1,0)</x:f>
        <x:v>1</x:v>
      </x:c>
    </x:row>
    <x:row r="161">
      <x:c r="A161" s="27" t="str">
        <x:v>R-BCP-007</x:v>
      </x:c>
      <x:c r="B161" s="36" t="str">
        <x:v>Business Continuity</x:v>
      </x:c>
      <x:c r="C161" s="36" t="str">
        <x:v>LOSS</x:v>
      </x:c>
      <x:c r="D161" s="36" t="str">
        <x:v>Existe el riesgo de que ocurra lo siguiente: Source audio files se pierde o queda corrupto.</x:v>
      </x:c>
      <x:c r="E161" s="36" t="str">
        <x:v>Editable audio masters</x:v>
      </x:c>
      <x:c r="F161" s="36" t="str">
        <x:v>All</x:v>
      </x:c>
      <x:c r="G161" s="36" t="str">
        <x:v>Fallo físico, humano, proveedor, credencial o proceso de copia.</x:v>
      </x:c>
      <x:c r="H161" s="36" t="str">
        <x:v>Source audio files se pierde o queda corrupto</x:v>
      </x:c>
      <x:c r="I161" s="36" t="str">
        <x:v>Interrupción de Editable audio masters; posible incumplimiento del objetivo RPO 24h / RTO 72h.</x:v>
      </x:c>
      <x:c r="J161" s="38" t="n">
        <x:v>3</x:v>
      </x:c>
      <x:c r="K161" s="38" t="n">
        <x:v>5</x:v>
      </x:c>
      <x:c r="L161" s="38" t="n">
        <x:f>J161*K161</x:f>
        <x:v>15</x:v>
      </x:c>
      <x:c r="M161" s="27" t="str">
        <x:f>IF(L161&gt;=20,"CRITICAL",IF(L161&gt;=12,"HIGH",IF(L161&gt;=6,"MEDIUM","LOW")))</x:f>
        <x:v>HIGH</x:v>
      </x:c>
      <x:c r="N161" s="27" t="str">
        <x:v>FAST</x:v>
      </x:c>
      <x:c r="O161" s="27" t="str">
        <x:v>HARD</x:v>
      </x:c>
      <x:c r="P161" s="36" t="str">
        <x:v>3-2-1 copy and source inventory</x:v>
      </x:c>
      <x:c r="Q161" s="27" t="str">
        <x:v>PLANNED</x:v>
      </x:c>
      <x:c r="R161" s="27" t="str">
        <x:v>MITIGATE</x:v>
      </x:c>
      <x:c r="S161" s="36" t="str">
        <x:v>Implementar copia redundante, prueba de restauración y propietario alternativo para Source audio files.</x:v>
      </x:c>
      <x:c r="T161" s="38" t="n">
        <x:v>3</x:v>
      </x:c>
      <x:c r="U161" s="38" t="n">
        <x:v>5</x:v>
      </x:c>
      <x:c r="V161" s="38" t="n">
        <x:f>T161*U161</x:f>
        <x:v>15</x:v>
      </x:c>
      <x:c r="W161" s="27" t="str">
        <x:f>IF(V161&gt;=20,"CRITICAL",IF(V161&gt;=12,"HIGH",IF(V161&gt;=6,"MEDIUM","LOW")))</x:f>
        <x:v>HIGH</x:v>
      </x:c>
      <x:c r="X161" s="27" t="str">
        <x:v>LOW</x:v>
      </x:c>
      <x:c r="Y161" s="27" t="str">
        <x:f>IF(X161="ZERO",IF(V161=0,"WITHIN TOLERANCE","OUTSIDE TOLERANCE"),IF(X161="LOW",IF(V161&lt;=4,"WITHIN TOLERANCE","OUTSIDE TOLERANCE"),IF(X161="MODERATE",IF(V161&lt;=9,"WITHIN TOLERANCE","OUTSIDE TOLERANCE"),IF(X161="HIGH",IF(V161&lt;=16,"WITHIN TOLERANCE","OUTSIDE TOLERANCE"),"REVIEW"))))</x:f>
        <x:v>OUTSIDE TOLERANCE</x:v>
      </x:c>
      <x:c r="Z161" s="36" t="str">
        <x:v>Audio</x:v>
      </x:c>
      <x:c r="AA161" s="36" t="str">
        <x:v>Project Owner</x:v>
      </x:c>
      <x:c r="AB161" s="36" t="str">
        <x:v>Activo no disponible, checksum inválido o prueba de restore vencida.</x:v>
      </x:c>
      <x:c r="AC161" s="36" t="str">
        <x:v>RPO 24h / RTO 72h</x:v>
      </x:c>
      <x:c r="AD161" s="36" t="str">
        <x:v>Proteger evidencia/datos y pasar a hardware alternativo.</x:v>
      </x:c>
      <x:c r="AE161" s="36" t="str">
        <x:v>Restaurar Source audio files desde la copia verificada más reciente; validar integridad y registrar pérdida de datos.</x:v>
      </x:c>
      <x:c r="AF161" s="27" t="str">
        <x:v>BIA-18</x:v>
      </x:c>
      <x:c r="AG161" s="27" t="str">
        <x:v>PB-18</x:v>
      </x:c>
      <x:c r="AH161" s="27" t="str">
        <x:v>TA-BCP-007</x:v>
      </x:c>
      <x:c r="AI161" s="36" t="str">
        <x:v>11, 13, 25, 27, 31, 32, 33, 34, 33</x:v>
      </x:c>
      <x:c r="AJ161" s="36" t="str">
        <x:v>Package manifests, checksums, build records, handoffs y archivos históricos</x:v>
      </x:c>
      <x:c r="AK161" s="27" t="str">
        <x:v>OPEN</x:v>
      </x:c>
      <x:c r="AL161" s="27" t="str">
        <x:v>MONTHLY</x:v>
      </x:c>
      <x:c r="AM161" s="40" t="str">
        <x:v>2026-07-01</x:v>
      </x:c>
      <x:c r="AN161" s="40" t="str">
        <x:v>2026-07-31</x:v>
      </x:c>
      <x:c r="AO161" s="27" t="str">
        <x:v>UNVERIFIED</x:v>
      </x:c>
      <x:c r="AP161" s="36" t="str">
        <x:v>Riesgo de continuidad específico del activo. Objetivo RPO 24h / RTO 72h.</x:v>
      </x:c>
      <x:c r="AQ161" s="27" t="n">
        <x:f>IF(OR(M161="CRITICAL",W161="CRITICAL",Y161="OUTSIDE TOLERANCE",AK161="ESCALATED",AK161="ACCEPTANCE REQUESTED"),1,0)</x:f>
        <x:v>1</x:v>
      </x:c>
    </x:row>
    <x:row r="162">
      <x:c r="A162" s="27" t="str">
        <x:v>R-BCP-008</x:v>
      </x:c>
      <x:c r="B162" s="36" t="str">
        <x:v>Business Continuity</x:v>
      </x:c>
      <x:c r="C162" s="36" t="str">
        <x:v>ACCESS</x:v>
      </x:c>
      <x:c r="D162" s="36" t="str">
        <x:v>Existe el riesgo de que ocurra lo siguiente: Source audio files queda inaccesible durante más que RPO 24h / RTO 72h.</x:v>
      </x:c>
      <x:c r="E162" s="36" t="str">
        <x:v>Editable audio masters</x:v>
      </x:c>
      <x:c r="F162" s="36" t="str">
        <x:v>All</x:v>
      </x:c>
      <x:c r="G162" s="36" t="str">
        <x:v>Fallo físico, humano, proveedor, credencial o proceso de copia.</x:v>
      </x:c>
      <x:c r="H162" s="36" t="str">
        <x:v>Source audio files queda inaccesible durante más que RPO 24h / RTO 72h</x:v>
      </x:c>
      <x:c r="I162" s="36" t="str">
        <x:v>Interrupción de Editable audio masters; posible incumplimiento del objetivo RPO 24h / RTO 72h.</x:v>
      </x:c>
      <x:c r="J162" s="38" t="n">
        <x:v>3</x:v>
      </x:c>
      <x:c r="K162" s="38" t="n">
        <x:v>4</x:v>
      </x:c>
      <x:c r="L162" s="38" t="n">
        <x:f>J162*K162</x:f>
        <x:v>12</x:v>
      </x:c>
      <x:c r="M162" s="27" t="str">
        <x:f>IF(L162&gt;=20,"CRITICAL",IF(L162&gt;=12,"HIGH",IF(L162&gt;=6,"MEDIUM","LOW")))</x:f>
        <x:v>HIGH</x:v>
      </x:c>
      <x:c r="N162" s="27" t="str">
        <x:v>FAST</x:v>
      </x:c>
      <x:c r="O162" s="27" t="str">
        <x:v>HARD</x:v>
      </x:c>
      <x:c r="P162" s="36" t="str">
        <x:v>3-2-1 copy and source inventory</x:v>
      </x:c>
      <x:c r="Q162" s="27" t="str">
        <x:v>PLANNED</x:v>
      </x:c>
      <x:c r="R162" s="27" t="str">
        <x:v>MITIGATE</x:v>
      </x:c>
      <x:c r="S162" s="36" t="str">
        <x:v>Implementar copia redundante, prueba de restauración y propietario alternativo para Source audio files.</x:v>
      </x:c>
      <x:c r="T162" s="38" t="n">
        <x:v>3</x:v>
      </x:c>
      <x:c r="U162" s="38" t="n">
        <x:v>4</x:v>
      </x:c>
      <x:c r="V162" s="38" t="n">
        <x:f>T162*U162</x:f>
        <x:v>12</x:v>
      </x:c>
      <x:c r="W162" s="27" t="str">
        <x:f>IF(V162&gt;=20,"CRITICAL",IF(V162&gt;=12,"HIGH",IF(V162&gt;=6,"MEDIUM","LOW")))</x:f>
        <x:v>HIGH</x:v>
      </x:c>
      <x:c r="X162" s="27" t="str">
        <x:v>LOW</x:v>
      </x:c>
      <x:c r="Y162" s="27" t="str">
        <x:f>IF(X162="ZERO",IF(V162=0,"WITHIN TOLERANCE","OUTSIDE TOLERANCE"),IF(X162="LOW",IF(V162&lt;=4,"WITHIN TOLERANCE","OUTSIDE TOLERANCE"),IF(X162="MODERATE",IF(V162&lt;=9,"WITHIN TOLERANCE","OUTSIDE TOLERANCE"),IF(X162="HIGH",IF(V162&lt;=16,"WITHIN TOLERANCE","OUTSIDE TOLERANCE"),"REVIEW"))))</x:f>
        <x:v>OUTSIDE TOLERANCE</x:v>
      </x:c>
      <x:c r="Z162" s="36" t="str">
        <x:v>Audio</x:v>
      </x:c>
      <x:c r="AA162" s="36" t="str">
        <x:v>Project Owner</x:v>
      </x:c>
      <x:c r="AB162" s="36" t="str">
        <x:v>Activo no disponible, checksum inválido o prueba de restore vencida.</x:v>
      </x:c>
      <x:c r="AC162" s="36" t="str">
        <x:v>RPO 24h / RTO 72h</x:v>
      </x:c>
      <x:c r="AD162" s="36" t="str">
        <x:v>Proteger evidencia/datos y pasar a hardware alternativo.</x:v>
      </x:c>
      <x:c r="AE162" s="36" t="str">
        <x:v>Restaurar Source audio files desde la copia verificada más reciente; validar integridad y registrar pérdida de datos.</x:v>
      </x:c>
      <x:c r="AF162" s="27" t="str">
        <x:v>BIA-18</x:v>
      </x:c>
      <x:c r="AG162" s="27" t="str">
        <x:v>PB-18</x:v>
      </x:c>
      <x:c r="AH162" s="27" t="str">
        <x:v>TA-BCP-008</x:v>
      </x:c>
      <x:c r="AI162" s="36" t="str">
        <x:v>11, 13, 25, 27, 31, 32, 33, 34, 33</x:v>
      </x:c>
      <x:c r="AJ162" s="36" t="str">
        <x:v>Package manifests, checksums, build records, handoffs y archivos históricos</x:v>
      </x:c>
      <x:c r="AK162" s="27" t="str">
        <x:v>OPEN</x:v>
      </x:c>
      <x:c r="AL162" s="27" t="str">
        <x:v>MONTHLY</x:v>
      </x:c>
      <x:c r="AM162" s="40" t="str">
        <x:v>2026-07-01</x:v>
      </x:c>
      <x:c r="AN162" s="40" t="str">
        <x:v>2026-07-31</x:v>
      </x:c>
      <x:c r="AO162" s="27" t="str">
        <x:v>UNVERIFIED</x:v>
      </x:c>
      <x:c r="AP162" s="36" t="str">
        <x:v>Riesgo de continuidad específico del activo. Objetivo RPO 24h / RTO 72h.</x:v>
      </x:c>
      <x:c r="AQ162" s="27" t="n">
        <x:f>IF(OR(M162="CRITICAL",W162="CRITICAL",Y162="OUTSIDE TOLERANCE",AK162="ESCALATED",AK162="ACCEPTANCE REQUESTED"),1,0)</x:f>
        <x:v>1</x:v>
      </x:c>
    </x:row>
    <x:row r="163">
      <x:c r="A163" s="27" t="str">
        <x:v>R-BCP-009</x:v>
      </x:c>
      <x:c r="B163" s="36" t="str">
        <x:v>Business Continuity</x:v>
      </x:c>
      <x:c r="C163" s="36" t="str">
        <x:v>LOSS</x:v>
      </x:c>
      <x:c r="D163" s="36" t="str">
        <x:v>Existe el riesgo de que ocurra lo siguiente: Documentation baseline se pierde o queda corrupto.</x:v>
      </x:c>
      <x:c r="E163" s="36" t="str">
        <x:v>00–34 and governance records</x:v>
      </x:c>
      <x:c r="F163" s="36" t="str">
        <x:v>All</x:v>
      </x:c>
      <x:c r="G163" s="36" t="str">
        <x:v>Fallo físico, humano, proveedor, credencial o proceso de copia.</x:v>
      </x:c>
      <x:c r="H163" s="36" t="str">
        <x:v>Documentation baseline se pierde o queda corrupto</x:v>
      </x:c>
      <x:c r="I163" s="36" t="str">
        <x:v>Interrupción de 00–34 and governance records; posible incumplimiento del objetivo RPO 24h / RTO 24h.</x:v>
      </x:c>
      <x:c r="J163" s="38" t="n">
        <x:v>3</x:v>
      </x:c>
      <x:c r="K163" s="38" t="n">
        <x:v>5</x:v>
      </x:c>
      <x:c r="L163" s="38" t="n">
        <x:f>J163*K163</x:f>
        <x:v>15</x:v>
      </x:c>
      <x:c r="M163" s="27" t="str">
        <x:f>IF(L163&gt;=20,"CRITICAL",IF(L163&gt;=12,"HIGH",IF(L163&gt;=6,"MEDIUM","LOW")))</x:f>
        <x:v>HIGH</x:v>
      </x:c>
      <x:c r="N163" s="27" t="str">
        <x:v>FAST</x:v>
      </x:c>
      <x:c r="O163" s="27" t="str">
        <x:v>HARD</x:v>
      </x:c>
      <x:c r="P163" s="36" t="str">
        <x:v>Immutable ZIP, checksums and offsite copy</x:v>
      </x:c>
      <x:c r="Q163" s="27" t="str">
        <x:v>PLANNED</x:v>
      </x:c>
      <x:c r="R163" s="27" t="str">
        <x:v>MITIGATE</x:v>
      </x:c>
      <x:c r="S163" s="36" t="str">
        <x:v>Implementar copia redundante, prueba de restauración y propietario alternativo para Documentation baseline.</x:v>
      </x:c>
      <x:c r="T163" s="38" t="n">
        <x:v>3</x:v>
      </x:c>
      <x:c r="U163" s="38" t="n">
        <x:v>5</x:v>
      </x:c>
      <x:c r="V163" s="38" t="n">
        <x:f>T163*U163</x:f>
        <x:v>15</x:v>
      </x:c>
      <x:c r="W163" s="27" t="str">
        <x:f>IF(V163&gt;=20,"CRITICAL",IF(V163&gt;=12,"HIGH",IF(V163&gt;=6,"MEDIUM","LOW")))</x:f>
        <x:v>HIGH</x:v>
      </x:c>
      <x:c r="X163" s="27" t="str">
        <x:v>LOW</x:v>
      </x:c>
      <x:c r="Y163" s="27" t="str">
        <x:f>IF(X163="ZERO",IF(V163=0,"WITHIN TOLERANCE","OUTSIDE TOLERANCE"),IF(X163="LOW",IF(V163&lt;=4,"WITHIN TOLERANCE","OUTSIDE TOLERANCE"),IF(X163="MODERATE",IF(V163&lt;=9,"WITHIN TOLERANCE","OUTSIDE TOLERANCE"),IF(X163="HIGH",IF(V163&lt;=16,"WITHIN TOLERANCE","OUTSIDE TOLERANCE"),"REVIEW"))))</x:f>
        <x:v>OUTSIDE TOLERANCE</x:v>
      </x:c>
      <x:c r="Z163" s="36" t="str">
        <x:v>Documentation</x:v>
      </x:c>
      <x:c r="AA163" s="36" t="str">
        <x:v>Project Owner</x:v>
      </x:c>
      <x:c r="AB163" s="36" t="str">
        <x:v>Activo no disponible, checksum inválido o prueba de restore vencida.</x:v>
      </x:c>
      <x:c r="AC163" s="36" t="str">
        <x:v>RPO 24h / RTO 24h</x:v>
      </x:c>
      <x:c r="AD163" s="36" t="str">
        <x:v>Proteger evidencia/datos y pasar a hardware alternativo.</x:v>
      </x:c>
      <x:c r="AE163" s="36" t="str">
        <x:v>Restaurar Documentation baseline desde la copia verificada más reciente; validar integridad y registrar pérdida de datos.</x:v>
      </x:c>
      <x:c r="AF163" s="27" t="str">
        <x:v>BIA-18</x:v>
      </x:c>
      <x:c r="AG163" s="27" t="str">
        <x:v>PB-18</x:v>
      </x:c>
      <x:c r="AH163" s="27" t="str">
        <x:v>TA-BCP-009</x:v>
      </x:c>
      <x:c r="AI163" s="36" t="str">
        <x:v>11, 13, 25, 27, 31, 32, 33, 34, 33</x:v>
      </x:c>
      <x:c r="AJ163" s="36" t="str">
        <x:v>Package manifests, checksums, build records, handoffs y archivos históricos</x:v>
      </x:c>
      <x:c r="AK163" s="27" t="str">
        <x:v>OPEN</x:v>
      </x:c>
      <x:c r="AL163" s="27" t="str">
        <x:v>MONTHLY</x:v>
      </x:c>
      <x:c r="AM163" s="40" t="str">
        <x:v>2026-07-01</x:v>
      </x:c>
      <x:c r="AN163" s="40" t="str">
        <x:v>2026-07-31</x:v>
      </x:c>
      <x:c r="AO163" s="27" t="str">
        <x:v>UNVERIFIED</x:v>
      </x:c>
      <x:c r="AP163" s="36" t="str">
        <x:v>Riesgo de continuidad específico del activo. Objetivo RPO 24h / RTO 24h.</x:v>
      </x:c>
      <x:c r="AQ163" s="27" t="n">
        <x:f>IF(OR(M163="CRITICAL",W163="CRITICAL",Y163="OUTSIDE TOLERANCE",AK163="ESCALATED",AK163="ACCEPTANCE REQUESTED"),1,0)</x:f>
        <x:v>1</x:v>
      </x:c>
    </x:row>
    <x:row r="164">
      <x:c r="A164" s="27" t="str">
        <x:v>R-BCP-010</x:v>
      </x:c>
      <x:c r="B164" s="36" t="str">
        <x:v>Business Continuity</x:v>
      </x:c>
      <x:c r="C164" s="36" t="str">
        <x:v>ACCESS</x:v>
      </x:c>
      <x:c r="D164" s="36" t="str">
        <x:v>Existe el riesgo de que ocurra lo siguiente: Documentation baseline queda inaccesible durante más que RPO 24h / RTO 24h.</x:v>
      </x:c>
      <x:c r="E164" s="36" t="str">
        <x:v>00–34 and governance records</x:v>
      </x:c>
      <x:c r="F164" s="36" t="str">
        <x:v>All</x:v>
      </x:c>
      <x:c r="G164" s="36" t="str">
        <x:v>Fallo físico, humano, proveedor, credencial o proceso de copia.</x:v>
      </x:c>
      <x:c r="H164" s="36" t="str">
        <x:v>Documentation baseline queda inaccesible durante más que RPO 24h / RTO 24h</x:v>
      </x:c>
      <x:c r="I164" s="36" t="str">
        <x:v>Interrupción de 00–34 and governance records; posible incumplimiento del objetivo RPO 24h / RTO 24h.</x:v>
      </x:c>
      <x:c r="J164" s="38" t="n">
        <x:v>3</x:v>
      </x:c>
      <x:c r="K164" s="38" t="n">
        <x:v>4</x:v>
      </x:c>
      <x:c r="L164" s="38" t="n">
        <x:f>J164*K164</x:f>
        <x:v>12</x:v>
      </x:c>
      <x:c r="M164" s="27" t="str">
        <x:f>IF(L164&gt;=20,"CRITICAL",IF(L164&gt;=12,"HIGH",IF(L164&gt;=6,"MEDIUM","LOW")))</x:f>
        <x:v>HIGH</x:v>
      </x:c>
      <x:c r="N164" s="27" t="str">
        <x:v>FAST</x:v>
      </x:c>
      <x:c r="O164" s="27" t="str">
        <x:v>HARD</x:v>
      </x:c>
      <x:c r="P164" s="36" t="str">
        <x:v>Immutable ZIP, checksums and offsite copy</x:v>
      </x:c>
      <x:c r="Q164" s="27" t="str">
        <x:v>PLANNED</x:v>
      </x:c>
      <x:c r="R164" s="27" t="str">
        <x:v>MITIGATE</x:v>
      </x:c>
      <x:c r="S164" s="36" t="str">
        <x:v>Implementar copia redundante, prueba de restauración y propietario alternativo para Documentation baseline.</x:v>
      </x:c>
      <x:c r="T164" s="38" t="n">
        <x:v>3</x:v>
      </x:c>
      <x:c r="U164" s="38" t="n">
        <x:v>4</x:v>
      </x:c>
      <x:c r="V164" s="38" t="n">
        <x:f>T164*U164</x:f>
        <x:v>12</x:v>
      </x:c>
      <x:c r="W164" s="27" t="str">
        <x:f>IF(V164&gt;=20,"CRITICAL",IF(V164&gt;=12,"HIGH",IF(V164&gt;=6,"MEDIUM","LOW")))</x:f>
        <x:v>HIGH</x:v>
      </x:c>
      <x:c r="X164" s="27" t="str">
        <x:v>LOW</x:v>
      </x:c>
      <x:c r="Y164" s="27" t="str">
        <x:f>IF(X164="ZERO",IF(V164=0,"WITHIN TOLERANCE","OUTSIDE TOLERANCE"),IF(X164="LOW",IF(V164&lt;=4,"WITHIN TOLERANCE","OUTSIDE TOLERANCE"),IF(X164="MODERATE",IF(V164&lt;=9,"WITHIN TOLERANCE","OUTSIDE TOLERANCE"),IF(X164="HIGH",IF(V164&lt;=16,"WITHIN TOLERANCE","OUTSIDE TOLERANCE"),"REVIEW"))))</x:f>
        <x:v>OUTSIDE TOLERANCE</x:v>
      </x:c>
      <x:c r="Z164" s="36" t="str">
        <x:v>Documentation</x:v>
      </x:c>
      <x:c r="AA164" s="36" t="str">
        <x:v>Project Owner</x:v>
      </x:c>
      <x:c r="AB164" s="36" t="str">
        <x:v>Activo no disponible, checksum inválido o prueba de restore vencida.</x:v>
      </x:c>
      <x:c r="AC164" s="36" t="str">
        <x:v>RPO 24h / RTO 24h</x:v>
      </x:c>
      <x:c r="AD164" s="36" t="str">
        <x:v>Proteger evidencia/datos y pasar a hardware alternativo.</x:v>
      </x:c>
      <x:c r="AE164" s="36" t="str">
        <x:v>Restaurar Documentation baseline desde la copia verificada más reciente; validar integridad y registrar pérdida de datos.</x:v>
      </x:c>
      <x:c r="AF164" s="27" t="str">
        <x:v>BIA-18</x:v>
      </x:c>
      <x:c r="AG164" s="27" t="str">
        <x:v>PB-18</x:v>
      </x:c>
      <x:c r="AH164" s="27" t="str">
        <x:v>TA-BCP-010</x:v>
      </x:c>
      <x:c r="AI164" s="36" t="str">
        <x:v>11, 13, 25, 27, 31, 32, 33, 34, 33</x:v>
      </x:c>
      <x:c r="AJ164" s="36" t="str">
        <x:v>Package manifests, checksums, build records, handoffs y archivos históricos</x:v>
      </x:c>
      <x:c r="AK164" s="27" t="str">
        <x:v>OPEN</x:v>
      </x:c>
      <x:c r="AL164" s="27" t="str">
        <x:v>MONTHLY</x:v>
      </x:c>
      <x:c r="AM164" s="40" t="str">
        <x:v>2026-07-01</x:v>
      </x:c>
      <x:c r="AN164" s="40" t="str">
        <x:v>2026-07-31</x:v>
      </x:c>
      <x:c r="AO164" s="27" t="str">
        <x:v>UNVERIFIED</x:v>
      </x:c>
      <x:c r="AP164" s="36" t="str">
        <x:v>Riesgo de continuidad específico del activo. Objetivo RPO 24h / RTO 24h.</x:v>
      </x:c>
      <x:c r="AQ164" s="27" t="n">
        <x:f>IF(OR(M164="CRITICAL",W164="CRITICAL",Y164="OUTSIDE TOLERANCE",AK164="ESCALATED",AK164="ACCEPTANCE REQUESTED"),1,0)</x:f>
        <x:v>1</x:v>
      </x:c>
    </x:row>
    <x:row r="165">
      <x:c r="A165" s="27" t="str">
        <x:v>R-BCP-011</x:v>
      </x:c>
      <x:c r="B165" s="36" t="str">
        <x:v>Business Continuity</x:v>
      </x:c>
      <x:c r="C165" s="36" t="str">
        <x:v>LOSS</x:v>
      </x:c>
      <x:c r="D165" s="36" t="str">
        <x:v>Existe el riesgo de que ocurra lo siguiente: Historical documentation se pierde o queda corrupto.</x:v>
      </x:c>
      <x:c r="E165" s="36" t="str">
        <x:v>v0.3–v0.6, ADR and sprint evidence</x:v>
      </x:c>
      <x:c r="F165" s="36" t="str">
        <x:v>All</x:v>
      </x:c>
      <x:c r="G165" s="36" t="str">
        <x:v>Fallo físico, humano, proveedor, credencial o proceso de copia.</x:v>
      </x:c>
      <x:c r="H165" s="36" t="str">
        <x:v>Historical documentation se pierde o queda corrupto</x:v>
      </x:c>
      <x:c r="I165" s="36" t="str">
        <x:v>Interrupción de v0.3–v0.6, ADR and sprint evidence; posible incumplimiento del objetivo RPO 24h / RTO 72h.</x:v>
      </x:c>
      <x:c r="J165" s="38" t="n">
        <x:v>3</x:v>
      </x:c>
      <x:c r="K165" s="38" t="n">
        <x:v>5</x:v>
      </x:c>
      <x:c r="L165" s="38" t="n">
        <x:f>J165*K165</x:f>
        <x:v>15</x:v>
      </x:c>
      <x:c r="M165" s="27" t="str">
        <x:f>IF(L165&gt;=20,"CRITICAL",IF(L165&gt;=12,"HIGH",IF(L165&gt;=6,"MEDIUM","LOW")))</x:f>
        <x:v>HIGH</x:v>
      </x:c>
      <x:c r="N165" s="27" t="str">
        <x:v>FAST</x:v>
      </x:c>
      <x:c r="O165" s="27" t="str">
        <x:v>HARD</x:v>
      </x:c>
      <x:c r="P165" s="36" t="str">
        <x:v>Read-only archive and manifest</x:v>
      </x:c>
      <x:c r="Q165" s="27" t="str">
        <x:v>PLANNED</x:v>
      </x:c>
      <x:c r="R165" s="27" t="str">
        <x:v>MITIGATE</x:v>
      </x:c>
      <x:c r="S165" s="36" t="str">
        <x:v>Implementar copia redundante, prueba de restauración y propietario alternativo para Historical documentation.</x:v>
      </x:c>
      <x:c r="T165" s="38" t="n">
        <x:v>3</x:v>
      </x:c>
      <x:c r="U165" s="38" t="n">
        <x:v>5</x:v>
      </x:c>
      <x:c r="V165" s="38" t="n">
        <x:f>T165*U165</x:f>
        <x:v>15</x:v>
      </x:c>
      <x:c r="W165" s="27" t="str">
        <x:f>IF(V165&gt;=20,"CRITICAL",IF(V165&gt;=12,"HIGH",IF(V165&gt;=6,"MEDIUM","LOW")))</x:f>
        <x:v>HIGH</x:v>
      </x:c>
      <x:c r="X165" s="27" t="str">
        <x:v>LOW</x:v>
      </x:c>
      <x:c r="Y165" s="27" t="str">
        <x:f>IF(X165="ZERO",IF(V165=0,"WITHIN TOLERANCE","OUTSIDE TOLERANCE"),IF(X165="LOW",IF(V165&lt;=4,"WITHIN TOLERANCE","OUTSIDE TOLERANCE"),IF(X165="MODERATE",IF(V165&lt;=9,"WITHIN TOLERANCE","OUTSIDE TOLERANCE"),IF(X165="HIGH",IF(V165&lt;=16,"WITHIN TOLERANCE","OUTSIDE TOLERANCE"),"REVIEW"))))</x:f>
        <x:v>OUTSIDE TOLERANCE</x:v>
      </x:c>
      <x:c r="Z165" s="36" t="str">
        <x:v>Documentation</x:v>
      </x:c>
      <x:c r="AA165" s="36" t="str">
        <x:v>Project Owner</x:v>
      </x:c>
      <x:c r="AB165" s="36" t="str">
        <x:v>Activo no disponible, checksum inválido o prueba de restore vencida.</x:v>
      </x:c>
      <x:c r="AC165" s="36" t="str">
        <x:v>RPO 24h / RTO 72h</x:v>
      </x:c>
      <x:c r="AD165" s="36" t="str">
        <x:v>Proteger evidencia/datos y pasar a hardware alternativo.</x:v>
      </x:c>
      <x:c r="AE165" s="36" t="str">
        <x:v>Restaurar Historical documentation desde la copia verificada más reciente; validar integridad y registrar pérdida de datos.</x:v>
      </x:c>
      <x:c r="AF165" s="27" t="str">
        <x:v>BIA-18</x:v>
      </x:c>
      <x:c r="AG165" s="27" t="str">
        <x:v>PB-18</x:v>
      </x:c>
      <x:c r="AH165" s="27" t="str">
        <x:v>TA-BCP-011</x:v>
      </x:c>
      <x:c r="AI165" s="36" t="str">
        <x:v>11, 13, 25, 27, 31, 32, 33, 34, 33</x:v>
      </x:c>
      <x:c r="AJ165" s="36" t="str">
        <x:v>Package manifests, checksums, build records, handoffs y archivos históricos</x:v>
      </x:c>
      <x:c r="AK165" s="27" t="str">
        <x:v>OPEN</x:v>
      </x:c>
      <x:c r="AL165" s="27" t="str">
        <x:v>MONTHLY</x:v>
      </x:c>
      <x:c r="AM165" s="40" t="str">
        <x:v>2026-07-01</x:v>
      </x:c>
      <x:c r="AN165" s="40" t="str">
        <x:v>2026-07-31</x:v>
      </x:c>
      <x:c r="AO165" s="27" t="str">
        <x:v>UNVERIFIED</x:v>
      </x:c>
      <x:c r="AP165" s="36" t="str">
        <x:v>Riesgo de continuidad específico del activo. Objetivo RPO 24h / RTO 72h.</x:v>
      </x:c>
      <x:c r="AQ165" s="27" t="n">
        <x:f>IF(OR(M165="CRITICAL",W165="CRITICAL",Y165="OUTSIDE TOLERANCE",AK165="ESCALATED",AK165="ACCEPTANCE REQUESTED"),1,0)</x:f>
        <x:v>1</x:v>
      </x:c>
    </x:row>
    <x:row r="166">
      <x:c r="A166" s="27" t="str">
        <x:v>R-BCP-012</x:v>
      </x:c>
      <x:c r="B166" s="36" t="str">
        <x:v>Business Continuity</x:v>
      </x:c>
      <x:c r="C166" s="36" t="str">
        <x:v>ACCESS</x:v>
      </x:c>
      <x:c r="D166" s="36" t="str">
        <x:v>Existe el riesgo de que ocurra lo siguiente: Historical documentation queda inaccesible durante más que RPO 24h / RTO 72h.</x:v>
      </x:c>
      <x:c r="E166" s="36" t="str">
        <x:v>v0.3–v0.6, ADR and sprint evidence</x:v>
      </x:c>
      <x:c r="F166" s="36" t="str">
        <x:v>All</x:v>
      </x:c>
      <x:c r="G166" s="36" t="str">
        <x:v>Fallo físico, humano, proveedor, credencial o proceso de copia.</x:v>
      </x:c>
      <x:c r="H166" s="36" t="str">
        <x:v>Historical documentation queda inaccesible durante más que RPO 24h / RTO 72h</x:v>
      </x:c>
      <x:c r="I166" s="36" t="str">
        <x:v>Interrupción de v0.3–v0.6, ADR and sprint evidence; posible incumplimiento del objetivo RPO 24h / RTO 72h.</x:v>
      </x:c>
      <x:c r="J166" s="38" t="n">
        <x:v>3</x:v>
      </x:c>
      <x:c r="K166" s="38" t="n">
        <x:v>4</x:v>
      </x:c>
      <x:c r="L166" s="38" t="n">
        <x:f>J166*K166</x:f>
        <x:v>12</x:v>
      </x:c>
      <x:c r="M166" s="27" t="str">
        <x:f>IF(L166&gt;=20,"CRITICAL",IF(L166&gt;=12,"HIGH",IF(L166&gt;=6,"MEDIUM","LOW")))</x:f>
        <x:v>HIGH</x:v>
      </x:c>
      <x:c r="N166" s="27" t="str">
        <x:v>FAST</x:v>
      </x:c>
      <x:c r="O166" s="27" t="str">
        <x:v>HARD</x:v>
      </x:c>
      <x:c r="P166" s="36" t="str">
        <x:v>Read-only archive and manifest</x:v>
      </x:c>
      <x:c r="Q166" s="27" t="str">
        <x:v>PLANNED</x:v>
      </x:c>
      <x:c r="R166" s="27" t="str">
        <x:v>MITIGATE</x:v>
      </x:c>
      <x:c r="S166" s="36" t="str">
        <x:v>Implementar copia redundante, prueba de restauración y propietario alternativo para Historical documentation.</x:v>
      </x:c>
      <x:c r="T166" s="38" t="n">
        <x:v>3</x:v>
      </x:c>
      <x:c r="U166" s="38" t="n">
        <x:v>4</x:v>
      </x:c>
      <x:c r="V166" s="38" t="n">
        <x:f>T166*U166</x:f>
        <x:v>12</x:v>
      </x:c>
      <x:c r="W166" s="27" t="str">
        <x:f>IF(V166&gt;=20,"CRITICAL",IF(V166&gt;=12,"HIGH",IF(V166&gt;=6,"MEDIUM","LOW")))</x:f>
        <x:v>HIGH</x:v>
      </x:c>
      <x:c r="X166" s="27" t="str">
        <x:v>LOW</x:v>
      </x:c>
      <x:c r="Y166" s="27" t="str">
        <x:f>IF(X166="ZERO",IF(V166=0,"WITHIN TOLERANCE","OUTSIDE TOLERANCE"),IF(X166="LOW",IF(V166&lt;=4,"WITHIN TOLERANCE","OUTSIDE TOLERANCE"),IF(X166="MODERATE",IF(V166&lt;=9,"WITHIN TOLERANCE","OUTSIDE TOLERANCE"),IF(X166="HIGH",IF(V166&lt;=16,"WITHIN TOLERANCE","OUTSIDE TOLERANCE"),"REVIEW"))))</x:f>
        <x:v>OUTSIDE TOLERANCE</x:v>
      </x:c>
      <x:c r="Z166" s="36" t="str">
        <x:v>Documentation</x:v>
      </x:c>
      <x:c r="AA166" s="36" t="str">
        <x:v>Project Owner</x:v>
      </x:c>
      <x:c r="AB166" s="36" t="str">
        <x:v>Activo no disponible, checksum inválido o prueba de restore vencida.</x:v>
      </x:c>
      <x:c r="AC166" s="36" t="str">
        <x:v>RPO 24h / RTO 72h</x:v>
      </x:c>
      <x:c r="AD166" s="36" t="str">
        <x:v>Proteger evidencia/datos y pasar a hardware alternativo.</x:v>
      </x:c>
      <x:c r="AE166" s="36" t="str">
        <x:v>Restaurar Historical documentation desde la copia verificada más reciente; validar integridad y registrar pérdida de datos.</x:v>
      </x:c>
      <x:c r="AF166" s="27" t="str">
        <x:v>BIA-18</x:v>
      </x:c>
      <x:c r="AG166" s="27" t="str">
        <x:v>PB-18</x:v>
      </x:c>
      <x:c r="AH166" s="27" t="str">
        <x:v>TA-BCP-012</x:v>
      </x:c>
      <x:c r="AI166" s="36" t="str">
        <x:v>11, 13, 25, 27, 31, 32, 33, 34, 33</x:v>
      </x:c>
      <x:c r="AJ166" s="36" t="str">
        <x:v>Package manifests, checksums, build records, handoffs y archivos históricos</x:v>
      </x:c>
      <x:c r="AK166" s="27" t="str">
        <x:v>OPEN</x:v>
      </x:c>
      <x:c r="AL166" s="27" t="str">
        <x:v>MONTHLY</x:v>
      </x:c>
      <x:c r="AM166" s="40" t="str">
        <x:v>2026-07-01</x:v>
      </x:c>
      <x:c r="AN166" s="40" t="str">
        <x:v>2026-07-31</x:v>
      </x:c>
      <x:c r="AO166" s="27" t="str">
        <x:v>UNVERIFIED</x:v>
      </x:c>
      <x:c r="AP166" s="36" t="str">
        <x:v>Riesgo de continuidad específico del activo. Objetivo RPO 24h / RTO 72h.</x:v>
      </x:c>
      <x:c r="AQ166" s="27" t="n">
        <x:f>IF(OR(M166="CRITICAL",W166="CRITICAL",Y166="OUTSIDE TOLERANCE",AK166="ESCALATED",AK166="ACCEPTANCE REQUESTED"),1,0)</x:f>
        <x:v>1</x:v>
      </x:c>
    </x:row>
    <x:row r="167">
      <x:c r="A167" s="27" t="str">
        <x:v>R-BCP-013</x:v>
      </x:c>
      <x:c r="B167" s="36" t="str">
        <x:v>Business Continuity</x:v>
      </x:c>
      <x:c r="C167" s="36" t="str">
        <x:v>LOSS</x:v>
      </x:c>
      <x:c r="D167" s="36" t="str">
        <x:v>Existe el riesgo de que ocurra lo siguiente: Build artifacts se pierde o queda corrupto.</x:v>
      </x:c>
      <x:c r="E167" s="36" t="str">
        <x:v>Last known good H6/RC builds</x:v>
      </x:c>
      <x:c r="F167" s="36" t="str">
        <x:v>All</x:v>
      </x:c>
      <x:c r="G167" s="36" t="str">
        <x:v>Fallo físico, humano, proveedor, credencial o proceso de copia.</x:v>
      </x:c>
      <x:c r="H167" s="36" t="str">
        <x:v>Build artifacts se pierde o queda corrupto</x:v>
      </x:c>
      <x:c r="I167" s="36" t="str">
        <x:v>Interrupción de Last known good H6/RC builds; posible incumplimiento del objetivo RPO per candidate / RTO 8h.</x:v>
      </x:c>
      <x:c r="J167" s="38" t="n">
        <x:v>3</x:v>
      </x:c>
      <x:c r="K167" s="38" t="n">
        <x:v>5</x:v>
      </x:c>
      <x:c r="L167" s="38" t="n">
        <x:f>J167*K167</x:f>
        <x:v>15</x:v>
      </x:c>
      <x:c r="M167" s="27" t="str">
        <x:f>IF(L167&gt;=20,"CRITICAL",IF(L167&gt;=12,"HIGH",IF(L167&gt;=6,"MEDIUM","LOW")))</x:f>
        <x:v>HIGH</x:v>
      </x:c>
      <x:c r="N167" s="27" t="str">
        <x:v>FAST</x:v>
      </x:c>
      <x:c r="O167" s="27" t="str">
        <x:v>HARD</x:v>
      </x:c>
      <x:c r="P167" s="36" t="str">
        <x:v>Hashed artifact archive</x:v>
      </x:c>
      <x:c r="Q167" s="27" t="str">
        <x:v>PLANNED</x:v>
      </x:c>
      <x:c r="R167" s="27" t="str">
        <x:v>MITIGATE</x:v>
      </x:c>
      <x:c r="S167" s="36" t="str">
        <x:v>Implementar copia redundante, prueba de restauración y propietario alternativo para Build artifacts.</x:v>
      </x:c>
      <x:c r="T167" s="38" t="n">
        <x:v>3</x:v>
      </x:c>
      <x:c r="U167" s="38" t="n">
        <x:v>5</x:v>
      </x:c>
      <x:c r="V167" s="38" t="n">
        <x:f>T167*U167</x:f>
        <x:v>15</x:v>
      </x:c>
      <x:c r="W167" s="27" t="str">
        <x:f>IF(V167&gt;=20,"CRITICAL",IF(V167&gt;=12,"HIGH",IF(V167&gt;=6,"MEDIUM","LOW")))</x:f>
        <x:v>HIGH</x:v>
      </x:c>
      <x:c r="X167" s="27" t="str">
        <x:v>LOW</x:v>
      </x:c>
      <x:c r="Y167" s="27" t="str">
        <x:f>IF(X167="ZERO",IF(V167=0,"WITHIN TOLERANCE","OUTSIDE TOLERANCE"),IF(X167="LOW",IF(V167&lt;=4,"WITHIN TOLERANCE","OUTSIDE TOLERANCE"),IF(X167="MODERATE",IF(V167&lt;=9,"WITHIN TOLERANCE","OUTSIDE TOLERANCE"),IF(X167="HIGH",IF(V167&lt;=16,"WITHIN TOLERANCE","OUTSIDE TOLERANCE"),"REVIEW"))))</x:f>
        <x:v>OUTSIDE TOLERANCE</x:v>
      </x:c>
      <x:c r="Z167" s="36" t="str">
        <x:v>Build</x:v>
      </x:c>
      <x:c r="AA167" s="36" t="str">
        <x:v>Project Owner</x:v>
      </x:c>
      <x:c r="AB167" s="36" t="str">
        <x:v>Activo no disponible, checksum inválido o prueba de restore vencida.</x:v>
      </x:c>
      <x:c r="AC167" s="36" t="str">
        <x:v>RPO per candidate / RTO 8h</x:v>
      </x:c>
      <x:c r="AD167" s="36" t="str">
        <x:v>Proteger evidencia/datos y pasar a hardware alternativo.</x:v>
      </x:c>
      <x:c r="AE167" s="36" t="str">
        <x:v>Restaurar Build artifacts desde la copia verificada más reciente; validar integridad y registrar pérdida de datos.</x:v>
      </x:c>
      <x:c r="AF167" s="27" t="str">
        <x:v>BIA-18</x:v>
      </x:c>
      <x:c r="AG167" s="27" t="str">
        <x:v>PB-18</x:v>
      </x:c>
      <x:c r="AH167" s="27" t="str">
        <x:v>TA-BCP-013</x:v>
      </x:c>
      <x:c r="AI167" s="36" t="str">
        <x:v>11, 13, 25, 27, 31, 32, 33, 34, 33</x:v>
      </x:c>
      <x:c r="AJ167" s="36" t="str">
        <x:v>Package manifests, checksums, build records, handoffs y archivos históricos</x:v>
      </x:c>
      <x:c r="AK167" s="27" t="str">
        <x:v>OPEN</x:v>
      </x:c>
      <x:c r="AL167" s="27" t="str">
        <x:v>MONTHLY</x:v>
      </x:c>
      <x:c r="AM167" s="40" t="str">
        <x:v>2026-07-01</x:v>
      </x:c>
      <x:c r="AN167" s="40" t="str">
        <x:v>2026-07-31</x:v>
      </x:c>
      <x:c r="AO167" s="27" t="str">
        <x:v>UNVERIFIED</x:v>
      </x:c>
      <x:c r="AP167" s="36" t="str">
        <x:v>Riesgo de continuidad específico del activo. Objetivo RPO per candidate / RTO 8h.</x:v>
      </x:c>
      <x:c r="AQ167" s="27" t="n">
        <x:f>IF(OR(M167="CRITICAL",W167="CRITICAL",Y167="OUTSIDE TOLERANCE",AK167="ESCALATED",AK167="ACCEPTANCE REQUESTED"),1,0)</x:f>
        <x:v>1</x:v>
      </x:c>
    </x:row>
    <x:row r="168">
      <x:c r="A168" s="27" t="str">
        <x:v>R-BCP-014</x:v>
      </x:c>
      <x:c r="B168" s="36" t="str">
        <x:v>Business Continuity</x:v>
      </x:c>
      <x:c r="C168" s="36" t="str">
        <x:v>ACCESS</x:v>
      </x:c>
      <x:c r="D168" s="36" t="str">
        <x:v>Existe el riesgo de que ocurra lo siguiente: Build artifacts queda inaccesible durante más que RPO per candidate / RTO 8h.</x:v>
      </x:c>
      <x:c r="E168" s="36" t="str">
        <x:v>Last known good H6/RC builds</x:v>
      </x:c>
      <x:c r="F168" s="36" t="str">
        <x:v>All</x:v>
      </x:c>
      <x:c r="G168" s="36" t="str">
        <x:v>Fallo físico, humano, proveedor, credencial o proceso de copia.</x:v>
      </x:c>
      <x:c r="H168" s="36" t="str">
        <x:v>Build artifacts queda inaccesible durante más que RPO per candidate / RTO 8h</x:v>
      </x:c>
      <x:c r="I168" s="36" t="str">
        <x:v>Interrupción de Last known good H6/RC builds; posible incumplimiento del objetivo RPO per candidate / RTO 8h.</x:v>
      </x:c>
      <x:c r="J168" s="38" t="n">
        <x:v>3</x:v>
      </x:c>
      <x:c r="K168" s="38" t="n">
        <x:v>4</x:v>
      </x:c>
      <x:c r="L168" s="38" t="n">
        <x:f>J168*K168</x:f>
        <x:v>12</x:v>
      </x:c>
      <x:c r="M168" s="27" t="str">
        <x:f>IF(L168&gt;=20,"CRITICAL",IF(L168&gt;=12,"HIGH",IF(L168&gt;=6,"MEDIUM","LOW")))</x:f>
        <x:v>HIGH</x:v>
      </x:c>
      <x:c r="N168" s="27" t="str">
        <x:v>FAST</x:v>
      </x:c>
      <x:c r="O168" s="27" t="str">
        <x:v>HARD</x:v>
      </x:c>
      <x:c r="P168" s="36" t="str">
        <x:v>Hashed artifact archive</x:v>
      </x:c>
      <x:c r="Q168" s="27" t="str">
        <x:v>PLANNED</x:v>
      </x:c>
      <x:c r="R168" s="27" t="str">
        <x:v>MITIGATE</x:v>
      </x:c>
      <x:c r="S168" s="36" t="str">
        <x:v>Implementar copia redundante, prueba de restauración y propietario alternativo para Build artifacts.</x:v>
      </x:c>
      <x:c r="T168" s="38" t="n">
        <x:v>3</x:v>
      </x:c>
      <x:c r="U168" s="38" t="n">
        <x:v>4</x:v>
      </x:c>
      <x:c r="V168" s="38" t="n">
        <x:f>T168*U168</x:f>
        <x:v>12</x:v>
      </x:c>
      <x:c r="W168" s="27" t="str">
        <x:f>IF(V168&gt;=20,"CRITICAL",IF(V168&gt;=12,"HIGH",IF(V168&gt;=6,"MEDIUM","LOW")))</x:f>
        <x:v>HIGH</x:v>
      </x:c>
      <x:c r="X168" s="27" t="str">
        <x:v>LOW</x:v>
      </x:c>
      <x:c r="Y168" s="27" t="str">
        <x:f>IF(X168="ZERO",IF(V168=0,"WITHIN TOLERANCE","OUTSIDE TOLERANCE"),IF(X168="LOW",IF(V168&lt;=4,"WITHIN TOLERANCE","OUTSIDE TOLERANCE"),IF(X168="MODERATE",IF(V168&lt;=9,"WITHIN TOLERANCE","OUTSIDE TOLERANCE"),IF(X168="HIGH",IF(V168&lt;=16,"WITHIN TOLERANCE","OUTSIDE TOLERANCE"),"REVIEW"))))</x:f>
        <x:v>OUTSIDE TOLERANCE</x:v>
      </x:c>
      <x:c r="Z168" s="36" t="str">
        <x:v>Build</x:v>
      </x:c>
      <x:c r="AA168" s="36" t="str">
        <x:v>Project Owner</x:v>
      </x:c>
      <x:c r="AB168" s="36" t="str">
        <x:v>Activo no disponible, checksum inválido o prueba de restore vencida.</x:v>
      </x:c>
      <x:c r="AC168" s="36" t="str">
        <x:v>RPO per candidate / RTO 8h</x:v>
      </x:c>
      <x:c r="AD168" s="36" t="str">
        <x:v>Proteger evidencia/datos y pasar a hardware alternativo.</x:v>
      </x:c>
      <x:c r="AE168" s="36" t="str">
        <x:v>Restaurar Build artifacts desde la copia verificada más reciente; validar integridad y registrar pérdida de datos.</x:v>
      </x:c>
      <x:c r="AF168" s="27" t="str">
        <x:v>BIA-18</x:v>
      </x:c>
      <x:c r="AG168" s="27" t="str">
        <x:v>PB-18</x:v>
      </x:c>
      <x:c r="AH168" s="27" t="str">
        <x:v>TA-BCP-014</x:v>
      </x:c>
      <x:c r="AI168" s="36" t="str">
        <x:v>11, 13, 25, 27, 31, 32, 33, 34, 33</x:v>
      </x:c>
      <x:c r="AJ168" s="36" t="str">
        <x:v>Package manifests, checksums, build records, handoffs y archivos históricos</x:v>
      </x:c>
      <x:c r="AK168" s="27" t="str">
        <x:v>OPEN</x:v>
      </x:c>
      <x:c r="AL168" s="27" t="str">
        <x:v>MONTHLY</x:v>
      </x:c>
      <x:c r="AM168" s="40" t="str">
        <x:v>2026-07-01</x:v>
      </x:c>
      <x:c r="AN168" s="40" t="str">
        <x:v>2026-07-31</x:v>
      </x:c>
      <x:c r="AO168" s="27" t="str">
        <x:v>UNVERIFIED</x:v>
      </x:c>
      <x:c r="AP168" s="36" t="str">
        <x:v>Riesgo de continuidad específico del activo. Objetivo RPO per candidate / RTO 8h.</x:v>
      </x:c>
      <x:c r="AQ168" s="27" t="n">
        <x:f>IF(OR(M168="CRITICAL",W168="CRITICAL",Y168="OUTSIDE TOLERANCE",AK168="ESCALATED",AK168="ACCEPTANCE REQUESTED"),1,0)</x:f>
        <x:v>1</x:v>
      </x:c>
    </x:row>
    <x:row r="169">
      <x:c r="A169" s="27" t="str">
        <x:v>R-BCP-015</x:v>
      </x:c>
      <x:c r="B169" s="36" t="str">
        <x:v>Business Continuity</x:v>
      </x:c>
      <x:c r="C169" s="36" t="str">
        <x:v>LOSS</x:v>
      </x:c>
      <x:c r="D169" s="36" t="str">
        <x:v>Existe el riesgo de que ocurra lo siguiente: Save/recovery test corpus se pierde o queda corrupto.</x:v>
      </x:c>
      <x:c r="E169" s="36" t="str">
        <x:v>Golden saves, corrupt samples and migration cases</x:v>
      </x:c>
      <x:c r="F169" s="36" t="str">
        <x:v>All</x:v>
      </x:c>
      <x:c r="G169" s="36" t="str">
        <x:v>Fallo físico, humano, proveedor, credencial o proceso de copia.</x:v>
      </x:c>
      <x:c r="H169" s="36" t="str">
        <x:v>Save/recovery test corpus se pierde o queda corrupto</x:v>
      </x:c>
      <x:c r="I169" s="36" t="str">
        <x:v>Interrupción de Golden saves, corrupt samples and migration cases; posible incumplimiento del objetivo RPO per release / RTO 8h.</x:v>
      </x:c>
      <x:c r="J169" s="38" t="n">
        <x:v>3</x:v>
      </x:c>
      <x:c r="K169" s="38" t="n">
        <x:v>5</x:v>
      </x:c>
      <x:c r="L169" s="38" t="n">
        <x:f>J169*K169</x:f>
        <x:v>15</x:v>
      </x:c>
      <x:c r="M169" s="27" t="str">
        <x:f>IF(L169&gt;=20,"CRITICAL",IF(L169&gt;=12,"HIGH",IF(L169&gt;=6,"MEDIUM","LOW")))</x:f>
        <x:v>HIGH</x:v>
      </x:c>
      <x:c r="N169" s="27" t="str">
        <x:v>FAST</x:v>
      </x:c>
      <x:c r="O169" s="27" t="str">
        <x:v>HARD</x:v>
      </x:c>
      <x:c r="P169" s="36" t="str">
        <x:v>Versioned protected test corpus</x:v>
      </x:c>
      <x:c r="Q169" s="27" t="str">
        <x:v>PLANNED</x:v>
      </x:c>
      <x:c r="R169" s="27" t="str">
        <x:v>MITIGATE</x:v>
      </x:c>
      <x:c r="S169" s="36" t="str">
        <x:v>Implementar copia redundante, prueba de restauración y propietario alternativo para Save/recovery test corpus.</x:v>
      </x:c>
      <x:c r="T169" s="38" t="n">
        <x:v>3</x:v>
      </x:c>
      <x:c r="U169" s="38" t="n">
        <x:v>5</x:v>
      </x:c>
      <x:c r="V169" s="38" t="n">
        <x:f>T169*U169</x:f>
        <x:v>15</x:v>
      </x:c>
      <x:c r="W169" s="27" t="str">
        <x:f>IF(V169&gt;=20,"CRITICAL",IF(V169&gt;=12,"HIGH",IF(V169&gt;=6,"MEDIUM","LOW")))</x:f>
        <x:v>HIGH</x:v>
      </x:c>
      <x:c r="X169" s="27" t="str">
        <x:v>LOW</x:v>
      </x:c>
      <x:c r="Y169" s="27" t="str">
        <x:f>IF(X169="ZERO",IF(V169=0,"WITHIN TOLERANCE","OUTSIDE TOLERANCE"),IF(X169="LOW",IF(V169&lt;=4,"WITHIN TOLERANCE","OUTSIDE TOLERANCE"),IF(X169="MODERATE",IF(V169&lt;=9,"WITHIN TOLERANCE","OUTSIDE TOLERANCE"),IF(X169="HIGH",IF(V169&lt;=16,"WITHIN TOLERANCE","OUTSIDE TOLERANCE"),"REVIEW"))))</x:f>
        <x:v>OUTSIDE TOLERANCE</x:v>
      </x:c>
      <x:c r="Z169" s="36" t="str">
        <x:v>QA/Data</x:v>
      </x:c>
      <x:c r="AA169" s="36" t="str">
        <x:v>Project Owner</x:v>
      </x:c>
      <x:c r="AB169" s="36" t="str">
        <x:v>Activo no disponible, checksum inválido o prueba de restore vencida.</x:v>
      </x:c>
      <x:c r="AC169" s="36" t="str">
        <x:v>RPO per release / RTO 8h</x:v>
      </x:c>
      <x:c r="AD169" s="36" t="str">
        <x:v>Proteger evidencia/datos y pasar a hardware alternativo.</x:v>
      </x:c>
      <x:c r="AE169" s="36" t="str">
        <x:v>Restaurar Save/recovery test corpus desde la copia verificada más reciente; validar integridad y registrar pérdida de datos.</x:v>
      </x:c>
      <x:c r="AF169" s="27" t="str">
        <x:v>BIA-18</x:v>
      </x:c>
      <x:c r="AG169" s="27" t="str">
        <x:v>PB-18</x:v>
      </x:c>
      <x:c r="AH169" s="27" t="str">
        <x:v>TA-BCP-015</x:v>
      </x:c>
      <x:c r="AI169" s="36" t="str">
        <x:v>11, 13, 25, 27, 31, 32, 33, 34, 33</x:v>
      </x:c>
      <x:c r="AJ169" s="36" t="str">
        <x:v>Package manifests, checksums, build records, handoffs y archivos históricos</x:v>
      </x:c>
      <x:c r="AK169" s="27" t="str">
        <x:v>OPEN</x:v>
      </x:c>
      <x:c r="AL169" s="27" t="str">
        <x:v>MONTHLY</x:v>
      </x:c>
      <x:c r="AM169" s="40" t="str">
        <x:v>2026-07-01</x:v>
      </x:c>
      <x:c r="AN169" s="40" t="str">
        <x:v>2026-07-31</x:v>
      </x:c>
      <x:c r="AO169" s="27" t="str">
        <x:v>UNVERIFIED</x:v>
      </x:c>
      <x:c r="AP169" s="36" t="str">
        <x:v>Riesgo de continuidad específico del activo. Objetivo RPO per release / RTO 8h.</x:v>
      </x:c>
      <x:c r="AQ169" s="27" t="n">
        <x:f>IF(OR(M169="CRITICAL",W169="CRITICAL",Y169="OUTSIDE TOLERANCE",AK169="ESCALATED",AK169="ACCEPTANCE REQUESTED"),1,0)</x:f>
        <x:v>1</x:v>
      </x:c>
    </x:row>
    <x:row r="170">
      <x:c r="A170" s="27" t="str">
        <x:v>R-BCP-016</x:v>
      </x:c>
      <x:c r="B170" s="36" t="str">
        <x:v>Business Continuity</x:v>
      </x:c>
      <x:c r="C170" s="36" t="str">
        <x:v>ACCESS</x:v>
      </x:c>
      <x:c r="D170" s="36" t="str">
        <x:v>Existe el riesgo de que ocurra lo siguiente: Save/recovery test corpus queda inaccesible durante más que RPO per release / RTO 8h.</x:v>
      </x:c>
      <x:c r="E170" s="36" t="str">
        <x:v>Golden saves, corrupt samples and migration cases</x:v>
      </x:c>
      <x:c r="F170" s="36" t="str">
        <x:v>All</x:v>
      </x:c>
      <x:c r="G170" s="36" t="str">
        <x:v>Fallo físico, humano, proveedor, credencial o proceso de copia.</x:v>
      </x:c>
      <x:c r="H170" s="36" t="str">
        <x:v>Save/recovery test corpus queda inaccesible durante más que RPO per release / RTO 8h</x:v>
      </x:c>
      <x:c r="I170" s="36" t="str">
        <x:v>Interrupción de Golden saves, corrupt samples and migration cases; posible incumplimiento del objetivo RPO per release / RTO 8h.</x:v>
      </x:c>
      <x:c r="J170" s="38" t="n">
        <x:v>3</x:v>
      </x:c>
      <x:c r="K170" s="38" t="n">
        <x:v>4</x:v>
      </x:c>
      <x:c r="L170" s="38" t="n">
        <x:f>J170*K170</x:f>
        <x:v>12</x:v>
      </x:c>
      <x:c r="M170" s="27" t="str">
        <x:f>IF(L170&gt;=20,"CRITICAL",IF(L170&gt;=12,"HIGH",IF(L170&gt;=6,"MEDIUM","LOW")))</x:f>
        <x:v>HIGH</x:v>
      </x:c>
      <x:c r="N170" s="27" t="str">
        <x:v>FAST</x:v>
      </x:c>
      <x:c r="O170" s="27" t="str">
        <x:v>HARD</x:v>
      </x:c>
      <x:c r="P170" s="36" t="str">
        <x:v>Versioned protected test corpus</x:v>
      </x:c>
      <x:c r="Q170" s="27" t="str">
        <x:v>PLANNED</x:v>
      </x:c>
      <x:c r="R170" s="27" t="str">
        <x:v>MITIGATE</x:v>
      </x:c>
      <x:c r="S170" s="36" t="str">
        <x:v>Implementar copia redundante, prueba de restauración y propietario alternativo para Save/recovery test corpus.</x:v>
      </x:c>
      <x:c r="T170" s="38" t="n">
        <x:v>3</x:v>
      </x:c>
      <x:c r="U170" s="38" t="n">
        <x:v>4</x:v>
      </x:c>
      <x:c r="V170" s="38" t="n">
        <x:f>T170*U170</x:f>
        <x:v>12</x:v>
      </x:c>
      <x:c r="W170" s="27" t="str">
        <x:f>IF(V170&gt;=20,"CRITICAL",IF(V170&gt;=12,"HIGH",IF(V170&gt;=6,"MEDIUM","LOW")))</x:f>
        <x:v>HIGH</x:v>
      </x:c>
      <x:c r="X170" s="27" t="str">
        <x:v>LOW</x:v>
      </x:c>
      <x:c r="Y170" s="27" t="str">
        <x:f>IF(X170="ZERO",IF(V170=0,"WITHIN TOLERANCE","OUTSIDE TOLERANCE"),IF(X170="LOW",IF(V170&lt;=4,"WITHIN TOLERANCE","OUTSIDE TOLERANCE"),IF(X170="MODERATE",IF(V170&lt;=9,"WITHIN TOLERANCE","OUTSIDE TOLERANCE"),IF(X170="HIGH",IF(V170&lt;=16,"WITHIN TOLERANCE","OUTSIDE TOLERANCE"),"REVIEW"))))</x:f>
        <x:v>OUTSIDE TOLERANCE</x:v>
      </x:c>
      <x:c r="Z170" s="36" t="str">
        <x:v>QA/Data</x:v>
      </x:c>
      <x:c r="AA170" s="36" t="str">
        <x:v>Project Owner</x:v>
      </x:c>
      <x:c r="AB170" s="36" t="str">
        <x:v>Activo no disponible, checksum inválido o prueba de restore vencida.</x:v>
      </x:c>
      <x:c r="AC170" s="36" t="str">
        <x:v>RPO per release / RTO 8h</x:v>
      </x:c>
      <x:c r="AD170" s="36" t="str">
        <x:v>Proteger evidencia/datos y pasar a hardware alternativo.</x:v>
      </x:c>
      <x:c r="AE170" s="36" t="str">
        <x:v>Restaurar Save/recovery test corpus desde la copia verificada más reciente; validar integridad y registrar pérdida de datos.</x:v>
      </x:c>
      <x:c r="AF170" s="27" t="str">
        <x:v>BIA-18</x:v>
      </x:c>
      <x:c r="AG170" s="27" t="str">
        <x:v>PB-18</x:v>
      </x:c>
      <x:c r="AH170" s="27" t="str">
        <x:v>TA-BCP-016</x:v>
      </x:c>
      <x:c r="AI170" s="36" t="str">
        <x:v>11, 13, 25, 27, 31, 32, 33, 34, 33</x:v>
      </x:c>
      <x:c r="AJ170" s="36" t="str">
        <x:v>Package manifests, checksums, build records, handoffs y archivos históricos</x:v>
      </x:c>
      <x:c r="AK170" s="27" t="str">
        <x:v>OPEN</x:v>
      </x:c>
      <x:c r="AL170" s="27" t="str">
        <x:v>MONTHLY</x:v>
      </x:c>
      <x:c r="AM170" s="40" t="str">
        <x:v>2026-07-01</x:v>
      </x:c>
      <x:c r="AN170" s="40" t="str">
        <x:v>2026-07-31</x:v>
      </x:c>
      <x:c r="AO170" s="27" t="str">
        <x:v>UNVERIFIED</x:v>
      </x:c>
      <x:c r="AP170" s="36" t="str">
        <x:v>Riesgo de continuidad específico del activo. Objetivo RPO per release / RTO 8h.</x:v>
      </x:c>
      <x:c r="AQ170" s="27" t="n">
        <x:f>IF(OR(M170="CRITICAL",W170="CRITICAL",Y170="OUTSIDE TOLERANCE",AK170="ESCALATED",AK170="ACCEPTANCE REQUESTED"),1,0)</x:f>
        <x:v>1</x:v>
      </x:c>
    </x:row>
    <x:row r="171">
      <x:c r="A171" s="27" t="str">
        <x:v>R-BCP-017</x:v>
      </x:c>
      <x:c r="B171" s="36" t="str">
        <x:v>Business Continuity</x:v>
      </x:c>
      <x:c r="C171" s="36" t="str">
        <x:v>LOSS</x:v>
      </x:c>
      <x:c r="D171" s="36" t="str">
        <x:v>Existe el riesgo de que ocurra lo siguiente: Steamworks configuration se pierde o queda corrupto.</x:v>
      </x:c>
      <x:c r="E171" s="36" t="str">
        <x:v>App, depots, branches and store metadata</x:v>
      </x:c>
      <x:c r="F171" s="36" t="str">
        <x:v>All</x:v>
      </x:c>
      <x:c r="G171" s="36" t="str">
        <x:v>Fallo físico, humano, proveedor, credencial o proceso de copia.</x:v>
      </x:c>
      <x:c r="H171" s="36" t="str">
        <x:v>Steamworks configuration se pierde o queda corrupto</x:v>
      </x:c>
      <x:c r="I171" s="36" t="str">
        <x:v>Interrupción de App, depots, branches and store metadata; posible incumplimiento del objetivo RPO 24h / RTO 24h.</x:v>
      </x:c>
      <x:c r="J171" s="38" t="n">
        <x:v>3</x:v>
      </x:c>
      <x:c r="K171" s="38" t="n">
        <x:v>5</x:v>
      </x:c>
      <x:c r="L171" s="38" t="n">
        <x:f>J171*K171</x:f>
        <x:v>15</x:v>
      </x:c>
      <x:c r="M171" s="27" t="str">
        <x:f>IF(L171&gt;=20,"CRITICAL",IF(L171&gt;=12,"HIGH",IF(L171&gt;=6,"MEDIUM","LOW")))</x:f>
        <x:v>HIGH</x:v>
      </x:c>
      <x:c r="N171" s="27" t="str">
        <x:v>FAST</x:v>
      </x:c>
      <x:c r="O171" s="27" t="str">
        <x:v>HARD</x:v>
      </x:c>
      <x:c r="P171" s="36" t="str">
        <x:v>Export/screenshots and role redundancy</x:v>
      </x:c>
      <x:c r="Q171" s="27" t="str">
        <x:v>PLANNED</x:v>
      </x:c>
      <x:c r="R171" s="27" t="str">
        <x:v>MITIGATE</x:v>
      </x:c>
      <x:c r="S171" s="36" t="str">
        <x:v>Implementar copia redundante, prueba de restauración y propietario alternativo para Steamworks configuration.</x:v>
      </x:c>
      <x:c r="T171" s="38" t="n">
        <x:v>3</x:v>
      </x:c>
      <x:c r="U171" s="38" t="n">
        <x:v>5</x:v>
      </x:c>
      <x:c r="V171" s="38" t="n">
        <x:f>T171*U171</x:f>
        <x:v>15</x:v>
      </x:c>
      <x:c r="W171" s="27" t="str">
        <x:f>IF(V171&gt;=20,"CRITICAL",IF(V171&gt;=12,"HIGH",IF(V171&gt;=6,"MEDIUM","LOW")))</x:f>
        <x:v>HIGH</x:v>
      </x:c>
      <x:c r="X171" s="27" t="str">
        <x:v>LOW</x:v>
      </x:c>
      <x:c r="Y171" s="27" t="str">
        <x:f>IF(X171="ZERO",IF(V171=0,"WITHIN TOLERANCE","OUTSIDE TOLERANCE"),IF(X171="LOW",IF(V171&lt;=4,"WITHIN TOLERANCE","OUTSIDE TOLERANCE"),IF(X171="MODERATE",IF(V171&lt;=9,"WITHIN TOLERANCE","OUTSIDE TOLERANCE"),IF(X171="HIGH",IF(V171&lt;=16,"WITHIN TOLERANCE","OUTSIDE TOLERANCE"),"REVIEW"))))</x:f>
        <x:v>OUTSIDE TOLERANCE</x:v>
      </x:c>
      <x:c r="Z171" s="36" t="str">
        <x:v>Publishing</x:v>
      </x:c>
      <x:c r="AA171" s="36" t="str">
        <x:v>Project Owner</x:v>
      </x:c>
      <x:c r="AB171" s="36" t="str">
        <x:v>Activo no disponible, checksum inválido o prueba de restore vencida.</x:v>
      </x:c>
      <x:c r="AC171" s="36" t="str">
        <x:v>RPO 24h / RTO 24h</x:v>
      </x:c>
      <x:c r="AD171" s="36" t="str">
        <x:v>Proteger evidencia/datos y pasar a hardware alternativo.</x:v>
      </x:c>
      <x:c r="AE171" s="36" t="str">
        <x:v>Restaurar Steamworks configuration desde la copia verificada más reciente; validar integridad y registrar pérdida de datos.</x:v>
      </x:c>
      <x:c r="AF171" s="27" t="str">
        <x:v>BIA-18</x:v>
      </x:c>
      <x:c r="AG171" s="27" t="str">
        <x:v>PB-18</x:v>
      </x:c>
      <x:c r="AH171" s="27" t="str">
        <x:v>TA-BCP-017</x:v>
      </x:c>
      <x:c r="AI171" s="36" t="str">
        <x:v>11, 13, 25, 27, 31, 32, 33, 34, 33</x:v>
      </x:c>
      <x:c r="AJ171" s="36" t="str">
        <x:v>Package manifests, checksums, build records, handoffs y archivos históricos</x:v>
      </x:c>
      <x:c r="AK171" s="27" t="str">
        <x:v>OPEN</x:v>
      </x:c>
      <x:c r="AL171" s="27" t="str">
        <x:v>MONTHLY</x:v>
      </x:c>
      <x:c r="AM171" s="40" t="str">
        <x:v>2026-07-01</x:v>
      </x:c>
      <x:c r="AN171" s="40" t="str">
        <x:v>2026-07-31</x:v>
      </x:c>
      <x:c r="AO171" s="27" t="str">
        <x:v>UNVERIFIED</x:v>
      </x:c>
      <x:c r="AP171" s="36" t="str">
        <x:v>Riesgo de continuidad específico del activo. Objetivo RPO 24h / RTO 24h.</x:v>
      </x:c>
      <x:c r="AQ171" s="27" t="n">
        <x:f>IF(OR(M171="CRITICAL",W171="CRITICAL",Y171="OUTSIDE TOLERANCE",AK171="ESCALATED",AK171="ACCEPTANCE REQUESTED"),1,0)</x:f>
        <x:v>1</x:v>
      </x:c>
    </x:row>
    <x:row r="172">
      <x:c r="A172" s="27" t="str">
        <x:v>R-BCP-018</x:v>
      </x:c>
      <x:c r="B172" s="36" t="str">
        <x:v>Business Continuity</x:v>
      </x:c>
      <x:c r="C172" s="36" t="str">
        <x:v>ACCESS</x:v>
      </x:c>
      <x:c r="D172" s="36" t="str">
        <x:v>Existe el riesgo de que ocurra lo siguiente: Steamworks configuration queda inaccesible durante más que RPO 24h / RTO 24h.</x:v>
      </x:c>
      <x:c r="E172" s="36" t="str">
        <x:v>App, depots, branches and store metadata</x:v>
      </x:c>
      <x:c r="F172" s="36" t="str">
        <x:v>All</x:v>
      </x:c>
      <x:c r="G172" s="36" t="str">
        <x:v>Fallo físico, humano, proveedor, credencial o proceso de copia.</x:v>
      </x:c>
      <x:c r="H172" s="36" t="str">
        <x:v>Steamworks configuration queda inaccesible durante más que RPO 24h / RTO 24h</x:v>
      </x:c>
      <x:c r="I172" s="36" t="str">
        <x:v>Interrupción de App, depots, branches and store metadata; posible incumplimiento del objetivo RPO 24h / RTO 24h.</x:v>
      </x:c>
      <x:c r="J172" s="38" t="n">
        <x:v>3</x:v>
      </x:c>
      <x:c r="K172" s="38" t="n">
        <x:v>4</x:v>
      </x:c>
      <x:c r="L172" s="38" t="n">
        <x:f>J172*K172</x:f>
        <x:v>12</x:v>
      </x:c>
      <x:c r="M172" s="27" t="str">
        <x:f>IF(L172&gt;=20,"CRITICAL",IF(L172&gt;=12,"HIGH",IF(L172&gt;=6,"MEDIUM","LOW")))</x:f>
        <x:v>HIGH</x:v>
      </x:c>
      <x:c r="N172" s="27" t="str">
        <x:v>FAST</x:v>
      </x:c>
      <x:c r="O172" s="27" t="str">
        <x:v>HARD</x:v>
      </x:c>
      <x:c r="P172" s="36" t="str">
        <x:v>Export/screenshots and role redundancy</x:v>
      </x:c>
      <x:c r="Q172" s="27" t="str">
        <x:v>PLANNED</x:v>
      </x:c>
      <x:c r="R172" s="27" t="str">
        <x:v>MITIGATE</x:v>
      </x:c>
      <x:c r="S172" s="36" t="str">
        <x:v>Implementar copia redundante, prueba de restauración y propietario alternativo para Steamworks configuration.</x:v>
      </x:c>
      <x:c r="T172" s="38" t="n">
        <x:v>3</x:v>
      </x:c>
      <x:c r="U172" s="38" t="n">
        <x:v>4</x:v>
      </x:c>
      <x:c r="V172" s="38" t="n">
        <x:f>T172*U172</x:f>
        <x:v>12</x:v>
      </x:c>
      <x:c r="W172" s="27" t="str">
        <x:f>IF(V172&gt;=20,"CRITICAL",IF(V172&gt;=12,"HIGH",IF(V172&gt;=6,"MEDIUM","LOW")))</x:f>
        <x:v>HIGH</x:v>
      </x:c>
      <x:c r="X172" s="27" t="str">
        <x:v>LOW</x:v>
      </x:c>
      <x:c r="Y172" s="27" t="str">
        <x:f>IF(X172="ZERO",IF(V172=0,"WITHIN TOLERANCE","OUTSIDE TOLERANCE"),IF(X172="LOW",IF(V172&lt;=4,"WITHIN TOLERANCE","OUTSIDE TOLERANCE"),IF(X172="MODERATE",IF(V172&lt;=9,"WITHIN TOLERANCE","OUTSIDE TOLERANCE"),IF(X172="HIGH",IF(V172&lt;=16,"WITHIN TOLERANCE","OUTSIDE TOLERANCE"),"REVIEW"))))</x:f>
        <x:v>OUTSIDE TOLERANCE</x:v>
      </x:c>
      <x:c r="Z172" s="36" t="str">
        <x:v>Publishing</x:v>
      </x:c>
      <x:c r="AA172" s="36" t="str">
        <x:v>Project Owner</x:v>
      </x:c>
      <x:c r="AB172" s="36" t="str">
        <x:v>Activo no disponible, checksum inválido o prueba de restore vencida.</x:v>
      </x:c>
      <x:c r="AC172" s="36" t="str">
        <x:v>RPO 24h / RTO 24h</x:v>
      </x:c>
      <x:c r="AD172" s="36" t="str">
        <x:v>Proteger evidencia/datos y pasar a hardware alternativo.</x:v>
      </x:c>
      <x:c r="AE172" s="36" t="str">
        <x:v>Restaurar Steamworks configuration desde la copia verificada más reciente; validar integridad y registrar pérdida de datos.</x:v>
      </x:c>
      <x:c r="AF172" s="27" t="str">
        <x:v>BIA-18</x:v>
      </x:c>
      <x:c r="AG172" s="27" t="str">
        <x:v>PB-18</x:v>
      </x:c>
      <x:c r="AH172" s="27" t="str">
        <x:v>TA-BCP-018</x:v>
      </x:c>
      <x:c r="AI172" s="36" t="str">
        <x:v>11, 13, 25, 27, 31, 32, 33, 34, 33</x:v>
      </x:c>
      <x:c r="AJ172" s="36" t="str">
        <x:v>Package manifests, checksums, build records, handoffs y archivos históricos</x:v>
      </x:c>
      <x:c r="AK172" s="27" t="str">
        <x:v>OPEN</x:v>
      </x:c>
      <x:c r="AL172" s="27" t="str">
        <x:v>MONTHLY</x:v>
      </x:c>
      <x:c r="AM172" s="40" t="str">
        <x:v>2026-07-01</x:v>
      </x:c>
      <x:c r="AN172" s="40" t="str">
        <x:v>2026-07-31</x:v>
      </x:c>
      <x:c r="AO172" s="27" t="str">
        <x:v>UNVERIFIED</x:v>
      </x:c>
      <x:c r="AP172" s="36" t="str">
        <x:v>Riesgo de continuidad específico del activo. Objetivo RPO 24h / RTO 24h.</x:v>
      </x:c>
      <x:c r="AQ172" s="27" t="n">
        <x:f>IF(OR(M172="CRITICAL",W172="CRITICAL",Y172="OUTSIDE TOLERANCE",AK172="ESCALATED",AK172="ACCEPTANCE REQUESTED"),1,0)</x:f>
        <x:v>1</x:v>
      </x:c>
    </x:row>
    <x:row r="173">
      <x:c r="A173" s="27" t="str">
        <x:v>R-BCP-019</x:v>
      </x:c>
      <x:c r="B173" s="36" t="str">
        <x:v>Business Continuity</x:v>
      </x:c>
      <x:c r="C173" s="36" t="str">
        <x:v>LOSS</x:v>
      </x:c>
      <x:c r="D173" s="36" t="str">
        <x:v>Existe el riesgo de que ocurra lo siguiente: Domains, email and social identities se pierde o queda corrupto.</x:v>
      </x:c>
      <x:c r="E173" s="36" t="str">
        <x:v>Public identity and account recovery</x:v>
      </x:c>
      <x:c r="F173" s="36" t="str">
        <x:v>All</x:v>
      </x:c>
      <x:c r="G173" s="36" t="str">
        <x:v>Fallo físico, humano, proveedor, credencial o proceso de copia.</x:v>
      </x:c>
      <x:c r="H173" s="36" t="str">
        <x:v>Domains, email and social identities se pierde o queda corrupto</x:v>
      </x:c>
      <x:c r="I173" s="36" t="str">
        <x:v>Interrupción de Public identity and account recovery; posible incumplimiento del objetivo RPO 24h / RTO 8h.</x:v>
      </x:c>
      <x:c r="J173" s="38" t="n">
        <x:v>3</x:v>
      </x:c>
      <x:c r="K173" s="38" t="n">
        <x:v>5</x:v>
      </x:c>
      <x:c r="L173" s="38" t="n">
        <x:f>J173*K173</x:f>
        <x:v>15</x:v>
      </x:c>
      <x:c r="M173" s="27" t="str">
        <x:f>IF(L173&gt;=20,"CRITICAL",IF(L173&gt;=12,"HIGH",IF(L173&gt;=6,"MEDIUM","LOW")))</x:f>
        <x:v>HIGH</x:v>
      </x:c>
      <x:c r="N173" s="27" t="str">
        <x:v>FAST</x:v>
      </x:c>
      <x:c r="O173" s="27" t="str">
        <x:v>HARD</x:v>
      </x:c>
      <x:c r="P173" s="36" t="str">
        <x:v>Renewal, MFA and recovery codes</x:v>
      </x:c>
      <x:c r="Q173" s="27" t="str">
        <x:v>PLANNED</x:v>
      </x:c>
      <x:c r="R173" s="27" t="str">
        <x:v>MITIGATE</x:v>
      </x:c>
      <x:c r="S173" s="36" t="str">
        <x:v>Implementar copia redundante, prueba de restauración y propietario alternativo para Domains, email and social identities.</x:v>
      </x:c>
      <x:c r="T173" s="38" t="n">
        <x:v>3</x:v>
      </x:c>
      <x:c r="U173" s="38" t="n">
        <x:v>5</x:v>
      </x:c>
      <x:c r="V173" s="38" t="n">
        <x:f>T173*U173</x:f>
        <x:v>15</x:v>
      </x:c>
      <x:c r="W173" s="27" t="str">
        <x:f>IF(V173&gt;=20,"CRITICAL",IF(V173&gt;=12,"HIGH",IF(V173&gt;=6,"MEDIUM","LOW")))</x:f>
        <x:v>HIGH</x:v>
      </x:c>
      <x:c r="X173" s="27" t="str">
        <x:v>LOW</x:v>
      </x:c>
      <x:c r="Y173" s="27" t="str">
        <x:f>IF(X173="ZERO",IF(V173=0,"WITHIN TOLERANCE","OUTSIDE TOLERANCE"),IF(X173="LOW",IF(V173&lt;=4,"WITHIN TOLERANCE","OUTSIDE TOLERANCE"),IF(X173="MODERATE",IF(V173&lt;=9,"WITHIN TOLERANCE","OUTSIDE TOLERANCE"),IF(X173="HIGH",IF(V173&lt;=16,"WITHIN TOLERANCE","OUTSIDE TOLERANCE"),"REVIEW"))))</x:f>
        <x:v>OUTSIDE TOLERANCE</x:v>
      </x:c>
      <x:c r="Z173" s="36" t="str">
        <x:v>Marketing</x:v>
      </x:c>
      <x:c r="AA173" s="36" t="str">
        <x:v>Project Owner</x:v>
      </x:c>
      <x:c r="AB173" s="36" t="str">
        <x:v>Activo no disponible, checksum inválido o prueba de restore vencida.</x:v>
      </x:c>
      <x:c r="AC173" s="36" t="str">
        <x:v>RPO 24h / RTO 8h</x:v>
      </x:c>
      <x:c r="AD173" s="36" t="str">
        <x:v>Proteger evidencia/datos y pasar a hardware alternativo.</x:v>
      </x:c>
      <x:c r="AE173" s="36" t="str">
        <x:v>Restaurar Domains, email and social identities desde la copia verificada más reciente; validar integridad y registrar pérdida de datos.</x:v>
      </x:c>
      <x:c r="AF173" s="27" t="str">
        <x:v>BIA-18</x:v>
      </x:c>
      <x:c r="AG173" s="27" t="str">
        <x:v>PB-18</x:v>
      </x:c>
      <x:c r="AH173" s="27" t="str">
        <x:v>TA-BCP-019</x:v>
      </x:c>
      <x:c r="AI173" s="36" t="str">
        <x:v>11, 13, 25, 27, 31, 32, 33, 34, 33</x:v>
      </x:c>
      <x:c r="AJ173" s="36" t="str">
        <x:v>Package manifests, checksums, build records, handoffs y archivos históricos</x:v>
      </x:c>
      <x:c r="AK173" s="27" t="str">
        <x:v>OPEN</x:v>
      </x:c>
      <x:c r="AL173" s="27" t="str">
        <x:v>MONTHLY</x:v>
      </x:c>
      <x:c r="AM173" s="40" t="str">
        <x:v>2026-07-01</x:v>
      </x:c>
      <x:c r="AN173" s="40" t="str">
        <x:v>2026-07-31</x:v>
      </x:c>
      <x:c r="AO173" s="27" t="str">
        <x:v>UNVERIFIED</x:v>
      </x:c>
      <x:c r="AP173" s="36" t="str">
        <x:v>Riesgo de continuidad específico del activo. Objetivo RPO 24h / RTO 8h.</x:v>
      </x:c>
      <x:c r="AQ173" s="27" t="n">
        <x:f>IF(OR(M173="CRITICAL",W173="CRITICAL",Y173="OUTSIDE TOLERANCE",AK173="ESCALATED",AK173="ACCEPTANCE REQUESTED"),1,0)</x:f>
        <x:v>1</x:v>
      </x:c>
    </x:row>
    <x:row r="174">
      <x:c r="A174" s="27" t="str">
        <x:v>R-BCP-020</x:v>
      </x:c>
      <x:c r="B174" s="36" t="str">
        <x:v>Business Continuity</x:v>
      </x:c>
      <x:c r="C174" s="36" t="str">
        <x:v>ACCESS</x:v>
      </x:c>
      <x:c r="D174" s="36" t="str">
        <x:v>Existe el riesgo de que ocurra lo siguiente: Domains, email and social identities queda inaccesible durante más que RPO 24h / RTO 8h.</x:v>
      </x:c>
      <x:c r="E174" s="36" t="str">
        <x:v>Public identity and account recovery</x:v>
      </x:c>
      <x:c r="F174" s="36" t="str">
        <x:v>All</x:v>
      </x:c>
      <x:c r="G174" s="36" t="str">
        <x:v>Fallo físico, humano, proveedor, credencial o proceso de copia.</x:v>
      </x:c>
      <x:c r="H174" s="36" t="str">
        <x:v>Domains, email and social identities queda inaccesible durante más que RPO 24h / RTO 8h</x:v>
      </x:c>
      <x:c r="I174" s="36" t="str">
        <x:v>Interrupción de Public identity and account recovery; posible incumplimiento del objetivo RPO 24h / RTO 8h.</x:v>
      </x:c>
      <x:c r="J174" s="38" t="n">
        <x:v>3</x:v>
      </x:c>
      <x:c r="K174" s="38" t="n">
        <x:v>4</x:v>
      </x:c>
      <x:c r="L174" s="38" t="n">
        <x:f>J174*K174</x:f>
        <x:v>12</x:v>
      </x:c>
      <x:c r="M174" s="27" t="str">
        <x:f>IF(L174&gt;=20,"CRITICAL",IF(L174&gt;=12,"HIGH",IF(L174&gt;=6,"MEDIUM","LOW")))</x:f>
        <x:v>HIGH</x:v>
      </x:c>
      <x:c r="N174" s="27" t="str">
        <x:v>FAST</x:v>
      </x:c>
      <x:c r="O174" s="27" t="str">
        <x:v>HARD</x:v>
      </x:c>
      <x:c r="P174" s="36" t="str">
        <x:v>Renewal, MFA and recovery codes</x:v>
      </x:c>
      <x:c r="Q174" s="27" t="str">
        <x:v>PLANNED</x:v>
      </x:c>
      <x:c r="R174" s="27" t="str">
        <x:v>MITIGATE</x:v>
      </x:c>
      <x:c r="S174" s="36" t="str">
        <x:v>Implementar copia redundante, prueba de restauración y propietario alternativo para Domains, email and social identities.</x:v>
      </x:c>
      <x:c r="T174" s="38" t="n">
        <x:v>3</x:v>
      </x:c>
      <x:c r="U174" s="38" t="n">
        <x:v>4</x:v>
      </x:c>
      <x:c r="V174" s="38" t="n">
        <x:f>T174*U174</x:f>
        <x:v>12</x:v>
      </x:c>
      <x:c r="W174" s="27" t="str">
        <x:f>IF(V174&gt;=20,"CRITICAL",IF(V174&gt;=12,"HIGH",IF(V174&gt;=6,"MEDIUM","LOW")))</x:f>
        <x:v>HIGH</x:v>
      </x:c>
      <x:c r="X174" s="27" t="str">
        <x:v>LOW</x:v>
      </x:c>
      <x:c r="Y174" s="27" t="str">
        <x:f>IF(X174="ZERO",IF(V174=0,"WITHIN TOLERANCE","OUTSIDE TOLERANCE"),IF(X174="LOW",IF(V174&lt;=4,"WITHIN TOLERANCE","OUTSIDE TOLERANCE"),IF(X174="MODERATE",IF(V174&lt;=9,"WITHIN TOLERANCE","OUTSIDE TOLERANCE"),IF(X174="HIGH",IF(V174&lt;=16,"WITHIN TOLERANCE","OUTSIDE TOLERANCE"),"REVIEW"))))</x:f>
        <x:v>OUTSIDE TOLERANCE</x:v>
      </x:c>
      <x:c r="Z174" s="36" t="str">
        <x:v>Marketing</x:v>
      </x:c>
      <x:c r="AA174" s="36" t="str">
        <x:v>Project Owner</x:v>
      </x:c>
      <x:c r="AB174" s="36" t="str">
        <x:v>Activo no disponible, checksum inválido o prueba de restore vencida.</x:v>
      </x:c>
      <x:c r="AC174" s="36" t="str">
        <x:v>RPO 24h / RTO 8h</x:v>
      </x:c>
      <x:c r="AD174" s="36" t="str">
        <x:v>Proteger evidencia/datos y pasar a hardware alternativo.</x:v>
      </x:c>
      <x:c r="AE174" s="36" t="str">
        <x:v>Restaurar Domains, email and social identities desde la copia verificada más reciente; validar integridad y registrar pérdida de datos.</x:v>
      </x:c>
      <x:c r="AF174" s="27" t="str">
        <x:v>BIA-18</x:v>
      </x:c>
      <x:c r="AG174" s="27" t="str">
        <x:v>PB-18</x:v>
      </x:c>
      <x:c r="AH174" s="27" t="str">
        <x:v>TA-BCP-020</x:v>
      </x:c>
      <x:c r="AI174" s="36" t="str">
        <x:v>11, 13, 25, 27, 31, 32, 33, 34, 33</x:v>
      </x:c>
      <x:c r="AJ174" s="36" t="str">
        <x:v>Package manifests, checksums, build records, handoffs y archivos históricos</x:v>
      </x:c>
      <x:c r="AK174" s="27" t="str">
        <x:v>OPEN</x:v>
      </x:c>
      <x:c r="AL174" s="27" t="str">
        <x:v>MONTHLY</x:v>
      </x:c>
      <x:c r="AM174" s="40" t="str">
        <x:v>2026-07-01</x:v>
      </x:c>
      <x:c r="AN174" s="40" t="str">
        <x:v>2026-07-31</x:v>
      </x:c>
      <x:c r="AO174" s="27" t="str">
        <x:v>UNVERIFIED</x:v>
      </x:c>
      <x:c r="AP174" s="36" t="str">
        <x:v>Riesgo de continuidad específico del activo. Objetivo RPO 24h / RTO 8h.</x:v>
      </x:c>
      <x:c r="AQ174" s="27" t="n">
        <x:f>IF(OR(M174="CRITICAL",W174="CRITICAL",Y174="OUTSIDE TOLERANCE",AK174="ESCALATED",AK174="ACCEPTANCE REQUESTED"),1,0)</x:f>
        <x:v>1</x:v>
      </x:c>
    </x:row>
    <x:row r="175">
      <x:c r="A175" s="27" t="str">
        <x:v>R-BCP-021</x:v>
      </x:c>
      <x:c r="B175" s="36" t="str">
        <x:v>Business Continuity</x:v>
      </x:c>
      <x:c r="C175" s="36" t="str">
        <x:v>LOSS</x:v>
      </x:c>
      <x:c r="D175" s="36" t="str">
        <x:v>Existe el riesgo de que ocurra lo siguiente: Passwords and recovery codes se pierde o queda corrupto.</x:v>
      </x:c>
      <x:c r="E175" s="36" t="str">
        <x:v>Access to critical services</x:v>
      </x:c>
      <x:c r="F175" s="36" t="str">
        <x:v>All</x:v>
      </x:c>
      <x:c r="G175" s="36" t="str">
        <x:v>Fallo físico, humano, proveedor, credencial o proceso de copia.</x:v>
      </x:c>
      <x:c r="H175" s="36" t="str">
        <x:v>Passwords and recovery codes se pierde o queda corrupto</x:v>
      </x:c>
      <x:c r="I175" s="36" t="str">
        <x:v>Interrupción de Access to critical services; posible incumplimiento del objetivo RPO immediate / RTO 4h.</x:v>
      </x:c>
      <x:c r="J175" s="38" t="n">
        <x:v>3</x:v>
      </x:c>
      <x:c r="K175" s="38" t="n">
        <x:v>5</x:v>
      </x:c>
      <x:c r="L175" s="38" t="n">
        <x:f>J175*K175</x:f>
        <x:v>15</x:v>
      </x:c>
      <x:c r="M175" s="27" t="str">
        <x:f>IF(L175&gt;=20,"CRITICAL",IF(L175&gt;=12,"HIGH",IF(L175&gt;=6,"MEDIUM","LOW")))</x:f>
        <x:v>HIGH</x:v>
      </x:c>
      <x:c r="N175" s="27" t="str">
        <x:v>FAST</x:v>
      </x:c>
      <x:c r="O175" s="27" t="str">
        <x:v>HARD</x:v>
      </x:c>
      <x:c r="P175" s="36" t="str">
        <x:v>Encrypted password manager plus offline recovery</x:v>
      </x:c>
      <x:c r="Q175" s="27" t="str">
        <x:v>PLANNED</x:v>
      </x:c>
      <x:c r="R175" s="27" t="str">
        <x:v>MITIGATE</x:v>
      </x:c>
      <x:c r="S175" s="36" t="str">
        <x:v>Implementar copia redundante, prueba de restauración y propietario alternativo para Passwords and recovery codes.</x:v>
      </x:c>
      <x:c r="T175" s="38" t="n">
        <x:v>3</x:v>
      </x:c>
      <x:c r="U175" s="38" t="n">
        <x:v>5</x:v>
      </x:c>
      <x:c r="V175" s="38" t="n">
        <x:f>T175*U175</x:f>
        <x:v>15</x:v>
      </x:c>
      <x:c r="W175" s="27" t="str">
        <x:f>IF(V175&gt;=20,"CRITICAL",IF(V175&gt;=12,"HIGH",IF(V175&gt;=6,"MEDIUM","LOW")))</x:f>
        <x:v>HIGH</x:v>
      </x:c>
      <x:c r="X175" s="27" t="str">
        <x:v>LOW</x:v>
      </x:c>
      <x:c r="Y175" s="27" t="str">
        <x:f>IF(X175="ZERO",IF(V175=0,"WITHIN TOLERANCE","OUTSIDE TOLERANCE"),IF(X175="LOW",IF(V175&lt;=4,"WITHIN TOLERANCE","OUTSIDE TOLERANCE"),IF(X175="MODERATE",IF(V175&lt;=9,"WITHIN TOLERANCE","OUTSIDE TOLERANCE"),IF(X175="HIGH",IF(V175&lt;=16,"WITHIN TOLERANCE","OUTSIDE TOLERANCE"),"REVIEW"))))</x:f>
        <x:v>OUTSIDE TOLERANCE</x:v>
      </x:c>
      <x:c r="Z175" s="36" t="str">
        <x:v>Security</x:v>
      </x:c>
      <x:c r="AA175" s="36" t="str">
        <x:v>Project Owner</x:v>
      </x:c>
      <x:c r="AB175" s="36" t="str">
        <x:v>Activo no disponible, checksum inválido o prueba de restore vencida.</x:v>
      </x:c>
      <x:c r="AC175" s="36" t="str">
        <x:v>RPO immediate / RTO 4h</x:v>
      </x:c>
      <x:c r="AD175" s="36" t="str">
        <x:v>Proteger evidencia/datos y pasar a hardware alternativo.</x:v>
      </x:c>
      <x:c r="AE175" s="36" t="str">
        <x:v>Restaurar Passwords and recovery codes desde la copia verificada más reciente; validar integridad y registrar pérdida de datos.</x:v>
      </x:c>
      <x:c r="AF175" s="27" t="str">
        <x:v>BIA-18</x:v>
      </x:c>
      <x:c r="AG175" s="27" t="str">
        <x:v>PB-18</x:v>
      </x:c>
      <x:c r="AH175" s="27" t="str">
        <x:v>TA-BCP-021</x:v>
      </x:c>
      <x:c r="AI175" s="36" t="str">
        <x:v>11, 13, 25, 27, 31, 32, 33, 34, 33</x:v>
      </x:c>
      <x:c r="AJ175" s="36" t="str">
        <x:v>Package manifests, checksums, build records, handoffs y archivos históricos</x:v>
      </x:c>
      <x:c r="AK175" s="27" t="str">
        <x:v>OPEN</x:v>
      </x:c>
      <x:c r="AL175" s="27" t="str">
        <x:v>MONTHLY</x:v>
      </x:c>
      <x:c r="AM175" s="40" t="str">
        <x:v>2026-07-01</x:v>
      </x:c>
      <x:c r="AN175" s="40" t="str">
        <x:v>2026-07-31</x:v>
      </x:c>
      <x:c r="AO175" s="27" t="str">
        <x:v>UNVERIFIED</x:v>
      </x:c>
      <x:c r="AP175" s="36" t="str">
        <x:v>Riesgo de continuidad específico del activo. Objetivo RPO immediate / RTO 4h.</x:v>
      </x:c>
      <x:c r="AQ175" s="27" t="n">
        <x:f>IF(OR(M175="CRITICAL",W175="CRITICAL",Y175="OUTSIDE TOLERANCE",AK175="ESCALATED",AK175="ACCEPTANCE REQUESTED"),1,0)</x:f>
        <x:v>1</x:v>
      </x:c>
    </x:row>
    <x:row r="176">
      <x:c r="A176" s="27" t="str">
        <x:v>R-BCP-022</x:v>
      </x:c>
      <x:c r="B176" s="36" t="str">
        <x:v>Business Continuity</x:v>
      </x:c>
      <x:c r="C176" s="36" t="str">
        <x:v>ACCESS</x:v>
      </x:c>
      <x:c r="D176" s="36" t="str">
        <x:v>Existe el riesgo de que ocurra lo siguiente: Passwords and recovery codes queda inaccesible durante más que RPO immediate / RTO 4h.</x:v>
      </x:c>
      <x:c r="E176" s="36" t="str">
        <x:v>Access to critical services</x:v>
      </x:c>
      <x:c r="F176" s="36" t="str">
        <x:v>All</x:v>
      </x:c>
      <x:c r="G176" s="36" t="str">
        <x:v>Fallo físico, humano, proveedor, credencial o proceso de copia.</x:v>
      </x:c>
      <x:c r="H176" s="36" t="str">
        <x:v>Passwords and recovery codes queda inaccesible durante más que RPO immediate / RTO 4h</x:v>
      </x:c>
      <x:c r="I176" s="36" t="str">
        <x:v>Interrupción de Access to critical services; posible incumplimiento del objetivo RPO immediate / RTO 4h.</x:v>
      </x:c>
      <x:c r="J176" s="38" t="n">
        <x:v>3</x:v>
      </x:c>
      <x:c r="K176" s="38" t="n">
        <x:v>4</x:v>
      </x:c>
      <x:c r="L176" s="38" t="n">
        <x:f>J176*K176</x:f>
        <x:v>12</x:v>
      </x:c>
      <x:c r="M176" s="27" t="str">
        <x:f>IF(L176&gt;=20,"CRITICAL",IF(L176&gt;=12,"HIGH",IF(L176&gt;=6,"MEDIUM","LOW")))</x:f>
        <x:v>HIGH</x:v>
      </x:c>
      <x:c r="N176" s="27" t="str">
        <x:v>FAST</x:v>
      </x:c>
      <x:c r="O176" s="27" t="str">
        <x:v>HARD</x:v>
      </x:c>
      <x:c r="P176" s="36" t="str">
        <x:v>Encrypted password manager plus offline recovery</x:v>
      </x:c>
      <x:c r="Q176" s="27" t="str">
        <x:v>PLANNED</x:v>
      </x:c>
      <x:c r="R176" s="27" t="str">
        <x:v>MITIGATE</x:v>
      </x:c>
      <x:c r="S176" s="36" t="str">
        <x:v>Implementar copia redundante, prueba de restauración y propietario alternativo para Passwords and recovery codes.</x:v>
      </x:c>
      <x:c r="T176" s="38" t="n">
        <x:v>3</x:v>
      </x:c>
      <x:c r="U176" s="38" t="n">
        <x:v>4</x:v>
      </x:c>
      <x:c r="V176" s="38" t="n">
        <x:f>T176*U176</x:f>
        <x:v>12</x:v>
      </x:c>
      <x:c r="W176" s="27" t="str">
        <x:f>IF(V176&gt;=20,"CRITICAL",IF(V176&gt;=12,"HIGH",IF(V176&gt;=6,"MEDIUM","LOW")))</x:f>
        <x:v>HIGH</x:v>
      </x:c>
      <x:c r="X176" s="27" t="str">
        <x:v>LOW</x:v>
      </x:c>
      <x:c r="Y176" s="27" t="str">
        <x:f>IF(X176="ZERO",IF(V176=0,"WITHIN TOLERANCE","OUTSIDE TOLERANCE"),IF(X176="LOW",IF(V176&lt;=4,"WITHIN TOLERANCE","OUTSIDE TOLERANCE"),IF(X176="MODERATE",IF(V176&lt;=9,"WITHIN TOLERANCE","OUTSIDE TOLERANCE"),IF(X176="HIGH",IF(V176&lt;=16,"WITHIN TOLERANCE","OUTSIDE TOLERANCE"),"REVIEW"))))</x:f>
        <x:v>OUTSIDE TOLERANCE</x:v>
      </x:c>
      <x:c r="Z176" s="36" t="str">
        <x:v>Security</x:v>
      </x:c>
      <x:c r="AA176" s="36" t="str">
        <x:v>Project Owner</x:v>
      </x:c>
      <x:c r="AB176" s="36" t="str">
        <x:v>Activo no disponible, checksum inválido o prueba de restore vencida.</x:v>
      </x:c>
      <x:c r="AC176" s="36" t="str">
        <x:v>RPO immediate / RTO 4h</x:v>
      </x:c>
      <x:c r="AD176" s="36" t="str">
        <x:v>Proteger evidencia/datos y pasar a hardware alternativo.</x:v>
      </x:c>
      <x:c r="AE176" s="36" t="str">
        <x:v>Restaurar Passwords and recovery codes desde la copia verificada más reciente; validar integridad y registrar pérdida de datos.</x:v>
      </x:c>
      <x:c r="AF176" s="27" t="str">
        <x:v>BIA-18</x:v>
      </x:c>
      <x:c r="AG176" s="27" t="str">
        <x:v>PB-18</x:v>
      </x:c>
      <x:c r="AH176" s="27" t="str">
        <x:v>TA-BCP-022</x:v>
      </x:c>
      <x:c r="AI176" s="36" t="str">
        <x:v>11, 13, 25, 27, 31, 32, 33, 34, 33</x:v>
      </x:c>
      <x:c r="AJ176" s="36" t="str">
        <x:v>Package manifests, checksums, build records, handoffs y archivos históricos</x:v>
      </x:c>
      <x:c r="AK176" s="27" t="str">
        <x:v>OPEN</x:v>
      </x:c>
      <x:c r="AL176" s="27" t="str">
        <x:v>MONTHLY</x:v>
      </x:c>
      <x:c r="AM176" s="40" t="str">
        <x:v>2026-07-01</x:v>
      </x:c>
      <x:c r="AN176" s="40" t="str">
        <x:v>2026-07-31</x:v>
      </x:c>
      <x:c r="AO176" s="27" t="str">
        <x:v>UNVERIFIED</x:v>
      </x:c>
      <x:c r="AP176" s="36" t="str">
        <x:v>Riesgo de continuidad específico del activo. Objetivo RPO immediate / RTO 4h.</x:v>
      </x:c>
      <x:c r="AQ176" s="27" t="n">
        <x:f>IF(OR(M176="CRITICAL",W176="CRITICAL",Y176="OUTSIDE TOLERANCE",AK176="ESCALATED",AK176="ACCEPTANCE REQUESTED"),1,0)</x:f>
        <x:v>1</x:v>
      </x:c>
    </x:row>
    <x:row r="177">
      <x:c r="A177" s="27" t="str">
        <x:v>R-BCP-023</x:v>
      </x:c>
      <x:c r="B177" s="36" t="str">
        <x:v>Business Continuity</x:v>
      </x:c>
      <x:c r="C177" s="36" t="str">
        <x:v>LOSS</x:v>
      </x:c>
      <x:c r="D177" s="36" t="str">
        <x:v>Existe el riesgo de que ocurra lo siguiente: Legal and license evidence se pierde o queda corrupto.</x:v>
      </x:c>
      <x:c r="E177" s="36" t="str">
        <x:v>Rights to distribute assets and software</x:v>
      </x:c>
      <x:c r="F177" s="36" t="str">
        <x:v>All</x:v>
      </x:c>
      <x:c r="G177" s="36" t="str">
        <x:v>Fallo físico, humano, proveedor, credencial o proceso de copia.</x:v>
      </x:c>
      <x:c r="H177" s="36" t="str">
        <x:v>Legal and license evidence se pierde o queda corrupto</x:v>
      </x:c>
      <x:c r="I177" s="36" t="str">
        <x:v>Interrupción de Rights to distribute assets and software; posible incumplimiento del objetivo RPO per change / RTO 24h.</x:v>
      </x:c>
      <x:c r="J177" s="38" t="n">
        <x:v>3</x:v>
      </x:c>
      <x:c r="K177" s="38" t="n">
        <x:v>5</x:v>
      </x:c>
      <x:c r="L177" s="38" t="n">
        <x:f>J177*K177</x:f>
        <x:v>15</x:v>
      </x:c>
      <x:c r="M177" s="27" t="str">
        <x:f>IF(L177&gt;=20,"CRITICAL",IF(L177&gt;=12,"HIGH",IF(L177&gt;=6,"MEDIUM","LOW")))</x:f>
        <x:v>HIGH</x:v>
      </x:c>
      <x:c r="N177" s="27" t="str">
        <x:v>FAST</x:v>
      </x:c>
      <x:c r="O177" s="27" t="str">
        <x:v>HARD</x:v>
      </x:c>
      <x:c r="P177" s="36" t="str">
        <x:v>Signed/source records and redundant archive</x:v>
      </x:c>
      <x:c r="Q177" s="27" t="str">
        <x:v>PLANNED</x:v>
      </x:c>
      <x:c r="R177" s="27" t="str">
        <x:v>MITIGATE</x:v>
      </x:c>
      <x:c r="S177" s="36" t="str">
        <x:v>Implementar copia redundante, prueba de restauración y propietario alternativo para Legal and license evidence.</x:v>
      </x:c>
      <x:c r="T177" s="38" t="n">
        <x:v>3</x:v>
      </x:c>
      <x:c r="U177" s="38" t="n">
        <x:v>5</x:v>
      </x:c>
      <x:c r="V177" s="38" t="n">
        <x:f>T177*U177</x:f>
        <x:v>15</x:v>
      </x:c>
      <x:c r="W177" s="27" t="str">
        <x:f>IF(V177&gt;=20,"CRITICAL",IF(V177&gt;=12,"HIGH",IF(V177&gt;=6,"MEDIUM","LOW")))</x:f>
        <x:v>HIGH</x:v>
      </x:c>
      <x:c r="X177" s="27" t="str">
        <x:v>LOW</x:v>
      </x:c>
      <x:c r="Y177" s="27" t="str">
        <x:f>IF(X177="ZERO",IF(V177=0,"WITHIN TOLERANCE","OUTSIDE TOLERANCE"),IF(X177="LOW",IF(V177&lt;=4,"WITHIN TOLERANCE","OUTSIDE TOLERANCE"),IF(X177="MODERATE",IF(V177&lt;=9,"WITHIN TOLERANCE","OUTSIDE TOLERANCE"),IF(X177="HIGH",IF(V177&lt;=16,"WITHIN TOLERANCE","OUTSIDE TOLERANCE"),"REVIEW"))))</x:f>
        <x:v>OUTSIDE TOLERANCE</x:v>
      </x:c>
      <x:c r="Z177" s="36" t="str">
        <x:v>Legal</x:v>
      </x:c>
      <x:c r="AA177" s="36" t="str">
        <x:v>Project Owner</x:v>
      </x:c>
      <x:c r="AB177" s="36" t="str">
        <x:v>Activo no disponible, checksum inválido o prueba de restore vencida.</x:v>
      </x:c>
      <x:c r="AC177" s="36" t="str">
        <x:v>RPO per change / RTO 24h</x:v>
      </x:c>
      <x:c r="AD177" s="36" t="str">
        <x:v>Proteger evidencia/datos y pasar a hardware alternativo.</x:v>
      </x:c>
      <x:c r="AE177" s="36" t="str">
        <x:v>Restaurar Legal and license evidence desde la copia verificada más reciente; validar integridad y registrar pérdida de datos.</x:v>
      </x:c>
      <x:c r="AF177" s="27" t="str">
        <x:v>BIA-18</x:v>
      </x:c>
      <x:c r="AG177" s="27" t="str">
        <x:v>PB-18</x:v>
      </x:c>
      <x:c r="AH177" s="27" t="str">
        <x:v>TA-BCP-023</x:v>
      </x:c>
      <x:c r="AI177" s="36" t="str">
        <x:v>11, 13, 25, 27, 31, 32, 33, 34, 33</x:v>
      </x:c>
      <x:c r="AJ177" s="36" t="str">
        <x:v>Package manifests, checksums, build records, handoffs y archivos históricos</x:v>
      </x:c>
      <x:c r="AK177" s="27" t="str">
        <x:v>OPEN</x:v>
      </x:c>
      <x:c r="AL177" s="27" t="str">
        <x:v>MONTHLY</x:v>
      </x:c>
      <x:c r="AM177" s="40" t="str">
        <x:v>2026-07-01</x:v>
      </x:c>
      <x:c r="AN177" s="40" t="str">
        <x:v>2026-07-31</x:v>
      </x:c>
      <x:c r="AO177" s="27" t="str">
        <x:v>UNVERIFIED</x:v>
      </x:c>
      <x:c r="AP177" s="36" t="str">
        <x:v>Riesgo de continuidad específico del activo. Objetivo RPO per change / RTO 24h.</x:v>
      </x:c>
      <x:c r="AQ177" s="27" t="n">
        <x:f>IF(OR(M177="CRITICAL",W177="CRITICAL",Y177="OUTSIDE TOLERANCE",AK177="ESCALATED",AK177="ACCEPTANCE REQUESTED"),1,0)</x:f>
        <x:v>1</x:v>
      </x:c>
    </x:row>
    <x:row r="178">
      <x:c r="A178" s="27" t="str">
        <x:v>R-BCP-024</x:v>
      </x:c>
      <x:c r="B178" s="36" t="str">
        <x:v>Business Continuity</x:v>
      </x:c>
      <x:c r="C178" s="36" t="str">
        <x:v>ACCESS</x:v>
      </x:c>
      <x:c r="D178" s="36" t="str">
        <x:v>Existe el riesgo de que ocurra lo siguiente: Legal and license evidence queda inaccesible durante más que RPO per change / RTO 24h.</x:v>
      </x:c>
      <x:c r="E178" s="36" t="str">
        <x:v>Rights to distribute assets and software</x:v>
      </x:c>
      <x:c r="F178" s="36" t="str">
        <x:v>All</x:v>
      </x:c>
      <x:c r="G178" s="36" t="str">
        <x:v>Fallo físico, humano, proveedor, credencial o proceso de copia.</x:v>
      </x:c>
      <x:c r="H178" s="36" t="str">
        <x:v>Legal and license evidence queda inaccesible durante más que RPO per change / RTO 24h</x:v>
      </x:c>
      <x:c r="I178" s="36" t="str">
        <x:v>Interrupción de Rights to distribute assets and software; posible incumplimiento del objetivo RPO per change / RTO 24h.</x:v>
      </x:c>
      <x:c r="J178" s="38" t="n">
        <x:v>3</x:v>
      </x:c>
      <x:c r="K178" s="38" t="n">
        <x:v>4</x:v>
      </x:c>
      <x:c r="L178" s="38" t="n">
        <x:f>J178*K178</x:f>
        <x:v>12</x:v>
      </x:c>
      <x:c r="M178" s="27" t="str">
        <x:f>IF(L178&gt;=20,"CRITICAL",IF(L178&gt;=12,"HIGH",IF(L178&gt;=6,"MEDIUM","LOW")))</x:f>
        <x:v>HIGH</x:v>
      </x:c>
      <x:c r="N178" s="27" t="str">
        <x:v>FAST</x:v>
      </x:c>
      <x:c r="O178" s="27" t="str">
        <x:v>HARD</x:v>
      </x:c>
      <x:c r="P178" s="36" t="str">
        <x:v>Signed/source records and redundant archive</x:v>
      </x:c>
      <x:c r="Q178" s="27" t="str">
        <x:v>PLANNED</x:v>
      </x:c>
      <x:c r="R178" s="27" t="str">
        <x:v>MITIGATE</x:v>
      </x:c>
      <x:c r="S178" s="36" t="str">
        <x:v>Implementar copia redundante, prueba de restauración y propietario alternativo para Legal and license evidence.</x:v>
      </x:c>
      <x:c r="T178" s="38" t="n">
        <x:v>3</x:v>
      </x:c>
      <x:c r="U178" s="38" t="n">
        <x:v>4</x:v>
      </x:c>
      <x:c r="V178" s="38" t="n">
        <x:f>T178*U178</x:f>
        <x:v>12</x:v>
      </x:c>
      <x:c r="W178" s="27" t="str">
        <x:f>IF(V178&gt;=20,"CRITICAL",IF(V178&gt;=12,"HIGH",IF(V178&gt;=6,"MEDIUM","LOW")))</x:f>
        <x:v>HIGH</x:v>
      </x:c>
      <x:c r="X178" s="27" t="str">
        <x:v>LOW</x:v>
      </x:c>
      <x:c r="Y178" s="27" t="str">
        <x:f>IF(X178="ZERO",IF(V178=0,"WITHIN TOLERANCE","OUTSIDE TOLERANCE"),IF(X178="LOW",IF(V178&lt;=4,"WITHIN TOLERANCE","OUTSIDE TOLERANCE"),IF(X178="MODERATE",IF(V178&lt;=9,"WITHIN TOLERANCE","OUTSIDE TOLERANCE"),IF(X178="HIGH",IF(V178&lt;=16,"WITHIN TOLERANCE","OUTSIDE TOLERANCE"),"REVIEW"))))</x:f>
        <x:v>OUTSIDE TOLERANCE</x:v>
      </x:c>
      <x:c r="Z178" s="36" t="str">
        <x:v>Legal</x:v>
      </x:c>
      <x:c r="AA178" s="36" t="str">
        <x:v>Project Owner</x:v>
      </x:c>
      <x:c r="AB178" s="36" t="str">
        <x:v>Activo no disponible, checksum inválido o prueba de restore vencida.</x:v>
      </x:c>
      <x:c r="AC178" s="36" t="str">
        <x:v>RPO per change / RTO 24h</x:v>
      </x:c>
      <x:c r="AD178" s="36" t="str">
        <x:v>Proteger evidencia/datos y pasar a hardware alternativo.</x:v>
      </x:c>
      <x:c r="AE178" s="36" t="str">
        <x:v>Restaurar Legal and license evidence desde la copia verificada más reciente; validar integridad y registrar pérdida de datos.</x:v>
      </x:c>
      <x:c r="AF178" s="27" t="str">
        <x:v>BIA-18</x:v>
      </x:c>
      <x:c r="AG178" s="27" t="str">
        <x:v>PB-18</x:v>
      </x:c>
      <x:c r="AH178" s="27" t="str">
        <x:v>TA-BCP-024</x:v>
      </x:c>
      <x:c r="AI178" s="36" t="str">
        <x:v>11, 13, 25, 27, 31, 32, 33, 34, 33</x:v>
      </x:c>
      <x:c r="AJ178" s="36" t="str">
        <x:v>Package manifests, checksums, build records, handoffs y archivos históricos</x:v>
      </x:c>
      <x:c r="AK178" s="27" t="str">
        <x:v>OPEN</x:v>
      </x:c>
      <x:c r="AL178" s="27" t="str">
        <x:v>MONTHLY</x:v>
      </x:c>
      <x:c r="AM178" s="40" t="str">
        <x:v>2026-07-01</x:v>
      </x:c>
      <x:c r="AN178" s="40" t="str">
        <x:v>2026-07-31</x:v>
      </x:c>
      <x:c r="AO178" s="27" t="str">
        <x:v>UNVERIFIED</x:v>
      </x:c>
      <x:c r="AP178" s="36" t="str">
        <x:v>Riesgo de continuidad específico del activo. Objetivo RPO per change / RTO 24h.</x:v>
      </x:c>
      <x:c r="AQ178" s="27" t="n">
        <x:f>IF(OR(M178="CRITICAL",W178="CRITICAL",Y178="OUTSIDE TOLERANCE",AK178="ESCALATED",AK178="ACCEPTANCE REQUESTED"),1,0)</x:f>
        <x:v>1</x:v>
      </x:c>
    </x:row>
    <x:row r="179">
      <x:c r="A179" s="27" t="str">
        <x:v>R-BCP-025</x:v>
      </x:c>
      <x:c r="B179" s="36" t="str">
        <x:v>Business Continuity</x:v>
      </x:c>
      <x:c r="C179" s="36" t="str">
        <x:v>LOSS</x:v>
      </x:c>
      <x:c r="D179" s="36" t="str">
        <x:v>Existe el riesgo de que ocurra lo siguiente: Production tracking and risk register se pierde o queda corrupto.</x:v>
      </x:c>
      <x:c r="E179" s="36" t="str">
        <x:v>Operational state and decisions</x:v>
      </x:c>
      <x:c r="F179" s="36" t="str">
        <x:v>All</x:v>
      </x:c>
      <x:c r="G179" s="36" t="str">
        <x:v>Fallo físico, humano, proveedor, credencial o proceso de copia.</x:v>
      </x:c>
      <x:c r="H179" s="36" t="str">
        <x:v>Production tracking and risk register se pierde o queda corrupto</x:v>
      </x:c>
      <x:c r="I179" s="36" t="str">
        <x:v>Interrupción de Operational state and decisions; posible incumplimiento del objetivo RPO 24h / RTO 8h.</x:v>
      </x:c>
      <x:c r="J179" s="38" t="n">
        <x:v>3</x:v>
      </x:c>
      <x:c r="K179" s="38" t="n">
        <x:v>5</x:v>
      </x:c>
      <x:c r="L179" s="38" t="n">
        <x:f>J179*K179</x:f>
        <x:v>15</x:v>
      </x:c>
      <x:c r="M179" s="27" t="str">
        <x:f>IF(L179&gt;=20,"CRITICAL",IF(L179&gt;=12,"HIGH",IF(L179&gt;=6,"MEDIUM","LOW")))</x:f>
        <x:v>HIGH</x:v>
      </x:c>
      <x:c r="N179" s="27" t="str">
        <x:v>FAST</x:v>
      </x:c>
      <x:c r="O179" s="27" t="str">
        <x:v>HARD</x:v>
      </x:c>
      <x:c r="P179" s="36" t="str">
        <x:v>Versioned exports and change log</x:v>
      </x:c>
      <x:c r="Q179" s="27" t="str">
        <x:v>PLANNED</x:v>
      </x:c>
      <x:c r="R179" s="27" t="str">
        <x:v>MITIGATE</x:v>
      </x:c>
      <x:c r="S179" s="36" t="str">
        <x:v>Implementar copia redundante, prueba de restauración y propietario alternativo para Production tracking and risk register.</x:v>
      </x:c>
      <x:c r="T179" s="38" t="n">
        <x:v>3</x:v>
      </x:c>
      <x:c r="U179" s="38" t="n">
        <x:v>5</x:v>
      </x:c>
      <x:c r="V179" s="38" t="n">
        <x:f>T179*U179</x:f>
        <x:v>15</x:v>
      </x:c>
      <x:c r="W179" s="27" t="str">
        <x:f>IF(V179&gt;=20,"CRITICAL",IF(V179&gt;=12,"HIGH",IF(V179&gt;=6,"MEDIUM","LOW")))</x:f>
        <x:v>HIGH</x:v>
      </x:c>
      <x:c r="X179" s="27" t="str">
        <x:v>LOW</x:v>
      </x:c>
      <x:c r="Y179" s="27" t="str">
        <x:f>IF(X179="ZERO",IF(V179=0,"WITHIN TOLERANCE","OUTSIDE TOLERANCE"),IF(X179="LOW",IF(V179&lt;=4,"WITHIN TOLERANCE","OUTSIDE TOLERANCE"),IF(X179="MODERATE",IF(V179&lt;=9,"WITHIN TOLERANCE","OUTSIDE TOLERANCE"),IF(X179="HIGH",IF(V179&lt;=16,"WITHIN TOLERANCE","OUTSIDE TOLERANCE"),"REVIEW"))))</x:f>
        <x:v>OUTSIDE TOLERANCE</x:v>
      </x:c>
      <x:c r="Z179" s="36" t="str">
        <x:v>Production</x:v>
      </x:c>
      <x:c r="AA179" s="36" t="str">
        <x:v>Project Owner</x:v>
      </x:c>
      <x:c r="AB179" s="36" t="str">
        <x:v>Activo no disponible, checksum inválido o prueba de restore vencida.</x:v>
      </x:c>
      <x:c r="AC179" s="36" t="str">
        <x:v>RPO 24h / RTO 8h</x:v>
      </x:c>
      <x:c r="AD179" s="36" t="str">
        <x:v>Proteger evidencia/datos y pasar a hardware alternativo.</x:v>
      </x:c>
      <x:c r="AE179" s="36" t="str">
        <x:v>Restaurar Production tracking and risk register desde la copia verificada más reciente; validar integridad y registrar pérdida de datos.</x:v>
      </x:c>
      <x:c r="AF179" s="27" t="str">
        <x:v>BIA-18</x:v>
      </x:c>
      <x:c r="AG179" s="27" t="str">
        <x:v>PB-18</x:v>
      </x:c>
      <x:c r="AH179" s="27" t="str">
        <x:v>TA-BCP-025</x:v>
      </x:c>
      <x:c r="AI179" s="36" t="str">
        <x:v>11, 13, 25, 27, 31, 32, 33, 34, 33</x:v>
      </x:c>
      <x:c r="AJ179" s="36" t="str">
        <x:v>Package manifests, checksums, build records, handoffs y archivos históricos</x:v>
      </x:c>
      <x:c r="AK179" s="27" t="str">
        <x:v>OPEN</x:v>
      </x:c>
      <x:c r="AL179" s="27" t="str">
        <x:v>MONTHLY</x:v>
      </x:c>
      <x:c r="AM179" s="40" t="str">
        <x:v>2026-07-01</x:v>
      </x:c>
      <x:c r="AN179" s="40" t="str">
        <x:v>2026-07-31</x:v>
      </x:c>
      <x:c r="AO179" s="27" t="str">
        <x:v>UNVERIFIED</x:v>
      </x:c>
      <x:c r="AP179" s="36" t="str">
        <x:v>Riesgo de continuidad específico del activo. Objetivo RPO 24h / RTO 8h.</x:v>
      </x:c>
      <x:c r="AQ179" s="27" t="n">
        <x:f>IF(OR(M179="CRITICAL",W179="CRITICAL",Y179="OUTSIDE TOLERANCE",AK179="ESCALATED",AK179="ACCEPTANCE REQUESTED"),1,0)</x:f>
        <x:v>1</x:v>
      </x:c>
    </x:row>
    <x:row r="180">
      <x:c r="A180" s="27" t="str">
        <x:v>R-BCP-026</x:v>
      </x:c>
      <x:c r="B180" s="36" t="str">
        <x:v>Business Continuity</x:v>
      </x:c>
      <x:c r="C180" s="36" t="str">
        <x:v>ACCESS</x:v>
      </x:c>
      <x:c r="D180" s="36" t="str">
        <x:v>Existe el riesgo de que ocurra lo siguiente: Production tracking and risk register queda inaccesible durante más que RPO 24h / RTO 8h.</x:v>
      </x:c>
      <x:c r="E180" s="36" t="str">
        <x:v>Operational state and decisions</x:v>
      </x:c>
      <x:c r="F180" s="36" t="str">
        <x:v>All</x:v>
      </x:c>
      <x:c r="G180" s="36" t="str">
        <x:v>Fallo físico, humano, proveedor, credencial o proceso de copia.</x:v>
      </x:c>
      <x:c r="H180" s="36" t="str">
        <x:v>Production tracking and risk register queda inaccesible durante más que RPO 24h / RTO 8h</x:v>
      </x:c>
      <x:c r="I180" s="36" t="str">
        <x:v>Interrupción de Operational state and decisions; posible incumplimiento del objetivo RPO 24h / RTO 8h.</x:v>
      </x:c>
      <x:c r="J180" s="38" t="n">
        <x:v>3</x:v>
      </x:c>
      <x:c r="K180" s="38" t="n">
        <x:v>4</x:v>
      </x:c>
      <x:c r="L180" s="38" t="n">
        <x:f>J180*K180</x:f>
        <x:v>12</x:v>
      </x:c>
      <x:c r="M180" s="27" t="str">
        <x:f>IF(L180&gt;=20,"CRITICAL",IF(L180&gt;=12,"HIGH",IF(L180&gt;=6,"MEDIUM","LOW")))</x:f>
        <x:v>HIGH</x:v>
      </x:c>
      <x:c r="N180" s="27" t="str">
        <x:v>FAST</x:v>
      </x:c>
      <x:c r="O180" s="27" t="str">
        <x:v>HARD</x:v>
      </x:c>
      <x:c r="P180" s="36" t="str">
        <x:v>Versioned exports and change log</x:v>
      </x:c>
      <x:c r="Q180" s="27" t="str">
        <x:v>PLANNED</x:v>
      </x:c>
      <x:c r="R180" s="27" t="str">
        <x:v>MITIGATE</x:v>
      </x:c>
      <x:c r="S180" s="36" t="str">
        <x:v>Implementar copia redundante, prueba de restauración y propietario alternativo para Production tracking and risk register.</x:v>
      </x:c>
      <x:c r="T180" s="38" t="n">
        <x:v>3</x:v>
      </x:c>
      <x:c r="U180" s="38" t="n">
        <x:v>4</x:v>
      </x:c>
      <x:c r="V180" s="38" t="n">
        <x:f>T180*U180</x:f>
        <x:v>12</x:v>
      </x:c>
      <x:c r="W180" s="27" t="str">
        <x:f>IF(V180&gt;=20,"CRITICAL",IF(V180&gt;=12,"HIGH",IF(V180&gt;=6,"MEDIUM","LOW")))</x:f>
        <x:v>HIGH</x:v>
      </x:c>
      <x:c r="X180" s="27" t="str">
        <x:v>LOW</x:v>
      </x:c>
      <x:c r="Y180" s="27" t="str">
        <x:f>IF(X180="ZERO",IF(V180=0,"WITHIN TOLERANCE","OUTSIDE TOLERANCE"),IF(X180="LOW",IF(V180&lt;=4,"WITHIN TOLERANCE","OUTSIDE TOLERANCE"),IF(X180="MODERATE",IF(V180&lt;=9,"WITHIN TOLERANCE","OUTSIDE TOLERANCE"),IF(X180="HIGH",IF(V180&lt;=16,"WITHIN TOLERANCE","OUTSIDE TOLERANCE"),"REVIEW"))))</x:f>
        <x:v>OUTSIDE TOLERANCE</x:v>
      </x:c>
      <x:c r="Z180" s="36" t="str">
        <x:v>Production</x:v>
      </x:c>
      <x:c r="AA180" s="36" t="str">
        <x:v>Project Owner</x:v>
      </x:c>
      <x:c r="AB180" s="36" t="str">
        <x:v>Activo no disponible, checksum inválido o prueba de restore vencida.</x:v>
      </x:c>
      <x:c r="AC180" s="36" t="str">
        <x:v>RPO 24h / RTO 8h</x:v>
      </x:c>
      <x:c r="AD180" s="36" t="str">
        <x:v>Proteger evidencia/datos y pasar a hardware alternativo.</x:v>
      </x:c>
      <x:c r="AE180" s="36" t="str">
        <x:v>Restaurar Production tracking and risk register desde la copia verificada más reciente; validar integridad y registrar pérdida de datos.</x:v>
      </x:c>
      <x:c r="AF180" s="27" t="str">
        <x:v>BIA-18</x:v>
      </x:c>
      <x:c r="AG180" s="27" t="str">
        <x:v>PB-18</x:v>
      </x:c>
      <x:c r="AH180" s="27" t="str">
        <x:v>TA-BCP-026</x:v>
      </x:c>
      <x:c r="AI180" s="36" t="str">
        <x:v>11, 13, 25, 27, 31, 32, 33, 34, 33</x:v>
      </x:c>
      <x:c r="AJ180" s="36" t="str">
        <x:v>Package manifests, checksums, build records, handoffs y archivos históricos</x:v>
      </x:c>
      <x:c r="AK180" s="27" t="str">
        <x:v>OPEN</x:v>
      </x:c>
      <x:c r="AL180" s="27" t="str">
        <x:v>MONTHLY</x:v>
      </x:c>
      <x:c r="AM180" s="40" t="str">
        <x:v>2026-07-01</x:v>
      </x:c>
      <x:c r="AN180" s="40" t="str">
        <x:v>2026-07-31</x:v>
      </x:c>
      <x:c r="AO180" s="27" t="str">
        <x:v>UNVERIFIED</x:v>
      </x:c>
      <x:c r="AP180" s="36" t="str">
        <x:v>Riesgo de continuidad específico del activo. Objetivo RPO 24h / RTO 8h.</x:v>
      </x:c>
      <x:c r="AQ180" s="27" t="n">
        <x:f>IF(OR(M180="CRITICAL",W180="CRITICAL",Y180="OUTSIDE TOLERANCE",AK180="ESCALATED",AK180="ACCEPTANCE REQUESTED"),1,0)</x:f>
        <x:v>1</x:v>
      </x:c>
    </x:row>
    <x:row r="181">
      <x:c r="A181" s="27" t="str">
        <x:v>R-BCP-027</x:v>
      </x:c>
      <x:c r="B181" s="36" t="str">
        <x:v>Business Continuity</x:v>
      </x:c>
      <x:c r="C181" s="36" t="str">
        <x:v>LOSS</x:v>
      </x:c>
      <x:c r="D181" s="36" t="str">
        <x:v>Existe el riesgo de que ocurra lo siguiente: QA evidence and defect records se pierde o queda corrupto.</x:v>
      </x:c>
      <x:c r="E181" s="36" t="str">
        <x:v>Gate evidence and known issues</x:v>
      </x:c>
      <x:c r="F181" s="36" t="str">
        <x:v>All</x:v>
      </x:c>
      <x:c r="G181" s="36" t="str">
        <x:v>Fallo físico, humano, proveedor, credencial o proceso de copia.</x:v>
      </x:c>
      <x:c r="H181" s="36" t="str">
        <x:v>QA evidence and defect records se pierde o queda corrupto</x:v>
      </x:c>
      <x:c r="I181" s="36" t="str">
        <x:v>Interrupción de Gate evidence and known issues; posible incumplimiento del objetivo RPO 24h / RTO 8h.</x:v>
      </x:c>
      <x:c r="J181" s="38" t="n">
        <x:v>3</x:v>
      </x:c>
      <x:c r="K181" s="38" t="n">
        <x:v>5</x:v>
      </x:c>
      <x:c r="L181" s="38" t="n">
        <x:f>J181*K181</x:f>
        <x:v>15</x:v>
      </x:c>
      <x:c r="M181" s="27" t="str">
        <x:f>IF(L181&gt;=20,"CRITICAL",IF(L181&gt;=12,"HIGH",IF(L181&gt;=6,"MEDIUM","LOW")))</x:f>
        <x:v>HIGH</x:v>
      </x:c>
      <x:c r="N181" s="27" t="str">
        <x:v>FAST</x:v>
      </x:c>
      <x:c r="O181" s="27" t="str">
        <x:v>HARD</x:v>
      </x:c>
      <x:c r="P181" s="36" t="str">
        <x:v>Versioned workbook/export and artifact links</x:v>
      </x:c>
      <x:c r="Q181" s="27" t="str">
        <x:v>PLANNED</x:v>
      </x:c>
      <x:c r="R181" s="27" t="str">
        <x:v>MITIGATE</x:v>
      </x:c>
      <x:c r="S181" s="36" t="str">
        <x:v>Implementar copia redundante, prueba de restauración y propietario alternativo para QA evidence and defect records.</x:v>
      </x:c>
      <x:c r="T181" s="38" t="n">
        <x:v>3</x:v>
      </x:c>
      <x:c r="U181" s="38" t="n">
        <x:v>5</x:v>
      </x:c>
      <x:c r="V181" s="38" t="n">
        <x:f>T181*U181</x:f>
        <x:v>15</x:v>
      </x:c>
      <x:c r="W181" s="27" t="str">
        <x:f>IF(V181&gt;=20,"CRITICAL",IF(V181&gt;=12,"HIGH",IF(V181&gt;=6,"MEDIUM","LOW")))</x:f>
        <x:v>HIGH</x:v>
      </x:c>
      <x:c r="X181" s="27" t="str">
        <x:v>LOW</x:v>
      </x:c>
      <x:c r="Y181" s="27" t="str">
        <x:f>IF(X181="ZERO",IF(V181=0,"WITHIN TOLERANCE","OUTSIDE TOLERANCE"),IF(X181="LOW",IF(V181&lt;=4,"WITHIN TOLERANCE","OUTSIDE TOLERANCE"),IF(X181="MODERATE",IF(V181&lt;=9,"WITHIN TOLERANCE","OUTSIDE TOLERANCE"),IF(X181="HIGH",IF(V181&lt;=16,"WITHIN TOLERANCE","OUTSIDE TOLERANCE"),"REVIEW"))))</x:f>
        <x:v>OUTSIDE TOLERANCE</x:v>
      </x:c>
      <x:c r="Z181" s="36" t="str">
        <x:v>QA</x:v>
      </x:c>
      <x:c r="AA181" s="36" t="str">
        <x:v>Project Owner</x:v>
      </x:c>
      <x:c r="AB181" s="36" t="str">
        <x:v>Activo no disponible, checksum inválido o prueba de restore vencida.</x:v>
      </x:c>
      <x:c r="AC181" s="36" t="str">
        <x:v>RPO 24h / RTO 8h</x:v>
      </x:c>
      <x:c r="AD181" s="36" t="str">
        <x:v>Proteger evidencia/datos y pasar a hardware alternativo.</x:v>
      </x:c>
      <x:c r="AE181" s="36" t="str">
        <x:v>Restaurar QA evidence and defect records desde la copia verificada más reciente; validar integridad y registrar pérdida de datos.</x:v>
      </x:c>
      <x:c r="AF181" s="27" t="str">
        <x:v>BIA-18</x:v>
      </x:c>
      <x:c r="AG181" s="27" t="str">
        <x:v>PB-18</x:v>
      </x:c>
      <x:c r="AH181" s="27" t="str">
        <x:v>TA-BCP-027</x:v>
      </x:c>
      <x:c r="AI181" s="36" t="str">
        <x:v>11, 13, 25, 27, 31, 32, 33, 34, 33</x:v>
      </x:c>
      <x:c r="AJ181" s="36" t="str">
        <x:v>Package manifests, checksums, build records, handoffs y archivos históricos</x:v>
      </x:c>
      <x:c r="AK181" s="27" t="str">
        <x:v>OPEN</x:v>
      </x:c>
      <x:c r="AL181" s="27" t="str">
        <x:v>MONTHLY</x:v>
      </x:c>
      <x:c r="AM181" s="40" t="str">
        <x:v>2026-07-01</x:v>
      </x:c>
      <x:c r="AN181" s="40" t="str">
        <x:v>2026-07-31</x:v>
      </x:c>
      <x:c r="AO181" s="27" t="str">
        <x:v>UNVERIFIED</x:v>
      </x:c>
      <x:c r="AP181" s="36" t="str">
        <x:v>Riesgo de continuidad específico del activo. Objetivo RPO 24h / RTO 8h.</x:v>
      </x:c>
      <x:c r="AQ181" s="27" t="n">
        <x:f>IF(OR(M181="CRITICAL",W181="CRITICAL",Y181="OUTSIDE TOLERANCE",AK181="ESCALATED",AK181="ACCEPTANCE REQUESTED"),1,0)</x:f>
        <x:v>1</x:v>
      </x:c>
    </x:row>
    <x:row r="182">
      <x:c r="A182" s="27" t="str">
        <x:v>R-BCP-028</x:v>
      </x:c>
      <x:c r="B182" s="36" t="str">
        <x:v>Business Continuity</x:v>
      </x:c>
      <x:c r="C182" s="36" t="str">
        <x:v>ACCESS</x:v>
      </x:c>
      <x:c r="D182" s="36" t="str">
        <x:v>Existe el riesgo de que ocurra lo siguiente: QA evidence and defect records queda inaccesible durante más que RPO 24h / RTO 8h.</x:v>
      </x:c>
      <x:c r="E182" s="36" t="str">
        <x:v>Gate evidence and known issues</x:v>
      </x:c>
      <x:c r="F182" s="36" t="str">
        <x:v>All</x:v>
      </x:c>
      <x:c r="G182" s="36" t="str">
        <x:v>Fallo físico, humano, proveedor, credencial o proceso de copia.</x:v>
      </x:c>
      <x:c r="H182" s="36" t="str">
        <x:v>QA evidence and defect records queda inaccesible durante más que RPO 24h / RTO 8h</x:v>
      </x:c>
      <x:c r="I182" s="36" t="str">
        <x:v>Interrupción de Gate evidence and known issues; posible incumplimiento del objetivo RPO 24h / RTO 8h.</x:v>
      </x:c>
      <x:c r="J182" s="38" t="n">
        <x:v>3</x:v>
      </x:c>
      <x:c r="K182" s="38" t="n">
        <x:v>4</x:v>
      </x:c>
      <x:c r="L182" s="38" t="n">
        <x:f>J182*K182</x:f>
        <x:v>12</x:v>
      </x:c>
      <x:c r="M182" s="27" t="str">
        <x:f>IF(L182&gt;=20,"CRITICAL",IF(L182&gt;=12,"HIGH",IF(L182&gt;=6,"MEDIUM","LOW")))</x:f>
        <x:v>HIGH</x:v>
      </x:c>
      <x:c r="N182" s="27" t="str">
        <x:v>FAST</x:v>
      </x:c>
      <x:c r="O182" s="27" t="str">
        <x:v>HARD</x:v>
      </x:c>
      <x:c r="P182" s="36" t="str">
        <x:v>Versioned workbook/export and artifact links</x:v>
      </x:c>
      <x:c r="Q182" s="27" t="str">
        <x:v>PLANNED</x:v>
      </x:c>
      <x:c r="R182" s="27" t="str">
        <x:v>MITIGATE</x:v>
      </x:c>
      <x:c r="S182" s="36" t="str">
        <x:v>Implementar copia redundante, prueba de restauración y propietario alternativo para QA evidence and defect records.</x:v>
      </x:c>
      <x:c r="T182" s="38" t="n">
        <x:v>3</x:v>
      </x:c>
      <x:c r="U182" s="38" t="n">
        <x:v>4</x:v>
      </x:c>
      <x:c r="V182" s="38" t="n">
        <x:f>T182*U182</x:f>
        <x:v>12</x:v>
      </x:c>
      <x:c r="W182" s="27" t="str">
        <x:f>IF(V182&gt;=20,"CRITICAL",IF(V182&gt;=12,"HIGH",IF(V182&gt;=6,"MEDIUM","LOW")))</x:f>
        <x:v>HIGH</x:v>
      </x:c>
      <x:c r="X182" s="27" t="str">
        <x:v>LOW</x:v>
      </x:c>
      <x:c r="Y182" s="27" t="str">
        <x:f>IF(X182="ZERO",IF(V182=0,"WITHIN TOLERANCE","OUTSIDE TOLERANCE"),IF(X182="LOW",IF(V182&lt;=4,"WITHIN TOLERANCE","OUTSIDE TOLERANCE"),IF(X182="MODERATE",IF(V182&lt;=9,"WITHIN TOLERANCE","OUTSIDE TOLERANCE"),IF(X182="HIGH",IF(V182&lt;=16,"WITHIN TOLERANCE","OUTSIDE TOLERANCE"),"REVIEW"))))</x:f>
        <x:v>OUTSIDE TOLERANCE</x:v>
      </x:c>
      <x:c r="Z182" s="36" t="str">
        <x:v>QA</x:v>
      </x:c>
      <x:c r="AA182" s="36" t="str">
        <x:v>Project Owner</x:v>
      </x:c>
      <x:c r="AB182" s="36" t="str">
        <x:v>Activo no disponible, checksum inválido o prueba de restore vencida.</x:v>
      </x:c>
      <x:c r="AC182" s="36" t="str">
        <x:v>RPO 24h / RTO 8h</x:v>
      </x:c>
      <x:c r="AD182" s="36" t="str">
        <x:v>Proteger evidencia/datos y pasar a hardware alternativo.</x:v>
      </x:c>
      <x:c r="AE182" s="36" t="str">
        <x:v>Restaurar QA evidence and defect records desde la copia verificada más reciente; validar integridad y registrar pérdida de datos.</x:v>
      </x:c>
      <x:c r="AF182" s="27" t="str">
        <x:v>BIA-18</x:v>
      </x:c>
      <x:c r="AG182" s="27" t="str">
        <x:v>PB-18</x:v>
      </x:c>
      <x:c r="AH182" s="27" t="str">
        <x:v>TA-BCP-028</x:v>
      </x:c>
      <x:c r="AI182" s="36" t="str">
        <x:v>11, 13, 25, 27, 31, 32, 33, 34, 33</x:v>
      </x:c>
      <x:c r="AJ182" s="36" t="str">
        <x:v>Package manifests, checksums, build records, handoffs y archivos históricos</x:v>
      </x:c>
      <x:c r="AK182" s="27" t="str">
        <x:v>OPEN</x:v>
      </x:c>
      <x:c r="AL182" s="27" t="str">
        <x:v>MONTHLY</x:v>
      </x:c>
      <x:c r="AM182" s="40" t="str">
        <x:v>2026-07-01</x:v>
      </x:c>
      <x:c r="AN182" s="40" t="str">
        <x:v>2026-07-31</x:v>
      </x:c>
      <x:c r="AO182" s="27" t="str">
        <x:v>UNVERIFIED</x:v>
      </x:c>
      <x:c r="AP182" s="36" t="str">
        <x:v>Riesgo de continuidad específico del activo. Objetivo RPO 24h / RTO 8h.</x:v>
      </x:c>
      <x:c r="AQ182" s="27" t="n">
        <x:f>IF(OR(M182="CRITICAL",W182="CRITICAL",Y182="OUTSIDE TOLERANCE",AK182="ESCALATED",AK182="ACCEPTANCE REQUESTED"),1,0)</x:f>
        <x:v>1</x:v>
      </x:c>
    </x:row>
    <x:row r="183">
      <x:c r="A183" s="27" t="str">
        <x:v>R-BCP-029</x:v>
      </x:c>
      <x:c r="B183" s="36" t="str">
        <x:v>Business Continuity</x:v>
      </x:c>
      <x:c r="C183" s="36" t="str">
        <x:v>LOSS</x:v>
      </x:c>
      <x:c r="D183" s="36" t="str">
        <x:v>Existe el riesgo de que ocurra lo siguiente: Development workstation image/config se pierde o queda corrupto.</x:v>
      </x:c>
      <x:c r="E183" s="36" t="str">
        <x:v>Toolchain and local setup</x:v>
      </x:c>
      <x:c r="F183" s="36" t="str">
        <x:v>All</x:v>
      </x:c>
      <x:c r="G183" s="36" t="str">
        <x:v>Fallo físico, humano, proveedor, credencial o proceso de copia.</x:v>
      </x:c>
      <x:c r="H183" s="36" t="str">
        <x:v>Development workstation image/config se pierde o queda corrupto</x:v>
      </x:c>
      <x:c r="I183" s="36" t="str">
        <x:v>Interrupción de Toolchain and local setup; posible incumplimiento del objetivo RPO 7d / RTO 48h.</x:v>
      </x:c>
      <x:c r="J183" s="38" t="n">
        <x:v>3</x:v>
      </x:c>
      <x:c r="K183" s="38" t="n">
        <x:v>5</x:v>
      </x:c>
      <x:c r="L183" s="38" t="n">
        <x:f>J183*K183</x:f>
        <x:v>15</x:v>
      </x:c>
      <x:c r="M183" s="27" t="str">
        <x:f>IF(L183&gt;=20,"CRITICAL",IF(L183&gt;=12,"HIGH",IF(L183&gt;=6,"MEDIUM","LOW")))</x:f>
        <x:v>HIGH</x:v>
      </x:c>
      <x:c r="N183" s="27" t="str">
        <x:v>FAST</x:v>
      </x:c>
      <x:c r="O183" s="27" t="str">
        <x:v>HARD</x:v>
      </x:c>
      <x:c r="P183" s="36" t="str">
        <x:v>Setup guide, installers and encrypted backup</x:v>
      </x:c>
      <x:c r="Q183" s="27" t="str">
        <x:v>PLANNED</x:v>
      </x:c>
      <x:c r="R183" s="27" t="str">
        <x:v>MITIGATE</x:v>
      </x:c>
      <x:c r="S183" s="36" t="str">
        <x:v>Implementar copia redundante, prueba de restauración y propietario alternativo para Development workstation image/config.</x:v>
      </x:c>
      <x:c r="T183" s="38" t="n">
        <x:v>3</x:v>
      </x:c>
      <x:c r="U183" s="38" t="n">
        <x:v>5</x:v>
      </x:c>
      <x:c r="V183" s="38" t="n">
        <x:f>T183*U183</x:f>
        <x:v>15</x:v>
      </x:c>
      <x:c r="W183" s="27" t="str">
        <x:f>IF(V183&gt;=20,"CRITICAL",IF(V183&gt;=12,"HIGH",IF(V183&gt;=6,"MEDIUM","LOW")))</x:f>
        <x:v>HIGH</x:v>
      </x:c>
      <x:c r="X183" s="27" t="str">
        <x:v>LOW</x:v>
      </x:c>
      <x:c r="Y183" s="27" t="str">
        <x:f>IF(X183="ZERO",IF(V183=0,"WITHIN TOLERANCE","OUTSIDE TOLERANCE"),IF(X183="LOW",IF(V183&lt;=4,"WITHIN TOLERANCE","OUTSIDE TOLERANCE"),IF(X183="MODERATE",IF(V183&lt;=9,"WITHIN TOLERANCE","OUTSIDE TOLERANCE"),IF(X183="HIGH",IF(V183&lt;=16,"WITHIN TOLERANCE","OUTSIDE TOLERANCE"),"REVIEW"))))</x:f>
        <x:v>OUTSIDE TOLERANCE</x:v>
      </x:c>
      <x:c r="Z183" s="36" t="str">
        <x:v>IT/Engineering</x:v>
      </x:c>
      <x:c r="AA183" s="36" t="str">
        <x:v>Project Owner</x:v>
      </x:c>
      <x:c r="AB183" s="36" t="str">
        <x:v>Activo no disponible, checksum inválido o prueba de restore vencida.</x:v>
      </x:c>
      <x:c r="AC183" s="36" t="str">
        <x:v>RPO 7d / RTO 48h</x:v>
      </x:c>
      <x:c r="AD183" s="36" t="str">
        <x:v>Proteger evidencia/datos y pasar a hardware alternativo.</x:v>
      </x:c>
      <x:c r="AE183" s="36" t="str">
        <x:v>Restaurar Development workstation image/config desde la copia verificada más reciente; validar integridad y registrar pérdida de datos.</x:v>
      </x:c>
      <x:c r="AF183" s="27" t="str">
        <x:v>BIA-18</x:v>
      </x:c>
      <x:c r="AG183" s="27" t="str">
        <x:v>PB-18</x:v>
      </x:c>
      <x:c r="AH183" s="27" t="str">
        <x:v>TA-BCP-029</x:v>
      </x:c>
      <x:c r="AI183" s="36" t="str">
        <x:v>11, 13, 25, 27, 31, 32, 33, 34, 33</x:v>
      </x:c>
      <x:c r="AJ183" s="36" t="str">
        <x:v>Package manifests, checksums, build records, handoffs y archivos históricos</x:v>
      </x:c>
      <x:c r="AK183" s="27" t="str">
        <x:v>OPEN</x:v>
      </x:c>
      <x:c r="AL183" s="27" t="str">
        <x:v>MONTHLY</x:v>
      </x:c>
      <x:c r="AM183" s="40" t="str">
        <x:v>2026-07-01</x:v>
      </x:c>
      <x:c r="AN183" s="40" t="str">
        <x:v>2026-07-31</x:v>
      </x:c>
      <x:c r="AO183" s="27" t="str">
        <x:v>UNVERIFIED</x:v>
      </x:c>
      <x:c r="AP183" s="36" t="str">
        <x:v>Riesgo de continuidad específico del activo. Objetivo RPO 7d / RTO 48h.</x:v>
      </x:c>
      <x:c r="AQ183" s="27" t="n">
        <x:f>IF(OR(M183="CRITICAL",W183="CRITICAL",Y183="OUTSIDE TOLERANCE",AK183="ESCALATED",AK183="ACCEPTANCE REQUESTED"),1,0)</x:f>
        <x:v>1</x:v>
      </x:c>
    </x:row>
    <x:row r="184">
      <x:c r="A184" s="27" t="str">
        <x:v>R-BCP-030</x:v>
      </x:c>
      <x:c r="B184" s="36" t="str">
        <x:v>Business Continuity</x:v>
      </x:c>
      <x:c r="C184" s="36" t="str">
        <x:v>ACCESS</x:v>
      </x:c>
      <x:c r="D184" s="36" t="str">
        <x:v>Existe el riesgo de que ocurra lo siguiente: Development workstation image/config queda inaccesible durante más que RPO 7d / RTO 48h.</x:v>
      </x:c>
      <x:c r="E184" s="36" t="str">
        <x:v>Toolchain and local setup</x:v>
      </x:c>
      <x:c r="F184" s="36" t="str">
        <x:v>All</x:v>
      </x:c>
      <x:c r="G184" s="36" t="str">
        <x:v>Fallo físico, humano, proveedor, credencial o proceso de copia.</x:v>
      </x:c>
      <x:c r="H184" s="36" t="str">
        <x:v>Development workstation image/config queda inaccesible durante más que RPO 7d / RTO 48h</x:v>
      </x:c>
      <x:c r="I184" s="36" t="str">
        <x:v>Interrupción de Toolchain and local setup; posible incumplimiento del objetivo RPO 7d / RTO 48h.</x:v>
      </x:c>
      <x:c r="J184" s="38" t="n">
        <x:v>3</x:v>
      </x:c>
      <x:c r="K184" s="38" t="n">
        <x:v>4</x:v>
      </x:c>
      <x:c r="L184" s="38" t="n">
        <x:f>J184*K184</x:f>
        <x:v>12</x:v>
      </x:c>
      <x:c r="M184" s="27" t="str">
        <x:f>IF(L184&gt;=20,"CRITICAL",IF(L184&gt;=12,"HIGH",IF(L184&gt;=6,"MEDIUM","LOW")))</x:f>
        <x:v>HIGH</x:v>
      </x:c>
      <x:c r="N184" s="27" t="str">
        <x:v>FAST</x:v>
      </x:c>
      <x:c r="O184" s="27" t="str">
        <x:v>HARD</x:v>
      </x:c>
      <x:c r="P184" s="36" t="str">
        <x:v>Setup guide, installers and encrypted backup</x:v>
      </x:c>
      <x:c r="Q184" s="27" t="str">
        <x:v>PLANNED</x:v>
      </x:c>
      <x:c r="R184" s="27" t="str">
        <x:v>MITIGATE</x:v>
      </x:c>
      <x:c r="S184" s="36" t="str">
        <x:v>Implementar copia redundante, prueba de restauración y propietario alternativo para Development workstation image/config.</x:v>
      </x:c>
      <x:c r="T184" s="38" t="n">
        <x:v>3</x:v>
      </x:c>
      <x:c r="U184" s="38" t="n">
        <x:v>4</x:v>
      </x:c>
      <x:c r="V184" s="38" t="n">
        <x:f>T184*U184</x:f>
        <x:v>12</x:v>
      </x:c>
      <x:c r="W184" s="27" t="str">
        <x:f>IF(V184&gt;=20,"CRITICAL",IF(V184&gt;=12,"HIGH",IF(V184&gt;=6,"MEDIUM","LOW")))</x:f>
        <x:v>HIGH</x:v>
      </x:c>
      <x:c r="X184" s="27" t="str">
        <x:v>LOW</x:v>
      </x:c>
      <x:c r="Y184" s="27" t="str">
        <x:f>IF(X184="ZERO",IF(V184=0,"WITHIN TOLERANCE","OUTSIDE TOLERANCE"),IF(X184="LOW",IF(V184&lt;=4,"WITHIN TOLERANCE","OUTSIDE TOLERANCE"),IF(X184="MODERATE",IF(V184&lt;=9,"WITHIN TOLERANCE","OUTSIDE TOLERANCE"),IF(X184="HIGH",IF(V184&lt;=16,"WITHIN TOLERANCE","OUTSIDE TOLERANCE"),"REVIEW"))))</x:f>
        <x:v>OUTSIDE TOLERANCE</x:v>
      </x:c>
      <x:c r="Z184" s="36" t="str">
        <x:v>IT/Engineering</x:v>
      </x:c>
      <x:c r="AA184" s="36" t="str">
        <x:v>Project Owner</x:v>
      </x:c>
      <x:c r="AB184" s="36" t="str">
        <x:v>Activo no disponible, checksum inválido o prueba de restore vencida.</x:v>
      </x:c>
      <x:c r="AC184" s="36" t="str">
        <x:v>RPO 7d / RTO 48h</x:v>
      </x:c>
      <x:c r="AD184" s="36" t="str">
        <x:v>Proteger evidencia/datos y pasar a hardware alternativo.</x:v>
      </x:c>
      <x:c r="AE184" s="36" t="str">
        <x:v>Restaurar Development workstation image/config desde la copia verificada más reciente; validar integridad y registrar pérdida de datos.</x:v>
      </x:c>
      <x:c r="AF184" s="27" t="str">
        <x:v>BIA-18</x:v>
      </x:c>
      <x:c r="AG184" s="27" t="str">
        <x:v>PB-18</x:v>
      </x:c>
      <x:c r="AH184" s="27" t="str">
        <x:v>TA-BCP-030</x:v>
      </x:c>
      <x:c r="AI184" s="36" t="str">
        <x:v>11, 13, 25, 27, 31, 32, 33, 34, 33</x:v>
      </x:c>
      <x:c r="AJ184" s="36" t="str">
        <x:v>Package manifests, checksums, build records, handoffs y archivos históricos</x:v>
      </x:c>
      <x:c r="AK184" s="27" t="str">
        <x:v>OPEN</x:v>
      </x:c>
      <x:c r="AL184" s="27" t="str">
        <x:v>MONTHLY</x:v>
      </x:c>
      <x:c r="AM184" s="40" t="str">
        <x:v>2026-07-01</x:v>
      </x:c>
      <x:c r="AN184" s="40" t="str">
        <x:v>2026-07-31</x:v>
      </x:c>
      <x:c r="AO184" s="27" t="str">
        <x:v>UNVERIFIED</x:v>
      </x:c>
      <x:c r="AP184" s="36" t="str">
        <x:v>Riesgo de continuidad específico del activo. Objetivo RPO 7d / RTO 48h.</x:v>
      </x:c>
      <x:c r="AQ184" s="27" t="n">
        <x:f>IF(OR(M184="CRITICAL",W184="CRITICAL",Y184="OUTSIDE TOLERANCE",AK184="ESCALATED",AK184="ACCEPTANCE REQUESTED"),1,0)</x:f>
        <x:v>1</x:v>
      </x:c>
    </x:row>
    <x:row r="185">
      <x:c r="A185" t="str">
        <x:v>R-DOC-009</x:v>
      </x:c>
      <x:c r="B185" t="str">
        <x:v>Documentation &amp; Knowledge</x:v>
      </x:c>
      <x:c r="C185" t="str">
        <x:v>Candidate manifest authority</x:v>
      </x:c>
      <x:c r="D185" t="str">
        <x:v>Existe el riesgo de que ocurra lo siguiente: El manifiesto 32 candidato se utiliza como si fuera definitivo.</x:v>
      </x:c>
      <x:c r="E185" t="str">
        <x:v>Baseline documental y decisiones de release</x:v>
      </x:c>
      <x:c r="F185" t="str">
        <x:v>Documentation freeze</x:v>
      </x:c>
      <x:c r="G185" t="str">
        <x:v>Etiquetado ambiguo, ausencia de gate o distribución prematura del manifiesto candidato.</x:v>
      </x:c>
      <x:c r="H185" t="str">
        <x:v>El manifiesto 32 candidato se utiliza como si fuera definitivo</x:v>
      </x:c>
      <x:c r="I185" t="str">
        <x:v>Puede legitimar hashes, estados y archivos que todavía cambiarán, invalidando auditoría, handoff y paquete final.</x:v>
      </x:c>
      <x:c r="J185" t="n">
        <x:v>4</x:v>
      </x:c>
      <x:c r="K185" t="n">
        <x:v>5</x:v>
      </x:c>
      <x:c r="L185" t="n">
        <x:f>J185*K185</x:f>
        <x:v>20</x:v>
      </x:c>
      <x:c r="M185" t="str">
        <x:f>IF(L185&gt;=20,"CRITICAL",IF(L185&gt;=12,"HIGH",IF(L185&gt;=6,"MEDIUM","LOW")))</x:f>
        <x:v>CRITICAL</x:v>
      </x:c>
      <x:c r="N185" t="str">
        <x:v>FAST</x:v>
      </x:c>
      <x:c r="O185" t="str">
        <x:v>MODERATE</x:v>
      </x:c>
      <x:c r="P185" t="str">
        <x:v>Binder/Guía actualizados, trazabilidad 13, checklist 31 y política de manifiesto candidato/final.</x:v>
      </x:c>
      <x:c r="Q185" t="str">
        <x:v>DEFINED</x:v>
      </x:c>
      <x:c r="R185" t="str">
        <x:v>MITIGATE</x:v>
      </x:c>
      <x:c r="S185" t="str">
        <x:v>Marcar 32 como CANDIDATE; prohibir uso como autoridad final hasta cerrar 16, correcciones, hashes y freeze.</x:v>
      </x:c>
      <x:c r="T185" t="n">
        <x:v>4</x:v>
      </x:c>
      <x:c r="U185" t="n">
        <x:v>5</x:v>
      </x:c>
      <x:c r="V185" t="n">
        <x:f>T185*U185</x:f>
        <x:v>20</x:v>
      </x:c>
      <x:c r="W185" t="str">
        <x:f>IF(V185&gt;=20,"CRITICAL",IF(V185&gt;=12,"HIGH",IF(V185&gt;=6,"MEDIUM","LOW")))</x:f>
        <x:v>CRITICAL</x:v>
      </x:c>
      <x:c r="X185" t="str">
        <x:v>ZERO</x:v>
      </x:c>
      <x:c r="Y185" t="str">
        <x:f>IF(X185="ZERO",IF(V185=0,"WITHIN TOLERANCE","OUTSIDE TOLERANCE"),IF(X185="LOW",IF(V185&lt;=4,"WITHIN TOLERANCE","OUTSIDE TOLERANCE"),IF(X185="MODERATE",IF(V185&lt;=9,"WITHIN TOLERANCE","OUTSIDE TOLERANCE"),IF(X185="HIGH",IF(V185&lt;=16,"WITHIN TOLERANCE","OUTSIDE TOLERANCE"),"REVIEW"))))</x:f>
        <x:v>OUTSIDE TOLERANCE</x:v>
      </x:c>
      <x:c r="Z185" t="str">
        <x:v>Documentation</x:v>
      </x:c>
      <x:c r="AA185" t="str">
        <x:v>Project Owner / QA</x:v>
      </x:c>
      <x:c r="AB185" t="str">
        <x:v>Referencia a 32 como FINAL antes del cierre de auditoría</x:v>
      </x:c>
      <x:c r="AC185" t="str">
        <x:v>Cualquier uso del manifiesto candidato para aprobar o distribuir baseline.</x:v>
      </x:c>
      <x:c r="AD185" t="str">
        <x:v>Congelar distribución, identificar copias afectadas y declarar el estado candidato.</x:v>
      </x:c>
      <x:c r="AE185" t="str">
        <x:v>Regenerar 32 tras el último cambio, recalcular hashes y repetir la validación del paquete.</x:v>
      </x:c>
      <x:c r="AF185" t="str">
        <x:v>BIA-19</x:v>
      </x:c>
      <x:c r="AG185" t="str">
        <x:v>PB-17</x:v>
      </x:c>
      <x:c r="AH185" t="str">
        <x:v>TA-DOC-009</x:v>
      </x:c>
      <x:c r="AI185" t="str">
        <x:v>13, 14, 15, 16, 31, 32, 33, 34</x:v>
      </x:c>
      <x:c r="AJ185" t="str">
        <x:v>RC1 y control de cambios de consolidación</x:v>
      </x:c>
      <x:c r="AK185" t="str">
        <x:v>OPEN</x:v>
      </x:c>
      <x:c r="AL185" t="str">
        <x:v>WEEKLY</x:v>
      </x:c>
      <x:c r="AM185" t="str">
        <x:v>2026-07-01</x:v>
      </x:c>
      <x:c r="AN185" t="str">
        <x:v>2026-07-08</x:v>
      </x:c>
      <x:c r="AO185" t="str">
        <x:v>UNVERIFIED</x:v>
      </x:c>
      <x:c r="AP185" t="str">
        <x:v>Nuevo riesgo de consolidación. No cerrar hasta que 32 definitivo y el paquete estén verificados.</x:v>
      </x:c>
      <x:c r="AQ185" t="n">
        <x:f>IF(OR(M185="CRITICAL",W185="CRITICAL",Y185="OUTSIDE TOLERANCE",AK185="ESCALATED",AK185="ACCEPTANCE REQUESTED"),1,0)</x:f>
        <x:v>1</x:v>
      </x:c>
    </x:row>
    <x:row r="186">
      <x:c r="A186" t="str">
        <x:v>R-DOC-010</x:v>
      </x:c>
      <x:c r="B186" t="str">
        <x:v>Documentation &amp; Knowledge</x:v>
      </x:c>
      <x:c r="C186" t="str">
        <x:v>Stale hashes</x:v>
      </x:c>
      <x:c r="D186" t="str">
        <x:v>Existe el riesgo de que ocurra lo siguiente: Los hashes o tamaños quedan obsoletos tras regenerar un documento dependiente.</x:v>
      </x:c>
      <x:c r="E186" t="str">
        <x:v>Trazabilidad, manifiesto y checksums</x:v>
      </x:c>
      <x:c r="F186" t="str">
        <x:v>Documentation freeze</x:v>
      </x:c>
      <x:c r="G186" t="str">
        <x:v>Recalcular integridad antes de finalizar todos los cambios o no propagar una regeneración.</x:v>
      </x:c>
      <x:c r="H186" t="str">
        <x:v>Los hashes o tamaños quedan obsoletos tras regenerar un documento dependiente</x:v>
      </x:c>
      <x:c r="I186" t="str">
        <x:v>La verificación produce falsos fallos o falsos PASS y el paquete deja de ser reproducible.</x:v>
      </x:c>
      <x:c r="J186" t="n">
        <x:v>5</x:v>
      </x:c>
      <x:c r="K186" t="n">
        <x:v>5</x:v>
      </x:c>
      <x:c r="L186" t="n">
        <x:f>J186*K186</x:f>
        <x:v>25</x:v>
      </x:c>
      <x:c r="M186" t="str">
        <x:f>IF(L186&gt;=20,"CRITICAL",IF(L186&gt;=12,"HIGH",IF(L186&gt;=6,"MEDIUM","LOW")))</x:f>
        <x:v>CRITICAL</x:v>
      </x:c>
      <x:c r="N186" t="str">
        <x:v>IMMEDIATE</x:v>
      </x:c>
      <x:c r="O186" t="str">
        <x:v>EASY</x:v>
      </x:c>
      <x:c r="P186" t="str">
        <x:v>13 registra regeneraciones; 31 exige verificación; hash propio de 32/33 se mantiene externamente.</x:v>
      </x:c>
      <x:c r="Q186" t="str">
        <x:v>DEFINED</x:v>
      </x:c>
      <x:c r="R186" t="str">
        <x:v>MITIGATE</x:v>
      </x:c>
      <x:c r="S186" t="str">
        <x:v>Recalcular tamaños y SHA-256 únicamente tras el último cambio; invalidar automáticamente hashes anteriores.</x:v>
      </x:c>
      <x:c r="T186" t="n">
        <x:v>5</x:v>
      </x:c>
      <x:c r="U186" t="n">
        <x:v>5</x:v>
      </x:c>
      <x:c r="V186" t="n">
        <x:f>T186*U186</x:f>
        <x:v>25</x:v>
      </x:c>
      <x:c r="W186" t="str">
        <x:f>IF(V186&gt;=20,"CRITICAL",IF(V186&gt;=12,"HIGH",IF(V186&gt;=6,"MEDIUM","LOW")))</x:f>
        <x:v>CRITICAL</x:v>
      </x:c>
      <x:c r="X186" t="str">
        <x:v>ZERO</x:v>
      </x:c>
      <x:c r="Y186" t="str">
        <x:f>IF(X186="ZERO",IF(V186=0,"WITHIN TOLERANCE","OUTSIDE TOLERANCE"),IF(X186="LOW",IF(V186&lt;=4,"WITHIN TOLERANCE","OUTSIDE TOLERANCE"),IF(X186="MODERATE",IF(V186&lt;=9,"WITHIN TOLERANCE","OUTSIDE TOLERANCE"),IF(X186="HIGH",IF(V186&lt;=16,"WITHIN TOLERANCE","OUTSIDE TOLERANCE"),"REVIEW"))))</x:f>
        <x:v>OUTSIDE TOLERANCE</x:v>
      </x:c>
      <x:c r="Z186" t="str">
        <x:v>Documentation</x:v>
      </x:c>
      <x:c r="AA186" t="str">
        <x:v>QA</x:v>
      </x:c>
      <x:c r="AB186" t="str">
        <x:v>Un archivo cambia después de registrar su hash</x:v>
      </x:c>
      <x:c r="AC186" t="str">
        <x:v>Una sola discrepancia entre archivo, 13, 32 o CHECKSUMS_SHA256.txt.</x:v>
      </x:c>
      <x:c r="AD186" t="str">
        <x:v>Marcar baseline como no verificable y detener empaquetado/distribución.</x:v>
      </x:c>
      <x:c r="AE186" t="str">
        <x:v>Recrear inventario, hashes y referencias; repetir auditoría y validación desde una carpeta limpia.</x:v>
      </x:c>
      <x:c r="AF186" t="str">
        <x:v>BIA-19</x:v>
      </x:c>
      <x:c r="AG186" t="str">
        <x:v>PB-17</x:v>
      </x:c>
      <x:c r="AH186" t="str">
        <x:v>TA-DOC-010</x:v>
      </x:c>
      <x:c r="AI186" t="str">
        <x:v>13, 16, 31, 32, 33, 34</x:v>
      </x:c>
      <x:c r="AJ186" t="str">
        <x:v>RC1, regeneraciones 12–15, 21, 23 y 31</x:v>
      </x:c>
      <x:c r="AK186" t="str">
        <x:v>OPEN</x:v>
      </x:c>
      <x:c r="AL186" t="str">
        <x:v>ON CHANGE</x:v>
      </x:c>
      <x:c r="AM186" t="str">
        <x:v>2026-07-01</x:v>
      </x:c>
      <x:c r="AN186" t="str">
        <x:v>2026-07-02</x:v>
      </x:c>
      <x:c r="AO186" t="str">
        <x:v>UNVERIFIED</x:v>
      </x:c>
      <x:c r="AP186" t="str">
        <x:v>Incluye hashes internos imposibles por autorreferencia y su registro externo.</x:v>
      </x:c>
      <x:c r="AQ186" t="n">
        <x:f>IF(OR(M186="CRITICAL",W186="CRITICAL",Y186="OUTSIDE TOLERANCE",AK186="ESCALATED",AK186="ACCEPTANCE REQUESTED"),1,0)</x:f>
        <x:v>1</x:v>
      </x:c>
    </x:row>
    <x:row r="187">
      <x:c r="A187" t="str">
        <x:v>R-DOC-011</x:v>
      </x:c>
      <x:c r="B187" t="str">
        <x:v>Documentation &amp; Knowledge</x:v>
      </x:c>
      <x:c r="C187" t="str">
        <x:v>Package allowlist</x:v>
      </x:c>
      <x:c r="D187" t="str">
        <x:v>Existe el riesgo de que ocurra lo siguiente: El paquete final mezcla archivos aprobados con borradores, copias RC1 o versiones históricas.</x:v>
      </x:c>
      <x:c r="E187" t="str">
        <x:v>ZIP documental inmutable</x:v>
      </x:c>
      <x:c r="F187" t="str">
        <x:v>Packaging</x:v>
      </x:c>
      <x:c r="G187" t="str">
        <x:v>Copiado manual desde carpetas de trabajo sin lista blanca ni separación histórica.</x:v>
      </x:c>
      <x:c r="H187" t="str">
        <x:v>El paquete final mezcla archivos aprobados con borradores, copias RC1 o versiones históricas</x:v>
      </x:c>
      <x:c r="I187" t="str">
        <x:v>Los lectores pueden usar una versión incorrecta y la autoridad documental queda ambigua.</x:v>
      </x:c>
      <x:c r="J187" t="n">
        <x:v>4</x:v>
      </x:c>
      <x:c r="K187" t="n">
        <x:v>5</x:v>
      </x:c>
      <x:c r="L187" t="n">
        <x:f>J187*K187</x:f>
        <x:v>20</x:v>
      </x:c>
      <x:c r="M187" t="str">
        <x:f>IF(L187&gt;=20,"CRITICAL",IF(L187&gt;=12,"HIGH",IF(L187&gt;=6,"MEDIUM","LOW")))</x:f>
        <x:v>CRITICAL</x:v>
      </x:c>
      <x:c r="N187" t="str">
        <x:v>FAST</x:v>
      </x:c>
      <x:c r="O187" t="str">
        <x:v>MODERATE</x:v>
      </x:c>
      <x:c r="P187" t="str">
        <x:v>Binder, Guía, manifiesto, estructura Current_Baseline/Historical_Baselines y validation report.</x:v>
      </x:c>
      <x:c r="Q187" t="str">
        <x:v>PLANNED</x:v>
      </x:c>
      <x:c r="R187" t="str">
        <x:v>AVOID</x:v>
      </x:c>
      <x:c r="S187" t="str">
        <x:v>Construir el paquete desde una carpeta limpia y una allowlist exacta; separar historia y evidencia.</x:v>
      </x:c>
      <x:c r="T187" t="n">
        <x:v>4</x:v>
      </x:c>
      <x:c r="U187" t="n">
        <x:v>5</x:v>
      </x:c>
      <x:c r="V187" t="n">
        <x:f>T187*U187</x:f>
        <x:v>20</x:v>
      </x:c>
      <x:c r="W187" t="str">
        <x:f>IF(V187&gt;=20,"CRITICAL",IF(V187&gt;=12,"HIGH",IF(V187&gt;=6,"MEDIUM","LOW")))</x:f>
        <x:v>CRITICAL</x:v>
      </x:c>
      <x:c r="X187" t="str">
        <x:v>ZERO</x:v>
      </x:c>
      <x:c r="Y187" t="str">
        <x:f>IF(X187="ZERO",IF(V187=0,"WITHIN TOLERANCE","OUTSIDE TOLERANCE"),IF(X187="LOW",IF(V187&lt;=4,"WITHIN TOLERANCE","OUTSIDE TOLERANCE"),IF(X187="MODERATE",IF(V187&lt;=9,"WITHIN TOLERANCE","OUTSIDE TOLERANCE"),IF(X187="HIGH",IF(V187&lt;=16,"WITHIN TOLERANCE","OUTSIDE TOLERANCE"),"REVIEW"))))</x:f>
        <x:v>OUTSIDE TOLERANCE</x:v>
      </x:c>
      <x:c r="Z187" t="str">
        <x:v>Documentation</x:v>
      </x:c>
      <x:c r="AA187" t="str">
        <x:v>Project Owner</x:v>
      </x:c>
      <x:c r="AB187" t="str">
        <x:v>Duplicados, nombres alternativos o archivos no listados en 32</x:v>
      </x:c>
      <x:c r="AC187" t="str">
        <x:v>Cualquier archivo no aprobado dentro de Current_Baseline.</x:v>
      </x:c>
      <x:c r="AD187" t="str">
        <x:v>Quarantinar el ZIP y preservar la carpeta de origen para análisis.</x:v>
      </x:c>
      <x:c r="AE187" t="str">
        <x:v>Reconstruir desde la lista aprobada, verificar rutas y repetir extracción/checksums.</x:v>
      </x:c>
      <x:c r="AF187" t="str">
        <x:v>BIA-19</x:v>
      </x:c>
      <x:c r="AG187" t="str">
        <x:v>PB-17</x:v>
      </x:c>
      <x:c r="AH187" t="str">
        <x:v>TA-DOC-011</x:v>
      </x:c>
      <x:c r="AI187" t="str">
        <x:v>14, 15, 31, 32, 33, 34</x:v>
      </x:c>
      <x:c r="AJ187" t="str">
        <x:v>RC1 y estructura recomendada del paquete</x:v>
      </x:c>
      <x:c r="AK187" t="str">
        <x:v>OPEN</x:v>
      </x:c>
      <x:c r="AL187" t="str">
        <x:v>PER BASELINE</x:v>
      </x:c>
      <x:c r="AM187" t="str">
        <x:v>2026-07-01</x:v>
      </x:c>
      <x:c r="AN187" t="str">
        <x:v>2026-07-31</x:v>
      </x:c>
      <x:c r="AO187" t="str">
        <x:v>UNVERIFIED</x:v>
      </x:c>
      <x:c r="AP187" t="str">
        <x:v>La carpeta histórica no puede competir con la baseline vigente.</x:v>
      </x:c>
      <x:c r="AQ187" t="n">
        <x:f>IF(OR(M187="CRITICAL",W187="CRITICAL",Y187="OUTSIDE TOLERANCE",AK187="ESCALATED",AK187="ACCEPTANCE REQUESTED"),1,0)</x:f>
        <x:v>1</x:v>
      </x:c>
    </x:row>
    <x:row r="188">
      <x:c r="A188" t="str">
        <x:v>R-DOC-012</x:v>
      </x:c>
      <x:c r="B188" t="str">
        <x:v>Documentation &amp; Knowledge</x:v>
      </x:c>
      <x:c r="C188" t="str">
        <x:v>External checksums</x:v>
      </x:c>
      <x:c r="D188" t="str">
        <x:v>Existe el riesgo de que ocurra lo siguiente: CHECKSUMS_SHA256.txt, el hash del ZIP o el manifiesto externo faltan o no coinciden.</x:v>
      </x:c>
      <x:c r="E188" t="str">
        <x:v>Integridad verificable del paquete</x:v>
      </x:c>
      <x:c r="F188" t="str">
        <x:v>Packaging / Handoff</x:v>
      </x:c>
      <x:c r="G188" t="str">
        <x:v>Autorreferencia, omisión del artefacto externo o checksum calculado antes del ZIP definitivo.</x:v>
      </x:c>
      <x:c r="H188" t="str">
        <x:v>CHECKSUMS_SHA256.txt, el hash del ZIP o el manifiesto externo faltan o no coinciden</x:v>
      </x:c>
      <x:c r="I188" t="str">
        <x:v>No puede demostrarse que la copia entregada sea idéntica a la aprobada.</x:v>
      </x:c>
      <x:c r="J188" t="n">
        <x:v>4</x:v>
      </x:c>
      <x:c r="K188" t="n">
        <x:v>5</x:v>
      </x:c>
      <x:c r="L188" t="n">
        <x:f>J188*K188</x:f>
        <x:v>20</x:v>
      </x:c>
      <x:c r="M188" t="str">
        <x:f>IF(L188&gt;=20,"CRITICAL",IF(L188&gt;=12,"HIGH",IF(L188&gt;=6,"MEDIUM","LOW")))</x:f>
        <x:v>CRITICAL</x:v>
      </x:c>
      <x:c r="N188" t="str">
        <x:v>IMMEDIATE</x:v>
      </x:c>
      <x:c r="O188" t="str">
        <x:v>EASY</x:v>
      </x:c>
      <x:c r="P188" t="str">
        <x:v>Política de self-hash externo, 31, 32, PACKAGE_MANIFEST y restore verification.</x:v>
      </x:c>
      <x:c r="Q188" t="str">
        <x:v>PLANNED</x:v>
      </x:c>
      <x:c r="R188" t="str">
        <x:v>MITIGATE</x:v>
      </x:c>
      <x:c r="S188" t="str">
        <x:v>Generar checksums finales después del freeze, incluido hash externo de 32/33 y checksum separado del ZIP.</x:v>
      </x:c>
      <x:c r="T188" t="n">
        <x:v>4</x:v>
      </x:c>
      <x:c r="U188" t="n">
        <x:v>5</x:v>
      </x:c>
      <x:c r="V188" t="n">
        <x:f>T188*U188</x:f>
        <x:v>20</x:v>
      </x:c>
      <x:c r="W188" t="str">
        <x:f>IF(V188&gt;=20,"CRITICAL",IF(V188&gt;=12,"HIGH",IF(V188&gt;=6,"MEDIUM","LOW")))</x:f>
        <x:v>CRITICAL</x:v>
      </x:c>
      <x:c r="X188" t="str">
        <x:v>ZERO</x:v>
      </x:c>
      <x:c r="Y188" t="str">
        <x:f>IF(X188="ZERO",IF(V188=0,"WITHIN TOLERANCE","OUTSIDE TOLERANCE"),IF(X188="LOW",IF(V188&lt;=4,"WITHIN TOLERANCE","OUTSIDE TOLERANCE"),IF(X188="MODERATE",IF(V188&lt;=9,"WITHIN TOLERANCE","OUTSIDE TOLERANCE"),IF(X188="HIGH",IF(V188&lt;=16,"WITHIN TOLERANCE","OUTSIDE TOLERANCE"),"REVIEW"))))</x:f>
        <x:v>OUTSIDE TOLERANCE</x:v>
      </x:c>
      <x:c r="Z188" t="str">
        <x:v>Documentation</x:v>
      </x:c>
      <x:c r="AA188" t="str">
        <x:v>Security / QA</x:v>
      </x:c>
      <x:c r="AB188" t="str">
        <x:v>Hash ausente, formato inválido o discrepancia en extracción</x:v>
      </x:c>
      <x:c r="AC188" t="str">
        <x:v>Una discrepancia de SHA-256.</x:v>
      </x:c>
      <x:c r="AD188" t="str">
        <x:v>Detener uso/distribución y preservar la copia discrepante.</x:v>
      </x:c>
      <x:c r="AE188" t="str">
        <x:v>Recalcular desde archivos aprobados, regenerar artefactos externos y repetir clean-room validation.</x:v>
      </x:c>
      <x:c r="AF188" t="str">
        <x:v>BIA-19</x:v>
      </x:c>
      <x:c r="AG188" t="str">
        <x:v>PB-17</x:v>
      </x:c>
      <x:c r="AH188" t="str">
        <x:v>TA-DOC-012</x:v>
      </x:c>
      <x:c r="AI188" t="str">
        <x:v>16, 31, 32, 33, 34</x:v>
      </x:c>
      <x:c r="AJ188" t="str">
        <x:v>Política de integridad de RC1</x:v>
      </x:c>
      <x:c r="AK188" t="str">
        <x:v>OPEN</x:v>
      </x:c>
      <x:c r="AL188" t="str">
        <x:v>PER BASELINE</x:v>
      </x:c>
      <x:c r="AM188" t="str">
        <x:v>2026-07-01</x:v>
      </x:c>
      <x:c r="AN188" t="str">
        <x:v>2026-07-31</x:v>
      </x:c>
      <x:c r="AO188" t="str">
        <x:v>UNVERIFIED</x:v>
      </x:c>
      <x:c r="AP188" t="str">
        <x:v>El checksum del ZIP debe publicarse fuera del propio ZIP.</x:v>
      </x:c>
      <x:c r="AQ188" t="n">
        <x:f>IF(OR(M188="CRITICAL",W188="CRITICAL",Y188="OUTSIDE TOLERANCE",AK188="ESCALATED",AK188="ACCEPTANCE REQUESTED"),1,0)</x:f>
        <x:v>1</x:v>
      </x:c>
    </x:row>
    <x:row r="189">
      <x:c r="A189" t="str">
        <x:v>R-BCP-031</x:v>
      </x:c>
      <x:c r="B189" t="str">
        <x:v>Business Continuity</x:v>
      </x:c>
      <x:c r="C189" t="str">
        <x:v>Clean-room restoration</x:v>
      </x:c>
      <x:c r="D189" t="str">
        <x:v>Existe el riesgo de que ocurra lo siguiente: El ZIP documental y sus artefactos no pueden restaurarse y verificarse en un destino limpio.</x:v>
      </x:c>
      <x:c r="E189" t="str">
        <x:v>Recuperación total de documentación</x:v>
      </x:c>
      <x:c r="F189" t="str">
        <x:v>Continuity validation</x:v>
      </x:c>
      <x:c r="G189" t="str">
        <x:v>Copias incompletas, rutas inválidas, corrupción, dependencias implícitas o procedimiento no probado.</x:v>
      </x:c>
      <x:c r="H189" t="str">
        <x:v>El ZIP documental y sus artefactos no pueden restaurarse y verificarse en un destino limpio</x:v>
      </x:c>
      <x:c r="I189" t="str">
        <x:v>La existencia del backup no permite recuperar una baseline operativa y auditable.</x:v>
      </x:c>
      <x:c r="J189" t="n">
        <x:v>4</x:v>
      </x:c>
      <x:c r="K189" t="n">
        <x:v>5</x:v>
      </x:c>
      <x:c r="L189" t="n">
        <x:f>J189*K189</x:f>
        <x:v>20</x:v>
      </x:c>
      <x:c r="M189" t="str">
        <x:f>IF(L189&gt;=20,"CRITICAL",IF(L189&gt;=12,"HIGH",IF(L189&gt;=6,"MEDIUM","LOW")))</x:f>
        <x:v>CRITICAL</x:v>
      </x:c>
      <x:c r="N189" t="str">
        <x:v>FAST</x:v>
      </x:c>
      <x:c r="O189" t="str">
        <x:v>HARD</x:v>
      </x:c>
      <x:c r="P189" t="str">
        <x:v>BK-05/BK-17, PB-17/PB-18, runbooks y pruebas de restauración.</x:v>
      </x:c>
      <x:c r="Q189" t="str">
        <x:v>PLANNED</x:v>
      </x:c>
      <x:c r="R189" t="str">
        <x:v>MITIGATE</x:v>
      </x:c>
      <x:c r="S189" t="str">
        <x:v>Extraer en entorno limpio, verificar todos los hashes, abrir Excel/Markdown y registrar tiempos/defectos.</x:v>
      </x:c>
      <x:c r="T189" t="n">
        <x:v>4</x:v>
      </x:c>
      <x:c r="U189" t="n">
        <x:v>5</x:v>
      </x:c>
      <x:c r="V189" t="n">
        <x:f>T189*U189</x:f>
        <x:v>20</x:v>
      </x:c>
      <x:c r="W189" t="str">
        <x:f>IF(V189&gt;=20,"CRITICAL",IF(V189&gt;=12,"HIGH",IF(V189&gt;=6,"MEDIUM","LOW")))</x:f>
        <x:v>CRITICAL</x:v>
      </x:c>
      <x:c r="X189" t="str">
        <x:v>ZERO</x:v>
      </x:c>
      <x:c r="Y189" t="str">
        <x:f>IF(X189="ZERO",IF(V189=0,"WITHIN TOLERANCE","OUTSIDE TOLERANCE"),IF(X189="LOW",IF(V189&lt;=4,"WITHIN TOLERANCE","OUTSIDE TOLERANCE"),IF(X189="MODERATE",IF(V189&lt;=9,"WITHIN TOLERANCE","OUTSIDE TOLERANCE"),IF(X189="HIGH",IF(V189&lt;=16,"WITHIN TOLERANCE","OUTSIDE TOLERANCE"),"REVIEW"))))</x:f>
        <x:v>OUTSIDE TOLERANCE</x:v>
      </x:c>
      <x:c r="Z189" t="str">
        <x:v>Continuity</x:v>
      </x:c>
      <x:c r="AA189" t="str">
        <x:v>Independent Reviewer</x:v>
      </x:c>
      <x:c r="AB189" t="str">
        <x:v>Fallo de extracción, hash, apertura o ruta durante el restore</x:v>
      </x:c>
      <x:c r="AC189" t="str">
        <x:v>Cualquier artefacto crítico no recuperable dentro del RTO.</x:v>
      </x:c>
      <x:c r="AD189" t="str">
        <x:v>Usar la última copia independiente verificada y preservar la fallida.</x:v>
      </x:c>
      <x:c r="AE189" t="str">
        <x:v>Ejecutar RB-16; reparar la fuente, regenerar el paquete y repetir la prueba completa.</x:v>
      </x:c>
      <x:c r="AF189" t="str">
        <x:v>BIA-19</x:v>
      </x:c>
      <x:c r="AG189" t="str">
        <x:v>PB-18</x:v>
      </x:c>
      <x:c r="AH189" t="str">
        <x:v>TA-BCP-031</x:v>
      </x:c>
      <x:c r="AI189" t="str">
        <x:v>15, 16, 31, 32, 33, 34</x:v>
      </x:c>
      <x:c r="AJ189" t="str">
        <x:v>Backups 3-2-1 y restore tests históricos</x:v>
      </x:c>
      <x:c r="AK189" t="str">
        <x:v>OPEN</x:v>
      </x:c>
      <x:c r="AL189" t="str">
        <x:v>PER BASELINE</x:v>
      </x:c>
      <x:c r="AM189" t="str">
        <x:v>2026-07-01</x:v>
      </x:c>
      <x:c r="AN189" t="str">
        <x:v>2026-07-31</x:v>
      </x:c>
      <x:c r="AO189" t="str">
        <x:v>UNVERIFIED</x:v>
      </x:c>
      <x:c r="AP189" t="str">
        <x:v>No existe PASS hasta producir evidencia de clean-room restore.</x:v>
      </x:c>
      <x:c r="AQ189" t="n">
        <x:f>IF(OR(M189="CRITICAL",W189="CRITICAL",Y189="OUTSIDE TOLERANCE",AK189="ESCALATED",AK189="ACCEPTANCE REQUESTED"),1,0)</x:f>
        <x:v>1</x:v>
      </x:c>
    </x:row>
    <x:row r="190">
      <x:c r="A190" t="str">
        <x:v>R-BCP-032</x:v>
      </x:c>
      <x:c r="B190" t="str">
        <x:v>Business Continuity</x:v>
      </x:c>
      <x:c r="C190" t="str">
        <x:v>Independent handoff</x:v>
      </x:c>
      <x:c r="D190" t="str">
        <x:v>Existe el riesgo de que ocurra lo siguiente: Un operador alternativo no puede retomar el proyecto sin asistencia del propietario.</x:v>
      </x:c>
      <x:c r="E190" t="str">
        <x:v>Continuidad de conocimiento y operación</x:v>
      </x:c>
      <x:c r="F190" t="str">
        <x:v>Handoff / Owner absence</x:v>
      </x:c>
      <x:c r="G190" t="str">
        <x:v>Manual 34 incompleto, credenciales inaccesibles, estado no actualizado o pasos dependientes de conocimiento tácito.</x:v>
      </x:c>
      <x:c r="H190" t="str">
        <x:v>Un operador alternativo no puede retomar el proyecto sin asistencia del propietario</x:v>
      </x:c>
      <x:c r="I190" t="str">
        <x:v>La recuperación se bloquea aunque existan archivos y backups.</x:v>
      </x:c>
      <x:c r="J190" t="n">
        <x:v>4</x:v>
      </x:c>
      <x:c r="K190" t="n">
        <x:v>5</x:v>
      </x:c>
      <x:c r="L190" t="n">
        <x:f>J190*K190</x:f>
        <x:v>20</x:v>
      </x:c>
      <x:c r="M190" t="str">
        <x:f>IF(L190&gt;=20,"CRITICAL",IF(L190&gt;=12,"HIGH",IF(L190&gt;=6,"MEDIUM","LOW")))</x:f>
        <x:v>CRITICAL</x:v>
      </x:c>
      <x:c r="N190" t="str">
        <x:v>FAST</x:v>
      </x:c>
      <x:c r="O190" t="str">
        <x:v>HARD</x:v>
      </x:c>
      <x:c r="P190" t="str">
        <x:v>Binder 14, Guía 15, manual 34, roles, paquete final y drill de handoff.</x:v>
      </x:c>
      <x:c r="Q190" t="str">
        <x:v>PLANNED</x:v>
      </x:c>
      <x:c r="R190" t="str">
        <x:v>MITIGATE</x:v>
      </x:c>
      <x:c r="S190" t="str">
        <x:v>Ejecutar un handoff independiente: localizar baseline, validar estado, abrir proyecto y producir un plan de siguiente acción.</x:v>
      </x:c>
      <x:c r="T190" t="n">
        <x:v>4</x:v>
      </x:c>
      <x:c r="U190" t="n">
        <x:v>5</x:v>
      </x:c>
      <x:c r="V190" t="n">
        <x:f>T190*U190</x:f>
        <x:v>20</x:v>
      </x:c>
      <x:c r="W190" t="str">
        <x:f>IF(V190&gt;=20,"CRITICAL",IF(V190&gt;=12,"HIGH",IF(V190&gt;=6,"MEDIUM","LOW")))</x:f>
        <x:v>CRITICAL</x:v>
      </x:c>
      <x:c r="X190" t="str">
        <x:v>ZERO</x:v>
      </x:c>
      <x:c r="Y190" t="str">
        <x:f>IF(X190="ZERO",IF(V190=0,"WITHIN TOLERANCE","OUTSIDE TOLERANCE"),IF(X190="LOW",IF(V190&lt;=4,"WITHIN TOLERANCE","OUTSIDE TOLERANCE"),IF(X190="MODERATE",IF(V190&lt;=9,"WITHIN TOLERANCE","OUTSIDE TOLERANCE"),IF(X190="HIGH",IF(V190&lt;=16,"WITHIN TOLERANCE","OUTSIDE TOLERANCE"),"REVIEW"))))</x:f>
        <x:v>OUTSIDE TOLERANCE</x:v>
      </x:c>
      <x:c r="Z190" t="str">
        <x:v>Project Owner</x:v>
      </x:c>
      <x:c r="AA190" t="str">
        <x:v>Designated Alternate</x:v>
      </x:c>
      <x:c r="AB190" t="str">
        <x:v>El alterno necesita instrucciones no documentadas o acceso del owner</x:v>
      </x:c>
      <x:c r="AC190" t="str">
        <x:v>No completar el checklist de retoma dentro de 24 h.</x:v>
      </x:c>
      <x:c r="AD190" t="str">
        <x:v>Activar PB-02 y limitar decisiones irreversibles.</x:v>
      </x:c>
      <x:c r="AE190" t="str">
        <x:v>Ejecutar RB-17, corregir 34/roles/accesos y repetir el drill con otro operador.</x:v>
      </x:c>
      <x:c r="AF190" t="str">
        <x:v>BIA-20</x:v>
      </x:c>
      <x:c r="AG190" t="str">
        <x:v>PB-02</x:v>
      </x:c>
      <x:c r="AH190" t="str">
        <x:v>TA-BCP-032</x:v>
      </x:c>
      <x:c r="AI190" t="str">
        <x:v>14, 15, 27, 31, 32, 33, 34</x:v>
      </x:c>
      <x:c r="AJ190" t="str">
        <x:v>Handoffs y continuidad de persona clave</x:v>
      </x:c>
      <x:c r="AK190" t="str">
        <x:v>OPEN</x:v>
      </x:c>
      <x:c r="AL190" t="str">
        <x:v>SEMIANNUAL</x:v>
      </x:c>
      <x:c r="AM190" t="str">
        <x:v>2026-07-01</x:v>
      </x:c>
      <x:c r="AN190" t="str">
        <x:v>2026-12-31</x:v>
      </x:c>
      <x:c r="AO190" t="str">
        <x:v>UNVERIFIED</x:v>
      </x:c>
      <x:c r="AP190" t="str">
        <x:v>La lectura del manual no equivale a una retoma demostrada.</x:v>
      </x:c>
      <x:c r="AQ190" t="n">
        <x:f>IF(OR(M190="CRITICAL",W190="CRITICAL",Y190="OUTSIDE TOLERANCE",AK190="ESCALATED",AK190="ACCEPTANCE REQUESTED"),1,0)</x:f>
        <x:v>1</x:v>
      </x:c>
    </x:row>
    <x:row r="191">
      <x:c r="A191" t="str">
        <x:v>R-GOV-011</x:v>
      </x:c>
      <x:c r="B191" t="str">
        <x:v>Governance &amp; Scope</x:v>
      </x:c>
      <x:c r="C191" t="str">
        <x:v>Audit exception governance</x:v>
      </x:c>
      <x:c r="D191" t="str">
        <x:v>Existe el riesgo de que ocurra lo siguiente: La baseline se cierra con hallazgos BLOCKER/HIGH sin resolver ni excepción formal.</x:v>
      </x:c>
      <x:c r="E191" t="str">
        <x:v>Autoridad de cierre documental</x:v>
      </x:c>
      <x:c r="F191" t="str">
        <x:v>Audit / Freeze</x:v>
      </x:c>
      <x:c r="G191" t="str">
        <x:v>Presión de calendario, criterios ambiguos o aceptación informal.</x:v>
      </x:c>
      <x:c r="H191" t="str">
        <x:v>La baseline se cierra con hallazgos BLOCKER/HIGH sin resolver ni excepción formal</x:v>
      </x:c>
      <x:c r="I191" t="str">
        <x:v>Se congela una baseline conocida como incoherente o no verificable.</x:v>
      </x:c>
      <x:c r="J191" t="n">
        <x:v>3</x:v>
      </x:c>
      <x:c r="K191" t="n">
        <x:v>5</x:v>
      </x:c>
      <x:c r="L191" t="n">
        <x:f>J191*K191</x:f>
        <x:v>15</x:v>
      </x:c>
      <x:c r="M191" t="str">
        <x:f>IF(L191&gt;=20,"CRITICAL",IF(L191&gt;=12,"HIGH",IF(L191&gt;=6,"MEDIUM","LOW")))</x:f>
        <x:v>HIGH</x:v>
      </x:c>
      <x:c r="N191" t="str">
        <x:v>FAST</x:v>
      </x:c>
      <x:c r="O191" t="str">
        <x:v>EASY</x:v>
      </x:c>
      <x:c r="P191" t="str">
        <x:v>Auditoría 16, trazabilidad 13, checklist 31, aceptación de riesgo y signoff.</x:v>
      </x:c>
      <x:c r="Q191" t="str">
        <x:v>DEFINED</x:v>
      </x:c>
      <x:c r="R191" t="str">
        <x:v>AVOID</x:v>
      </x:c>
      <x:c r="S191" t="str">
        <x:v>Impedir freeze mientras existan BLOCKER/HIGH, salvo excepción escrita con owner, alcance, expiración y compensaciones.</x:v>
      </x:c>
      <x:c r="T191" t="n">
        <x:v>3</x:v>
      </x:c>
      <x:c r="U191" t="n">
        <x:v>5</x:v>
      </x:c>
      <x:c r="V191" t="n">
        <x:f>T191*U191</x:f>
        <x:v>15</x:v>
      </x:c>
      <x:c r="W191" t="str">
        <x:f>IF(V191&gt;=20,"CRITICAL",IF(V191&gt;=12,"HIGH",IF(V191&gt;=6,"MEDIUM","LOW")))</x:f>
        <x:v>HIGH</x:v>
      </x:c>
      <x:c r="X191" t="str">
        <x:v>ZERO</x:v>
      </x:c>
      <x:c r="Y191" t="str">
        <x:f>IF(X191="ZERO",IF(V191=0,"WITHIN TOLERANCE","OUTSIDE TOLERANCE"),IF(X191="LOW",IF(V191&lt;=4,"WITHIN TOLERANCE","OUTSIDE TOLERANCE"),IF(X191="MODERATE",IF(V191&lt;=9,"WITHIN TOLERANCE","OUTSIDE TOLERANCE"),IF(X191="HIGH",IF(V191&lt;=16,"WITHIN TOLERANCE","OUTSIDE TOLERANCE"),"REVIEW"))))</x:f>
        <x:v>OUTSIDE TOLERANCE</x:v>
      </x:c>
      <x:c r="Z191" t="str">
        <x:v>Project Owner / QA</x:v>
      </x:c>
      <x:c r="AA191" t="str">
        <x:v>Documentation</x:v>
      </x:c>
      <x:c r="AB191" t="str">
        <x:v>Solicitud de cierre con hallazgo BLOCKER/HIGH abierto</x:v>
      </x:c>
      <x:c r="AC191" t="str">
        <x:v>Uno o más hallazgos sin resolución o excepción aprobada.</x:v>
      </x:c>
      <x:c r="AD191" t="str">
        <x:v>Bloquear gate y convocar decisión formal.</x:v>
      </x:c>
      <x:c r="AE191" t="str">
        <x:v>Resolver/corregir, registrar en 13/33/31 y regenerar 16 antes del freeze.</x:v>
      </x:c>
      <x:c r="AF191" t="str">
        <x:v>BIA-01</x:v>
      </x:c>
      <x:c r="AG191" t="str">
        <x:v>PB-01</x:v>
      </x:c>
      <x:c r="AH191" t="str">
        <x:v>TA-GOV-011</x:v>
      </x:c>
      <x:c r="AI191" t="str">
        <x:v>13, 16, 31, 32, 33</x:v>
      </x:c>
      <x:c r="AJ191" t="str">
        <x:v>Criterios de auditoría y cierre RC1</x:v>
      </x:c>
      <x:c r="AK191" t="str">
        <x:v>OPEN</x:v>
      </x:c>
      <x:c r="AL191" t="str">
        <x:v>PER GATE</x:v>
      </x:c>
      <x:c r="AM191" t="str">
        <x:v>2026-07-01</x:v>
      </x:c>
      <x:c r="AN191" t="str">
        <x:v>2026-07-31</x:v>
      </x:c>
      <x:c r="AO191" t="str">
        <x:v>UNVERIFIED</x:v>
      </x:c>
      <x:c r="AP191" t="str">
        <x:v>La excepción debe ser visible y no puede transformar evidencia ausente en PASS.</x:v>
      </x:c>
      <x:c r="AQ191" t="n">
        <x:f>IF(OR(M191="CRITICAL",W191="CRITICAL",Y191="OUTSIDE TOLERANCE",AK191="ESCALATED",AK191="ACCEPTANCE REQUESTED"),1,0)</x:f>
        <x:v>1</x:v>
      </x:c>
    </x:row>
    <x:row r="192">
      <x:c r="A192" t="str">
        <x:v>R-PRD-011</x:v>
      </x:c>
      <x:c r="B192" t="str">
        <x:v>Production &amp; Schedule</x:v>
      </x:c>
      <x:c r="C192" t="str">
        <x:v>Consolidation sequence</x:v>
      </x:c>
      <x:c r="D192" t="str">
        <x:v>Existe el riesgo de que ocurra lo siguiente: Los documentos se regeneran fuera de orden y se invalidan referencias, auditoría o hashes ya cerrados.</x:v>
      </x:c>
      <x:c r="E192" t="str">
        <x:v>Secuencia de consolidación y freeze</x:v>
      </x:c>
      <x:c r="F192" t="str">
        <x:v>Documentation consolidation</x:v>
      </x:c>
      <x:c r="G192" t="str">
        <x:v>Trabajo paralelo no coordinado o cierre prematuro de 16/32.</x:v>
      </x:c>
      <x:c r="H192" t="str">
        <x:v>Los documentos se regeneran fuera de orden y se invalidan referencias, auditoría o hashes ya cerrados</x:v>
      </x:c>
      <x:c r="I192" t="str">
        <x:v>Se repiten auditorías, se pierden horas y aumenta la probabilidad de inconsistencia.</x:v>
      </x:c>
      <x:c r="J192" t="n">
        <x:v>4</x:v>
      </x:c>
      <x:c r="K192" t="n">
        <x:v>4</x:v>
      </x:c>
      <x:c r="L192" t="n">
        <x:f>J192*K192</x:f>
        <x:v>16</x:v>
      </x:c>
      <x:c r="M192" t="str">
        <x:f>IF(L192&gt;=20,"CRITICAL",IF(L192&gt;=12,"HIGH",IF(L192&gt;=6,"MEDIUM","LOW")))</x:f>
        <x:v>HIGH</x:v>
      </x:c>
      <x:c r="N192" t="str">
        <x:v>MEDIUM</x:v>
      </x:c>
      <x:c r="O192" t="str">
        <x:v>MODERATE</x:v>
      </x:c>
      <x:c r="P192" t="str">
        <x:v>Orden maestro: 23,31,33,34,32 candidata,16 candidata, correcciones,16 final,32 final.</x:v>
      </x:c>
      <x:c r="Q192" t="str">
        <x:v>DEFINED</x:v>
      </x:c>
      <x:c r="R192" t="str">
        <x:v>MITIGATE</x:v>
      </x:c>
      <x:c r="S192" t="str">
        <x:v>Aplicar dependencia Finish-to-Start y registrar cada regeneración en 13/17_Change_Log.</x:v>
      </x:c>
      <x:c r="T192" t="n">
        <x:v>4</x:v>
      </x:c>
      <x:c r="U192" t="n">
        <x:v>4</x:v>
      </x:c>
      <x:c r="V192" t="n">
        <x:f>T192*U192</x:f>
        <x:v>16</x:v>
      </x:c>
      <x:c r="W192" t="str">
        <x:f>IF(V192&gt;=20,"CRITICAL",IF(V192&gt;=12,"HIGH",IF(V192&gt;=6,"MEDIUM","LOW")))</x:f>
        <x:v>HIGH</x:v>
      </x:c>
      <x:c r="X192" t="str">
        <x:v>LOW</x:v>
      </x:c>
      <x:c r="Y192" t="str">
        <x:f>IF(X192="ZERO",IF(V192=0,"WITHIN TOLERANCE","OUTSIDE TOLERANCE"),IF(X192="LOW",IF(V192&lt;=4,"WITHIN TOLERANCE","OUTSIDE TOLERANCE"),IF(X192="MODERATE",IF(V192&lt;=9,"WITHIN TOLERANCE","OUTSIDE TOLERANCE"),IF(X192="HIGH",IF(V192&lt;=16,"WITHIN TOLERANCE","OUTSIDE TOLERANCE"),"REVIEW"))))</x:f>
        <x:v>OUTSIDE TOLERANCE</x:v>
      </x:c>
      <x:c r="Z192" t="str">
        <x:v>Production / Documentation</x:v>
      </x:c>
      <x:c r="AA192" t="str">
        <x:v>Project Owner</x:v>
      </x:c>
      <x:c r="AB192" t="str">
        <x:v>Cambio de un documento ya usado para cerrar otro posterior</x:v>
      </x:c>
      <x:c r="AC192" t="str">
        <x:v>Cualquier cambio no propagado a documentos dependientes.</x:v>
      </x:c>
      <x:c r="AD192" t="str">
        <x:v>Marcar como stale los artefactos posteriores y detener freeze.</x:v>
      </x:c>
      <x:c r="AE192" t="str">
        <x:v>Reabrir la cadena dependiente, actualizar referencias y repetir validación desde el primer artefacto afectado.</x:v>
      </x:c>
      <x:c r="AF192" t="str">
        <x:v>BIA-03</x:v>
      </x:c>
      <x:c r="AG192" t="str">
        <x:v>PB-03</x:v>
      </x:c>
      <x:c r="AH192" t="str">
        <x:v>TA-PRD-011</x:v>
      </x:c>
      <x:c r="AI192" t="str">
        <x:v>12, 13, 14, 15, 16, 31, 32, 33, 34</x:v>
      </x:c>
      <x:c r="AJ192" t="str">
        <x:v>Secuencia de consolidación tras RC1</x:v>
      </x:c>
      <x:c r="AK192" t="str">
        <x:v>OPEN</x:v>
      </x:c>
      <x:c r="AL192" t="str">
        <x:v>ON CHANGE</x:v>
      </x:c>
      <x:c r="AM192" t="str">
        <x:v>2026-07-01</x:v>
      </x:c>
      <x:c r="AN192" t="str">
        <x:v>2026-07-02</x:v>
      </x:c>
      <x:c r="AO192" t="str">
        <x:v>UNVERIFIED</x:v>
      </x:c>
      <x:c r="AP192" t="str">
        <x:v>Riesgo de proceso; no implica que el trabajo documental esté incompleto.</x:v>
      </x:c>
      <x:c r="AQ192" t="n">
        <x:f>IF(OR(M192="CRITICAL",W192="CRITICAL",Y192="OUTSIDE TOLERANCE",AK192="ESCALATED",AK192="ACCEPTANCE REQUESTED"),1,0)</x:f>
        <x:v>1</x:v>
      </x:c>
    </x:row>
    <x:row r="193">
      <x:c r="A193" t="str">
        <x:v>R-SEC-013</x:v>
      </x:c>
      <x:c r="B193" t="str">
        <x:v>Security &amp; Secrets</x:v>
      </x:c>
      <x:c r="C193" t="str">
        <x:v>Package redaction</x:v>
      </x:c>
      <x:c r="D193" t="str">
        <x:v>Existe el riesgo de que ocurra lo siguiente: El paquete documental o la evidencia incluyen secretos, datos personales o rutas sensibles.</x:v>
      </x:c>
      <x:c r="E193" t="str">
        <x:v>Paquete final, evidencias y cuentas</x:v>
      </x:c>
      <x:c r="F193" t="str">
        <x:v>Packaging / Handoff</x:v>
      </x:c>
      <x:c r="G193" t="str">
        <x:v>Copiado de logs, capturas, exports o archivos de configuración sin revisión/redacción.</x:v>
      </x:c>
      <x:c r="H193" t="str">
        <x:v>El paquete documental o la evidencia incluyen secretos, datos personales o rutas sensibles</x:v>
      </x:c>
      <x:c r="I193" t="str">
        <x:v>Compromiso de cuentas, privacidad, seguridad o reputación.</x:v>
      </x:c>
      <x:c r="J193" t="n">
        <x:v>3</x:v>
      </x:c>
      <x:c r="K193" t="n">
        <x:v>5</x:v>
      </x:c>
      <x:c r="L193" t="n">
        <x:f>J193*K193</x:f>
        <x:v>15</x:v>
      </x:c>
      <x:c r="M193" t="str">
        <x:f>IF(L193&gt;=20,"CRITICAL",IF(L193&gt;=12,"HIGH",IF(L193&gt;=6,"MEDIUM","LOW")))</x:f>
        <x:v>HIGH</x:v>
      </x:c>
      <x:c r="N193" t="str">
        <x:v>IMMEDIATE</x:v>
      </x:c>
      <x:c r="O193" t="str">
        <x:v>MODERATE</x:v>
      </x:c>
      <x:c r="P193" t="str">
        <x:v>Plan 27, mínimo privilegio, secret scan, revisión legal/privacidad y separación de evidence.</x:v>
      </x:c>
      <x:c r="Q193" t="str">
        <x:v>PLANNED</x:v>
      </x:c>
      <x:c r="R193" t="str">
        <x:v>AVOID</x:v>
      </x:c>
      <x:c r="S193" t="str">
        <x:v>Ejecutar escaneo de secretos y revisión de PII; excluir credenciales y almacenar evidencia restringida por separado.</x:v>
      </x:c>
      <x:c r="T193" t="n">
        <x:v>3</x:v>
      </x:c>
      <x:c r="U193" t="n">
        <x:v>5</x:v>
      </x:c>
      <x:c r="V193" t="n">
        <x:f>T193*U193</x:f>
        <x:v>15</x:v>
      </x:c>
      <x:c r="W193" t="str">
        <x:f>IF(V193&gt;=20,"CRITICAL",IF(V193&gt;=12,"HIGH",IF(V193&gt;=6,"MEDIUM","LOW")))</x:f>
        <x:v>HIGH</x:v>
      </x:c>
      <x:c r="X193" t="str">
        <x:v>ZERO</x:v>
      </x:c>
      <x:c r="Y193" t="str">
        <x:f>IF(X193="ZERO",IF(V193=0,"WITHIN TOLERANCE","OUTSIDE TOLERANCE"),IF(X193="LOW",IF(V193&lt;=4,"WITHIN TOLERANCE","OUTSIDE TOLERANCE"),IF(X193="MODERATE",IF(V193&lt;=9,"WITHIN TOLERANCE","OUTSIDE TOLERANCE"),IF(X193="HIGH",IF(V193&lt;=16,"WITHIN TOLERANCE","OUTSIDE TOLERANCE"),"REVIEW"))))</x:f>
        <x:v>OUTSIDE TOLERANCE</x:v>
      </x:c>
      <x:c r="Z193" t="str">
        <x:v>Security</x:v>
      </x:c>
      <x:c r="AA193" t="str">
        <x:v>Privacy/Legal</x:v>
      </x:c>
      <x:c r="AB193" t="str">
        <x:v>Token, email privado, clave, ruta de usuario o dato personal detectado</x:v>
      </x:c>
      <x:c r="AC193" t="str">
        <x:v>Una exposición confirmada.</x:v>
      </x:c>
      <x:c r="AD193" t="str">
        <x:v>Quarantinar paquete, revocar/rotar secretos y preservar evidencia.</x:v>
      </x:c>
      <x:c r="AE193" t="str">
        <x:v>Sanitizar, regenerar, recalcular hashes y documentar el incidente/alcance.</x:v>
      </x:c>
      <x:c r="AF193" t="str">
        <x:v>BIA-10</x:v>
      </x:c>
      <x:c r="AG193" t="str">
        <x:v>PB-12</x:v>
      </x:c>
      <x:c r="AH193" t="str">
        <x:v>TA-SEC-013</x:v>
      </x:c>
      <x:c r="AI193" t="str">
        <x:v>23, 26, 27, 31, 32, 33, 34</x:v>
      </x:c>
      <x:c r="AJ193" t="str">
        <x:v>Planes de privacidad, seguridad y evidencias</x:v>
      </x:c>
      <x:c r="AK193" t="str">
        <x:v>OPEN</x:v>
      </x:c>
      <x:c r="AL193" t="str">
        <x:v>PER PACKAGE</x:v>
      </x:c>
      <x:c r="AM193" t="str">
        <x:v>2026-07-01</x:v>
      </x:c>
      <x:c r="AN193" t="str">
        <x:v>2026-07-31</x:v>
      </x:c>
      <x:c r="AO193" t="str">
        <x:v>UNVERIFIED</x:v>
      </x:c>
      <x:c r="AP193" t="str">
        <x:v>No incluir secretos reales en manuales, manifests ni capturas.</x:v>
      </x:c>
      <x:c r="AQ193" t="n">
        <x:f>IF(OR(M193="CRITICAL",W193="CRITICAL",Y193="OUTSIDE TOLERANCE",AK193="ESCALATED",AK193="ACCEPTANCE REQUESTED"),1,0)</x:f>
        <x:v>1</x:v>
      </x:c>
    </x:row>
    <x:row r="194">
      <x:c r="A194" t="str">
        <x:v>R-LEG-009</x:v>
      </x:c>
      <x:c r="B194" t="str">
        <x:v>Legal, IP &amp; Compliance</x:v>
      </x:c>
      <x:c r="C194" t="str">
        <x:v>Handoff legal evidence</x:v>
      </x:c>
      <x:c r="D194" t="str">
        <x:v>Existe el riesgo de que ocurra lo siguiente: Licencias, créditos, permisos o contratos no están verificados cuando se entrega o publica el proyecto.</x:v>
      </x:c>
      <x:c r="E194" t="str">
        <x:v>Derecho a distribuir y atribuciones</x:v>
      </x:c>
      <x:c r="F194" t="str">
        <x:v>Handoff / Release</x:v>
      </x:c>
      <x:c r="G194" t="str">
        <x:v>Registro 23 incompleto, evidencia no recuperable o cambios de assets después de la revisión.</x:v>
      </x:c>
      <x:c r="H194" t="str">
        <x:v>Licencias, créditos, permisos o contratos no están verificados cuando se entrega o publica el proyecto</x:v>
      </x:c>
      <x:c r="I194" t="str">
        <x:v>Bloqueo de lanzamiento, retirada de contenido, reclamación o incumplimiento de atribución.</x:v>
      </x:c>
      <x:c r="J194" t="n">
        <x:v>3</x:v>
      </x:c>
      <x:c r="K194" t="n">
        <x:v>5</x:v>
      </x:c>
      <x:c r="L194" t="n">
        <x:f>J194*K194</x:f>
        <x:v>15</x:v>
      </x:c>
      <x:c r="M194" t="str">
        <x:f>IF(L194&gt;=20,"CRITICAL",IF(L194&gt;=12,"HIGH",IF(L194&gt;=6,"MEDIUM","LOW")))</x:f>
        <x:v>HIGH</x:v>
      </x:c>
      <x:c r="N194" t="str">
        <x:v>FAST</x:v>
      </x:c>
      <x:c r="O194" t="str">
        <x:v>MODERATE</x:v>
      </x:c>
      <x:c r="P194" t="str">
        <x:v>Registro 23 actualizado, inventario de assets, evidence archive, gate legal y backup BK-14.</x:v>
      </x:c>
      <x:c r="Q194" t="str">
        <x:v>DEFINED</x:v>
      </x:c>
      <x:c r="R194" t="str">
        <x:v>MITIGATE</x:v>
      </x:c>
      <x:c r="S194" t="str">
        <x:v>Verificar muestra y cobertura total de activos de release; asegurar créditos/licencias y evidencia recuperable.</x:v>
      </x:c>
      <x:c r="T194" t="n">
        <x:v>3</x:v>
      </x:c>
      <x:c r="U194" t="n">
        <x:v>5</x:v>
      </x:c>
      <x:c r="V194" t="n">
        <x:f>T194*U194</x:f>
        <x:v>15</x:v>
      </x:c>
      <x:c r="W194" t="str">
        <x:f>IF(V194&gt;=20,"CRITICAL",IF(V194&gt;=12,"HIGH",IF(V194&gt;=6,"MEDIUM","LOW")))</x:f>
        <x:v>HIGH</x:v>
      </x:c>
      <x:c r="X194" t="str">
        <x:v>ZERO</x:v>
      </x:c>
      <x:c r="Y194" t="str">
        <x:f>IF(X194="ZERO",IF(V194=0,"WITHIN TOLERANCE","OUTSIDE TOLERANCE"),IF(X194="LOW",IF(V194&lt;=4,"WITHIN TOLERANCE","OUTSIDE TOLERANCE"),IF(X194="MODERATE",IF(V194&lt;=9,"WITHIN TOLERANCE","OUTSIDE TOLERANCE"),IF(X194="HIGH",IF(V194&lt;=16,"WITHIN TOLERANCE","OUTSIDE TOLERANCE"),"REVIEW"))))</x:f>
        <x:v>OUTSIDE TOLERANCE</x:v>
      </x:c>
      <x:c r="Z194" t="str">
        <x:v>Legal</x:v>
      </x:c>
      <x:c r="AA194" t="str">
        <x:v>Project Owner</x:v>
      </x:c>
      <x:c r="AB194" t="str">
        <x:v>Activo de release sin licencia/autor/evidencia o crédito pendiente</x:v>
      </x:c>
      <x:c r="AC194" t="str">
        <x:v>Un activo distribuible sin base legal verificable.</x:v>
      </x:c>
      <x:c r="AD194" t="str">
        <x:v>Bloquear distribución del activo/build afectado.</x:v>
      </x:c>
      <x:c r="AE194" t="str">
        <x:v>Sustituir o licenciar, actualizar créditos/23, repetir verificación y regenerar paquete.</x:v>
      </x:c>
      <x:c r="AF194" t="str">
        <x:v>BIA-09</x:v>
      </x:c>
      <x:c r="AG194" t="str">
        <x:v>PB-09</x:v>
      </x:c>
      <x:c r="AH194" t="str">
        <x:v>TA-LEG-009</x:v>
      </x:c>
      <x:c r="AI194" t="str">
        <x:v>17, 18, 19, 21, 22, 23, 24, 31, 33, 34</x:v>
      </x:c>
      <x:c r="AJ194" t="str">
        <x:v>Registro legal y licencias RC1/Tras_RC1</x:v>
      </x:c>
      <x:c r="AK194" t="str">
        <x:v>OPEN</x:v>
      </x:c>
      <x:c r="AL194" t="str">
        <x:v>PER RELEASE</x:v>
      </x:c>
      <x:c r="AM194" t="str">
        <x:v>2026-07-01</x:v>
      </x:c>
      <x:c r="AN194" t="str">
        <x:v>2026-07-31</x:v>
      </x:c>
      <x:c r="AO194" t="str">
        <x:v>UNVERIFIED</x:v>
      </x:c>
      <x:c r="AP194" t="str">
        <x:v>Mantener controles no verificados hasta revisar evidencia real.</x:v>
      </x:c>
      <x:c r="AQ194" t="n">
        <x:f>IF(OR(M194="CRITICAL",W194="CRITICAL",Y194="OUTSIDE TOLERANCE",AK194="ESCALATED",AK194="ACCEPTANCE REQUESTED"),1,0)</x:f>
        <x:v>1</x:v>
      </x:c>
    </x:row>
    <x:row r="195">
      <x:c r="A195" t="str">
        <x:v>R-PUB-009</x:v>
      </x:c>
      <x:c r="B195" t="str">
        <x:v>Publishing, Marketing &amp; Reputation</x:v>
      </x:c>
      <x:c r="C195" t="str">
        <x:v>Unsupported readiness claims</x:v>
      </x:c>
      <x:c r="D195" t="str">
        <x:v>Existe el riesgo de que ocurra lo siguiente: Se comunica H6, release readiness, rendimiento o accesibilidad como validados sin evidencia.</x:v>
      </x:c>
      <x:c r="E195" t="str">
        <x:v>Confianza pública y decisiones de lanzamiento</x:v>
      </x:c>
      <x:c r="F195" t="str">
        <x:v>Marketing / Release</x:v>
      </x:c>
      <x:c r="G195" t="str">
        <x:v>Confundir documento planificado con ejecución, o copiar estados objetivo a comunicaciones.</x:v>
      </x:c>
      <x:c r="H195" t="str">
        <x:v>Se comunica H6, release readiness, rendimiento o accesibilidad como validados sin evidencia</x:v>
      </x:c>
      <x:c r="I195" t="str">
        <x:v>Claims engañosos, pérdida de confianza y decisiones de lanzamiento incorrectas.</x:v>
      </x:c>
      <x:c r="J195" t="n">
        <x:v>3</x:v>
      </x:c>
      <x:c r="K195" t="n">
        <x:v>4</x:v>
      </x:c>
      <x:c r="L195" t="n">
        <x:f>J195*K195</x:f>
        <x:v>12</x:v>
      </x:c>
      <x:c r="M195" t="str">
        <x:f>IF(L195&gt;=20,"CRITICAL",IF(L195&gt;=12,"HIGH",IF(L195&gt;=6,"MEDIUM","LOW")))</x:f>
        <x:v>HIGH</x:v>
      </x:c>
      <x:c r="N195" t="str">
        <x:v>FAST</x:v>
      </x:c>
      <x:c r="O195" t="str">
        <x:v>MODERATE</x:v>
      </x:c>
      <x:c r="P195" t="str">
        <x:v>Checklist 31, planes 24/28/29/30, revisión legal y aprobación de claims.</x:v>
      </x:c>
      <x:c r="Q195" t="str">
        <x:v>DEFINED</x:v>
      </x:c>
      <x:c r="R195" t="str">
        <x:v>AVOID</x:v>
      </x:c>
      <x:c r="S195" t="str">
        <x:v>Permitir claims únicamente desde evidencia enlazada y estados PASS firmados; usar lenguaje provisional mientras tanto.</x:v>
      </x:c>
      <x:c r="T195" t="n">
        <x:v>3</x:v>
      </x:c>
      <x:c r="U195" t="n">
        <x:v>4</x:v>
      </x:c>
      <x:c r="V195" t="n">
        <x:f>T195*U195</x:f>
        <x:v>12</x:v>
      </x:c>
      <x:c r="W195" t="str">
        <x:f>IF(V195&gt;=20,"CRITICAL",IF(V195&gt;=12,"HIGH",IF(V195&gt;=6,"MEDIUM","LOW")))</x:f>
        <x:v>HIGH</x:v>
      </x:c>
      <x:c r="X195" t="str">
        <x:v>LOW</x:v>
      </x:c>
      <x:c r="Y195" t="str">
        <x:f>IF(X195="ZERO",IF(V195=0,"WITHIN TOLERANCE","OUTSIDE TOLERANCE"),IF(X195="LOW",IF(V195&lt;=4,"WITHIN TOLERANCE","OUTSIDE TOLERANCE"),IF(X195="MODERATE",IF(V195&lt;=9,"WITHIN TOLERANCE","OUTSIDE TOLERANCE"),IF(X195="HIGH",IF(V195&lt;=16,"WITHIN TOLERANCE","OUTSIDE TOLERANCE"),"REVIEW"))))</x:f>
        <x:v>OUTSIDE TOLERANCE</x:v>
      </x:c>
      <x:c r="Z195" t="str">
        <x:v>Publishing / Marketing</x:v>
      </x:c>
      <x:c r="AA195" t="str">
        <x:v>QA / Legal</x:v>
      </x:c>
      <x:c r="AB195" t="str">
        <x:v>Texto público afirma cumplimiento sin Evidence ID/Build ID</x:v>
      </x:c>
      <x:c r="AC195" t="str">
        <x:v>Un claim no respaldado en material público o store.</x:v>
      </x:c>
      <x:c r="AD195" t="str">
        <x:v>Pausar/publicar corrección y preservar la versión difundida.</x:v>
      </x:c>
      <x:c r="AE195" t="str">
        <x:v>Corregir claims, actualizar 28/31/23 y documentar aprobación.</x:v>
      </x:c>
      <x:c r="AF195" t="str">
        <x:v>BIA-11</x:v>
      </x:c>
      <x:c r="AG195" t="str">
        <x:v>PB-14</x:v>
      </x:c>
      <x:c r="AH195" t="str">
        <x:v>TA-PUB-009</x:v>
      </x:c>
      <x:c r="AI195" t="str">
        <x:v>23, 24, 28, 29, 30, 31, 33, 34</x:v>
      </x:c>
      <x:c r="AJ195" t="str">
        <x:v>Marketing, accesibilidad, rendimiento y release readiness</x:v>
      </x:c>
      <x:c r="AK195" t="str">
        <x:v>OPEN</x:v>
      </x:c>
      <x:c r="AL195" t="str">
        <x:v>PER CLAIM</x:v>
      </x:c>
      <x:c r="AM195" t="str">
        <x:v>2026-07-01</x:v>
      </x:c>
      <x:c r="AN195" t="str">
        <x:v>2026-07-31</x:v>
      </x:c>
      <x:c r="AO195" t="str">
        <x:v>UNVERIFIED</x:v>
      </x:c>
      <x:c r="AP195" t="str">
        <x:v>La documentación terminada no equivale a capacidad ejecutada.</x:v>
      </x:c>
      <x:c r="AQ195" t="n">
        <x:f>IF(OR(M195="CRITICAL",W195="CRITICAL",Y195="OUTSIDE TOLERANCE",AK195="ESCALATED",AK195="ACCEPTANCE REQUESTED"),1,0)</x:f>
        <x:v>1</x:v>
      </x:c>
    </x:row>
    <x:row r="196">
      <x:c r="A196" t="str">
        <x:v>R-EXT-009</x:v>
      </x:c>
      <x:c r="B196" t="str">
        <x:v>External Services &amp; Vendors</x:v>
      </x:c>
      <x:c r="C196" t="str">
        <x:v>Git/environment binding</x:v>
      </x:c>
      <x:c r="D196" t="str">
        <x:v>Existe el riesgo de que ocurra lo siguiente: La baseline documental no corresponde al commit, tag, Unity o paquetes disponibles para restauración.</x:v>
      </x:c>
      <x:c r="E196" t="str">
        <x:v>Relación documentación-proyecto ejecutable</x:v>
      </x:c>
      <x:c r="F196" t="str">
        <x:v>Freeze / Recovery</x:v>
      </x:c>
      <x:c r="G196" t="str">
        <x:v>Commit/tag no registrado, dependencia remota perdida o metadata de entorno incompleta.</x:v>
      </x:c>
      <x:c r="H196" t="str">
        <x:v>La baseline documental no corresponde al commit, tag, Unity o paquetes disponibles para restauración</x:v>
      </x:c>
      <x:c r="I196" t="str">
        <x:v>El proyecto restaurado no reproduce el estado auditado y el handoff no puede validar builds.</x:v>
      </x:c>
      <x:c r="J196" t="n">
        <x:v>4</x:v>
      </x:c>
      <x:c r="K196" t="n">
        <x:v>5</x:v>
      </x:c>
      <x:c r="L196" t="n">
        <x:f>J196*K196</x:f>
        <x:v>20</x:v>
      </x:c>
      <x:c r="M196" t="str">
        <x:f>IF(L196&gt;=20,"CRITICAL",IF(L196&gt;=12,"HIGH",IF(L196&gt;=6,"MEDIUM","LOW")))</x:f>
        <x:v>CRITICAL</x:v>
      </x:c>
      <x:c r="N196" t="str">
        <x:v>FAST</x:v>
      </x:c>
      <x:c r="O196" t="str">
        <x:v>HARD</x:v>
      </x:c>
      <x:c r="P196" t="str">
        <x:v>Guías 10/11, package lock, commit/tag en 13/32/34 y copia independiente del repositorio.</x:v>
      </x:c>
      <x:c r="Q196" t="str">
        <x:v>PLANNED</x:v>
      </x:c>
      <x:c r="R196" t="str">
        <x:v>MITIGATE</x:v>
      </x:c>
      <x:c r="S196" t="str">
        <x:v>Vincular baseline a commit/tag, Unity y package manifest; probar checkout/import/build desde copia independiente.</x:v>
      </x:c>
      <x:c r="T196" t="n">
        <x:v>4</x:v>
      </x:c>
      <x:c r="U196" t="n">
        <x:v>5</x:v>
      </x:c>
      <x:c r="V196" t="n">
        <x:f>T196*U196</x:f>
        <x:v>20</x:v>
      </x:c>
      <x:c r="W196" t="str">
        <x:f>IF(V196&gt;=20,"CRITICAL",IF(V196&gt;=12,"HIGH",IF(V196&gt;=6,"MEDIUM","LOW")))</x:f>
        <x:v>CRITICAL</x:v>
      </x:c>
      <x:c r="X196" t="str">
        <x:v>ZERO</x:v>
      </x:c>
      <x:c r="Y196" t="str">
        <x:f>IF(X196="ZERO",IF(V196=0,"WITHIN TOLERANCE","OUTSIDE TOLERANCE"),IF(X196="LOW",IF(V196&lt;=4,"WITHIN TOLERANCE","OUTSIDE TOLERANCE"),IF(X196="MODERATE",IF(V196&lt;=9,"WITHIN TOLERANCE","OUTSIDE TOLERANCE"),IF(X196="HIGH",IF(V196&lt;=16,"WITHIN TOLERANCE","OUTSIDE TOLERANCE"),"REVIEW"))))</x:f>
        <x:v>OUTSIDE TOLERANCE</x:v>
      </x:c>
      <x:c r="Z196" t="str">
        <x:v>Engineering / Documentation</x:v>
      </x:c>
      <x:c r="AA196" t="str">
        <x:v>Build / Continuity</x:v>
      </x:c>
      <x:c r="AB196" t="str">
        <x:v>Commit/tag inexistente, paquetes no resolubles o Unity distinta</x:v>
      </x:c>
      <x:c r="AC196" t="str">
        <x:v>No reproducir el proyecto/documentación desde una fuente independiente.</x:v>
      </x:c>
      <x:c r="AD196" t="str">
        <x:v>Bloquear validación y preservar la última copia conocida.</x:v>
      </x:c>
      <x:c r="AE196" t="str">
        <x:v>Restaurar refs/bundle/cache, corregir metadata y repetir clean build + documentation validation.</x:v>
      </x:c>
      <x:c r="AF196" t="str">
        <x:v>BIA-15</x:v>
      </x:c>
      <x:c r="AG196" t="str">
        <x:v>PB-04</x:v>
      </x:c>
      <x:c r="AH196" t="str">
        <x:v>TA-EXT-009</x:v>
      </x:c>
      <x:c r="AI196" t="str">
        <x:v>10, 11, 13, 27, 31, 32, 33, 34</x:v>
      </x:c>
      <x:c r="AJ196" t="str">
        <x:v>Setup/build/versioning y dependencias externas</x:v>
      </x:c>
      <x:c r="AK196" t="str">
        <x:v>OPEN</x:v>
      </x:c>
      <x:c r="AL196" t="str">
        <x:v>PER BASELINE</x:v>
      </x:c>
      <x:c r="AM196" t="str">
        <x:v>2026-07-01</x:v>
      </x:c>
      <x:c r="AN196" t="str">
        <x:v>2026-07-31</x:v>
      </x:c>
      <x:c r="AO196" t="str">
        <x:v>UNVERIFIED</x:v>
      </x:c>
      <x:c r="AP196" t="str">
        <x:v>Registrar el commit/tag real cuando exista; no inventarlo.</x:v>
      </x:c>
      <x:c r="AQ196" t="n">
        <x:f>IF(OR(M196="CRITICAL",W196="CRITICAL",Y196="OUTSIDE TOLERANCE",AK196="ESCALATED",AK196="ACCEPTANCE REQUESTED"),1,0)</x:f>
        <x:v>1</x:v>
      </x:c>
    </x:row>
  </x:sheetData>
  <x:mergeCells>
    <x:mergeCell ref="A1:AQ1"/>
    <x:mergeCell ref="A2:AQ2"/>
  </x:mergeCells>
  <x:conditionalFormatting sqref="M5:M184">
    <x:cfRule type="expression" dxfId="0" priority="1">
      <x:formula>M5="CRITICAL"</x:formula>
    </x:cfRule>
    <x:cfRule type="expression" dxfId="1" priority="2">
      <x:formula>M5="HIGH"</x:formula>
    </x:cfRule>
    <x:cfRule type="expression" dxfId="2" priority="3">
      <x:formula>M5="MEDIUM"</x:formula>
    </x:cfRule>
    <x:cfRule type="expression" dxfId="3" priority="4">
      <x:formula>M5="LOW"</x:formula>
    </x:cfRule>
  </x:conditionalFormatting>
  <x:conditionalFormatting sqref="W5:W184">
    <x:cfRule type="expression" dxfId="4" priority="5">
      <x:formula>W5="CRITICAL"</x:formula>
    </x:cfRule>
    <x:cfRule type="expression" dxfId="5" priority="6">
      <x:formula>W5="HIGH"</x:formula>
    </x:cfRule>
    <x:cfRule type="expression" dxfId="6" priority="7">
      <x:formula>W5="MEDIUM"</x:formula>
    </x:cfRule>
    <x:cfRule type="expression" dxfId="7" priority="8">
      <x:formula>W5="LOW"</x:formula>
    </x:cfRule>
  </x:conditionalFormatting>
  <x:conditionalFormatting sqref="Y5:Y184">
    <x:cfRule type="expression" dxfId="8" priority="9">
      <x:formula>Y5="OUTSIDE TOLERANCE"</x:formula>
    </x:cfRule>
    <x:cfRule type="expression" dxfId="9" priority="10">
      <x:formula>Y5="WITHIN TOLERANCE"</x:formula>
    </x:cfRule>
  </x:conditionalFormatting>
  <x:conditionalFormatting sqref="AQ5:AQ184">
    <x:cfRule type="dataBar" priority="1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{C4BF78A6-75B7-0255-84AE-18A3337445AE}</x14:id>
        </x:ext>
      </x:extLst>
    </x:cfRule>
  </x:conditionalFormatting>
  <x:dataValidations count="6">
    <x:dataValidation type="list" sqref="Q5:Q184">
      <x:formula1>"ABSENT,PLANNED,PARTIAL,DEFINED,OPERATING,VERIFIED"</x:formula1>
    </x:dataValidation>
    <x:dataValidation type="list" sqref="R5:R184">
      <x:formula1>"AVOID,MITIGATE,TRANSFER,ACCEPT,EXPLOIT / ENHANCE"</x:formula1>
    </x:dataValidation>
    <x:dataValidation type="list" sqref="X5:X184">
      <x:formula1>"ZERO,LOW,MODERATE,HIGH"</x:formula1>
    </x:dataValidation>
    <x:dataValidation type="list" sqref="AK5:AK184">
      <x:formula1>"OPEN,MONITORING,TREATING,ESCALATED,ACCEPTANCE REQUESTED,ACCEPTED,CLOSED,RETIRED"</x:formula1>
    </x:dataValidation>
    <x:dataValidation type="list" sqref="AL5:AL184">
      <x:formula1>"WEEKLY,BIWEEKLY,MONTHLY,QUARTERLY,PER MILESTONE,ON CHANGE"</x:formula1>
    </x:dataValidation>
    <x:dataValidation type="list" sqref="AO5:AO184">
      <x:formula1>"UNVERIFIED,PARTIAL EVIDENCE,VERIFIED,EXPIRED,NOT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3df4a5c314a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1" id="{C4BF78A6-75B7-0255-84AE-18A3337445AE}">
            <x14:dataBar gradient="0">
              <x14:cfvo type="min"/>
              <x14:cfvo type="max"/>
              <x14:fillColor rgb="FFB91C1C"/>
            </x14:dataBar>
          </x14:cfRule>
          <xm:sqref>AQ5:AQ184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5" hidden="0" customWidth="1"/>
    <x:col min="4" max="4" width="42" hidden="0" customWidth="1"/>
    <x:col min="5" max="5" width="68" hidden="0" customWidth="1"/>
    <x:col min="6" max="6" width="28" hidden="0" customWidth="1"/>
    <x:col min="7" max="7" width="28" hidden="0" customWidth="1"/>
    <x:col min="8" max="8" width="10" hidden="0" customWidth="1"/>
    <x:col min="9" max="9" width="16" hidden="0" customWidth="1"/>
    <x:col min="10" max="10" width="13" hidden="0" customWidth="1"/>
    <x:col min="11" max="11" width="13" hidden="0" customWidth="1"/>
    <x:col min="12" max="12" width="14" hidden="0" customWidth="1"/>
    <x:col min="13" max="13" width="55" hidden="0" customWidth="1"/>
    <x:col min="14" max="14" width="55" hidden="0" customWidth="1"/>
    <x:col min="15" max="15" width="35" hidden="0" customWidth="1"/>
    <x:col min="16" max="16" width="14" hidden="0" customWidth="1"/>
    <x:col min="17" max="17" width="50" hidden="0" customWidth="1"/>
  </x:cols>
  <x:sheetData>
    <x:row r="1" ht="36" customHeight="1">
      <x:c r="A1" s="5" t="str">
        <x:v>03 — Risk Treatment Action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42" customHeight="1">
      <x:c r="A2" s="13" t="str">
        <x:v>One actionable treatment record per initialized risk. Actions remain OPEN until a deliverable and evidence satisfy the acceptance criterion.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>
      <x:c r="A4" s="21" t="str">
        <x:v>Action ID</x:v>
      </x:c>
      <x:c r="B4" s="21" t="str">
        <x:v>Risk ID</x:v>
      </x:c>
      <x:c r="C4" s="21" t="str">
        <x:v>Category</x:v>
      </x:c>
      <x:c r="D4" s="21" t="str">
        <x:v>Action Title</x:v>
      </x:c>
      <x:c r="E4" s="21" t="str">
        <x:v>Action / Deliverable</x:v>
      </x:c>
      <x:c r="F4" s="21" t="str">
        <x:v>Owner</x:v>
      </x:c>
      <x:c r="G4" s="21" t="str">
        <x:v>Alternate</x:v>
      </x:c>
      <x:c r="H4" s="21" t="str">
        <x:v>Priority</x:v>
      </x:c>
      <x:c r="I4" s="21" t="str">
        <x:v>Status</x:v>
      </x:c>
      <x:c r="J4" s="21" t="str">
        <x:v>Opened</x:v>
      </x:c>
      <x:c r="K4" s="21" t="str">
        <x:v>Target Date</x:v>
      </x:c>
      <x:c r="L4" s="21" t="str">
        <x:v>Completed Date</x:v>
      </x:c>
      <x:c r="M4" s="21" t="str">
        <x:v>Acceptance Criterion</x:v>
      </x:c>
      <x:c r="N4" s="21" t="str">
        <x:v>Sources / Basis</x:v>
      </x:c>
      <x:c r="O4" s="21" t="str">
        <x:v>Progress Note</x:v>
      </x:c>
      <x:c r="P4" s="21" t="str">
        <x:v>Completion %</x:v>
      </x:c>
      <x:c r="Q4" s="21" t="str">
        <x:v>Notes</x:v>
      </x:c>
    </x:row>
    <x:row r="5">
      <x:c r="A5" s="27" t="str">
        <x:v>TA-GOV-001</x:v>
      </x:c>
      <x:c r="B5" s="27" t="str">
        <x:v>R-GOV-001</x:v>
      </x:c>
      <x:c r="C5" s="36" t="str">
        <x:v>Governance &amp; Scope</x:v>
      </x:c>
      <x:c r="D5" s="36" t="str">
        <x:v>Reducir riesgo: Se incorpora funcionalidad no contractual antes de H6</x:v>
      </x:c>
      <x:c r="E5" s="36" t="str">
        <x:v>Aplicar change control; cuantificar coste, valor y riesgo; diferir fuera de H6 o rechazar.</x:v>
      </x:c>
      <x:c r="F5" s="36" t="str">
        <x:v>Project Owner / Production</x:v>
      </x:c>
      <x:c r="G5" s="36" t="str">
        <x:v>Game Design</x:v>
      </x:c>
      <x:c r="H5" s="36" t="str">
        <x:v>P1</x:v>
      </x:c>
      <x:c r="I5" s="36" t="str">
        <x:v>OPEN</x:v>
      </x:c>
      <x:c r="J5" s="46" t="str">
        <x:v>2026-07-01</x:v>
      </x:c>
      <x:c r="K5" s="46" t="str">
        <x:v>2026-07-08</x:v>
      </x:c>
      <x:c r="L5" s="46" t="str"/>
      <x:c r="M5" s="36" t="str">
        <x:v>Control verificable y evidencia ligada a R-GOV-001.</x:v>
      </x:c>
      <x:c r="N5" s="36" t="str">
        <x:v>00, 01, 02, 06, 12, 13, 14, 15, 16, 31, 32, 33, 34; Enfoque, GDD, Roadmap, Binder, Guía y auditorías v0.3–v0.6</x:v>
      </x:c>
      <x:c r="O5" s="36" t="str">
        <x:v>No iniciada</x:v>
      </x:c>
      <x:c r="P5" s="47" t="n">
        <x:v>0</x:v>
      </x:c>
      <x:c r="Q5" s="36" t="str">
        <x:v>No ejecutar cierre sin evidencia.</x:v>
      </x:c>
    </x:row>
    <x:row r="6">
      <x:c r="A6" s="27" t="str">
        <x:v>TA-GOV-002</x:v>
      </x:c>
      <x:c r="B6" s="27" t="str">
        <x:v>R-GOV-002</x:v>
      </x:c>
      <x:c r="C6" s="36" t="str">
        <x:v>Governance &amp; Scope</x:v>
      </x:c>
      <x:c r="D6" s="36" t="str">
        <x:v>Reducir riesgo: Dos documentos vigentes prescriben decisiones incompatibles</x:v>
      </x:c>
      <x:c r="E6" s="36" t="str">
        <x:v>Aplicar change control; cuantificar coste, valor y riesgo; diferir fuera de H6 o rechazar.</x:v>
      </x:c>
      <x:c r="F6" s="36" t="str">
        <x:v>Project Owner / Production</x:v>
      </x:c>
      <x:c r="G6" s="36" t="str">
        <x:v>Game Design</x:v>
      </x:c>
      <x:c r="H6" s="36" t="str">
        <x:v>P1</x:v>
      </x:c>
      <x:c r="I6" s="36" t="str">
        <x:v>OPEN</x:v>
      </x:c>
      <x:c r="J6" s="46" t="str">
        <x:v>2026-07-01</x:v>
      </x:c>
      <x:c r="K6" s="46" t="str">
        <x:v>2026-07-31</x:v>
      </x:c>
      <x:c r="L6" s="46" t="str"/>
      <x:c r="M6" s="36" t="str">
        <x:v>Control verificable y evidencia ligada a R-GOV-002.</x:v>
      </x:c>
      <x:c r="N6" s="36" t="str">
        <x:v>00, 01, 02, 06, 12, 13, 14, 15, 16, 31, 32, 33, 34; Enfoque, GDD, Roadmap, Binder, Guía y auditorías v0.3–v0.6</x:v>
      </x:c>
      <x:c r="O6" s="36" t="str">
        <x:v>No iniciada</x:v>
      </x:c>
      <x:c r="P6" s="47" t="n">
        <x:v>0</x:v>
      </x:c>
      <x:c r="Q6" s="36" t="str">
        <x:v>No ejecutar cierre sin evidencia.</x:v>
      </x:c>
    </x:row>
    <x:row r="7">
      <x:c r="A7" s="27" t="str">
        <x:v>TA-GOV-003</x:v>
      </x:c>
      <x:c r="B7" s="27" t="str">
        <x:v>R-GOV-003</x:v>
      </x:c>
      <x:c r="C7" s="36" t="str">
        <x:v>Governance &amp; Scope</x:v>
      </x:c>
      <x:c r="D7" s="36" t="str">
        <x:v>Reducir riesgo: La experiencia implementada se desvía de los pilares aprobados</x:v>
      </x:c>
      <x:c r="E7" s="36" t="str">
        <x:v>Aplicar change control; cuantificar coste, valor y riesgo; diferir fuera de H6 o rechazar.</x:v>
      </x:c>
      <x:c r="F7" s="36" t="str">
        <x:v>Project Owner / Production</x:v>
      </x:c>
      <x:c r="G7" s="36" t="str">
        <x:v>Game Design</x:v>
      </x:c>
      <x:c r="H7" s="36" t="str">
        <x:v>P2</x:v>
      </x:c>
      <x:c r="I7" s="36" t="str">
        <x:v>OPEN</x:v>
      </x:c>
      <x:c r="J7" s="46" t="str">
        <x:v>2026-07-01</x:v>
      </x:c>
      <x:c r="K7" s="46" t="str">
        <x:v>2026-07-31</x:v>
      </x:c>
      <x:c r="L7" s="46" t="str"/>
      <x:c r="M7" s="36" t="str">
        <x:v>Control verificable y evidencia ligada a R-GOV-003.</x:v>
      </x:c>
      <x:c r="N7" s="36" t="str">
        <x:v>00, 01, 02, 06, 12, 13, 14, 15, 16, 31, 32, 33, 34; Enfoque, GDD, Roadmap, Binder, Guía y auditorías v0.3–v0.6</x:v>
      </x:c>
      <x:c r="O7" s="36" t="str">
        <x:v>No iniciada</x:v>
      </x:c>
      <x:c r="P7" s="47" t="n">
        <x:v>0</x:v>
      </x:c>
      <x:c r="Q7" s="36" t="str">
        <x:v>No ejecutar cierre sin evidencia.</x:v>
      </x:c>
    </x:row>
    <x:row r="8">
      <x:c r="A8" s="27" t="str">
        <x:v>TA-GOV-004</x:v>
      </x:c>
      <x:c r="B8" s="27" t="str">
        <x:v>R-GOV-004</x:v>
      </x:c>
      <x:c r="C8" s="36" t="str">
        <x:v>Governance &amp; Scope</x:v>
      </x:c>
      <x:c r="D8" s="36" t="str">
        <x:v>Reducir riesgo: H6 se declara cerrado sin todas las evidencias contractuales</x:v>
      </x:c>
      <x:c r="E8" s="36" t="str">
        <x:v>Aplicar change control; cuantificar coste, valor y riesgo; diferir fuera de H6 o rechazar.</x:v>
      </x:c>
      <x:c r="F8" s="36" t="str">
        <x:v>Project Owner / Production</x:v>
      </x:c>
      <x:c r="G8" s="36" t="str">
        <x:v>Game Design</x:v>
      </x:c>
      <x:c r="H8" s="36" t="str">
        <x:v>P1</x:v>
      </x:c>
      <x:c r="I8" s="36" t="str">
        <x:v>OPEN</x:v>
      </x:c>
      <x:c r="J8" s="46" t="str">
        <x:v>2026-07-01</x:v>
      </x:c>
      <x:c r="K8" s="46" t="str">
        <x:v>2026-07-08</x:v>
      </x:c>
      <x:c r="L8" s="46" t="str"/>
      <x:c r="M8" s="36" t="str">
        <x:v>Control verificable y evidencia ligada a R-GOV-004.</x:v>
      </x:c>
      <x:c r="N8" s="36" t="str">
        <x:v>00, 01, 02, 06, 12, 13, 14, 15, 16, 31, 32, 33, 34; Enfoque, GDD, Roadmap, Binder, Guía y auditorías v0.3–v0.6</x:v>
      </x:c>
      <x:c r="O8" s="36" t="str">
        <x:v>No iniciada</x:v>
      </x:c>
      <x:c r="P8" s="47" t="n">
        <x:v>0</x:v>
      </x:c>
      <x:c r="Q8" s="36" t="str">
        <x:v>No ejecutar cierre sin evidencia.</x:v>
      </x:c>
    </x:row>
    <x:row r="9">
      <x:c r="A9" s="27" t="str">
        <x:v>TA-GOV-005</x:v>
      </x:c>
      <x:c r="B9" s="27" t="str">
        <x:v>R-GOV-005</x:v>
      </x:c>
      <x:c r="C9" s="36" t="str">
        <x:v>Governance &amp; Scope</x:v>
      </x:c>
      <x:c r="D9" s="36" t="str">
        <x:v>Reducir riesgo: Un cambio transversal no propaga a documentos y pruebas dependientes</x:v>
      </x:c>
      <x:c r="E9" s="36" t="str">
        <x:v>Aplicar change control; cuantificar coste, valor y riesgo; diferir fuera de H6 o rechazar.</x:v>
      </x:c>
      <x:c r="F9" s="36" t="str">
        <x:v>Project Owner / Production</x:v>
      </x:c>
      <x:c r="G9" s="36" t="str">
        <x:v>Game Design</x:v>
      </x:c>
      <x:c r="H9" s="36" t="str">
        <x:v>P1</x:v>
      </x:c>
      <x:c r="I9" s="36" t="str">
        <x:v>OPEN</x:v>
      </x:c>
      <x:c r="J9" s="46" t="str">
        <x:v>2026-07-01</x:v>
      </x:c>
      <x:c r="K9" s="46" t="str">
        <x:v>2026-07-08</x:v>
      </x:c>
      <x:c r="L9" s="46" t="str"/>
      <x:c r="M9" s="36" t="str">
        <x:v>Control verificable y evidencia ligada a R-GOV-005.</x:v>
      </x:c>
      <x:c r="N9" s="36" t="str">
        <x:v>00, 01, 02, 06, 12, 13, 14, 15, 16, 31, 32, 33, 34; Enfoque, GDD, Roadmap, Binder, Guía y auditorías v0.3–v0.6</x:v>
      </x:c>
      <x:c r="O9" s="36" t="str">
        <x:v>No iniciada</x:v>
      </x:c>
      <x:c r="P9" s="47" t="n">
        <x:v>0</x:v>
      </x:c>
      <x:c r="Q9" s="36" t="str">
        <x:v>No ejecutar cierre sin evidencia.</x:v>
      </x:c>
    </x:row>
    <x:row r="10">
      <x:c r="A10" s="27" t="str">
        <x:v>TA-GOV-006</x:v>
      </x:c>
      <x:c r="B10" s="27" t="str">
        <x:v>R-GOV-006</x:v>
      </x:c>
      <x:c r="C10" s="36" t="str">
        <x:v>Governance &amp; Scope</x:v>
      </x:c>
      <x:c r="D10" s="36" t="str">
        <x:v>Reducir riesgo: Trabajo atractivo desplaza dependencias de la ruta crítica</x:v>
      </x:c>
      <x:c r="E10" s="36" t="str">
        <x:v>Aplicar change control; cuantificar coste, valor y riesgo; diferir fuera de H6 o rechazar.</x:v>
      </x:c>
      <x:c r="F10" s="36" t="str">
        <x:v>Project Owner / Production</x:v>
      </x:c>
      <x:c r="G10" s="36" t="str">
        <x:v>Game Design</x:v>
      </x:c>
      <x:c r="H10" s="36" t="str">
        <x:v>P1</x:v>
      </x:c>
      <x:c r="I10" s="36" t="str">
        <x:v>OPEN</x:v>
      </x:c>
      <x:c r="J10" s="46" t="str">
        <x:v>2026-07-01</x:v>
      </x:c>
      <x:c r="K10" s="46" t="str">
        <x:v>2026-07-08</x:v>
      </x:c>
      <x:c r="L10" s="46" t="str"/>
      <x:c r="M10" s="36" t="str">
        <x:v>Control verificable y evidencia ligada a R-GOV-006.</x:v>
      </x:c>
      <x:c r="N10" s="36" t="str">
        <x:v>00, 01, 02, 06, 12, 13, 14, 15, 16, 31, 32, 33, 34; Enfoque, GDD, Roadmap, Binder, Guía y auditorías v0.3–v0.6</x:v>
      </x:c>
      <x:c r="O10" s="36" t="str">
        <x:v>No iniciada</x:v>
      </x:c>
      <x:c r="P10" s="47" t="n">
        <x:v>0</x:v>
      </x:c>
      <x:c r="Q10" s="36" t="str">
        <x:v>No ejecutar cierre sin evidencia.</x:v>
      </x:c>
    </x:row>
    <x:row r="11">
      <x:c r="A11" s="27" t="str">
        <x:v>TA-GOV-007</x:v>
      </x:c>
      <x:c r="B11" s="27" t="str">
        <x:v>R-GOV-007</x:v>
      </x:c>
      <x:c r="C11" s="36" t="str">
        <x:v>Governance &amp; Scope</x:v>
      </x:c>
      <x:c r="D11" s="36" t="str">
        <x:v>Reducir riesgo: Una decisión clave permanece ambigua y bloquea varias disciplinas</x:v>
      </x:c>
      <x:c r="E11" s="36" t="str">
        <x:v>Aplicar change control; cuantificar coste, valor y riesgo; diferir fuera de H6 o rechazar.</x:v>
      </x:c>
      <x:c r="F11" s="36" t="str">
        <x:v>Project Owner / Production</x:v>
      </x:c>
      <x:c r="G11" s="36" t="str">
        <x:v>Game Design</x:v>
      </x:c>
      <x:c r="H11" s="36" t="str">
        <x:v>P1</x:v>
      </x:c>
      <x:c r="I11" s="36" t="str">
        <x:v>OPEN</x:v>
      </x:c>
      <x:c r="J11" s="46" t="str">
        <x:v>2026-07-01</x:v>
      </x:c>
      <x:c r="K11" s="46" t="str">
        <x:v>2026-07-31</x:v>
      </x:c>
      <x:c r="L11" s="46" t="str"/>
      <x:c r="M11" s="36" t="str">
        <x:v>Control verificable y evidencia ligada a R-GOV-007.</x:v>
      </x:c>
      <x:c r="N11" s="36" t="str">
        <x:v>00, 01, 02, 06, 12, 13, 14, 15, 16, 31, 32, 33, 34; Enfoque, GDD, Roadmap, Binder, Guía y auditorías v0.3–v0.6</x:v>
      </x:c>
      <x:c r="O11" s="36" t="str">
        <x:v>No iniciada</x:v>
      </x:c>
      <x:c r="P11" s="47" t="n">
        <x:v>0</x:v>
      </x:c>
      <x:c r="Q11" s="36" t="str">
        <x:v>No ejecutar cierre sin evidencia.</x:v>
      </x:c>
    </x:row>
    <x:row r="12">
      <x:c r="A12" s="27" t="str">
        <x:v>TA-GOV-008</x:v>
      </x:c>
      <x:c r="B12" s="27" t="str">
        <x:v>R-GOV-008</x:v>
      </x:c>
      <x:c r="C12" s="36" t="str">
        <x:v>Governance &amp; Scope</x:v>
      </x:c>
      <x:c r="D12" s="36" t="str">
        <x:v>Reducir riesgo: Se confunde implementación técnica con aceptación de producto</x:v>
      </x:c>
      <x:c r="E12" s="36" t="str">
        <x:v>Aplicar change control; cuantificar coste, valor y riesgo; diferir fuera de H6 o rechazar.</x:v>
      </x:c>
      <x:c r="F12" s="36" t="str">
        <x:v>Project Owner / Production</x:v>
      </x:c>
      <x:c r="G12" s="36" t="str">
        <x:v>Game Design</x:v>
      </x:c>
      <x:c r="H12" s="36" t="str">
        <x:v>P1</x:v>
      </x:c>
      <x:c r="I12" s="36" t="str">
        <x:v>OPEN</x:v>
      </x:c>
      <x:c r="J12" s="46" t="str">
        <x:v>2026-07-01</x:v>
      </x:c>
      <x:c r="K12" s="46" t="str">
        <x:v>2026-07-08</x:v>
      </x:c>
      <x:c r="L12" s="46" t="str"/>
      <x:c r="M12" s="36" t="str">
        <x:v>Control verificable y evidencia ligada a R-GOV-008.</x:v>
      </x:c>
      <x:c r="N12" s="36" t="str">
        <x:v>00, 01, 02, 06, 12, 13, 14, 15, 16, 31, 32, 33, 34; Enfoque, GDD, Roadmap, Binder, Guía y auditorías v0.3–v0.6</x:v>
      </x:c>
      <x:c r="O12" s="36" t="str">
        <x:v>No iniciada</x:v>
      </x:c>
      <x:c r="P12" s="47" t="n">
        <x:v>0</x:v>
      </x:c>
      <x:c r="Q12" s="36" t="str">
        <x:v>No ejecutar cierre sin evidencia.</x:v>
      </x:c>
    </x:row>
    <x:row r="13">
      <x:c r="A13" s="27" t="str">
        <x:v>TA-GOV-009</x:v>
      </x:c>
      <x:c r="B13" s="27" t="str">
        <x:v>R-GOV-009</x:v>
      </x:c>
      <x:c r="C13" s="36" t="str">
        <x:v>Governance &amp; Scope</x:v>
      </x:c>
      <x:c r="D13" s="36" t="str">
        <x:v>Reducir riesgo: Título o nombre de estudio se trata como definitivo sin clearance</x:v>
      </x:c>
      <x:c r="E13" s="36" t="str">
        <x:v>Aplicar change control; cuantificar coste, valor y riesgo; diferir fuera de H6 o rechazar.</x:v>
      </x:c>
      <x:c r="F13" s="36" t="str">
        <x:v>Project Owner / Production</x:v>
      </x:c>
      <x:c r="G13" s="36" t="str">
        <x:v>Game Design</x:v>
      </x:c>
      <x:c r="H13" s="36" t="str">
        <x:v>P1</x:v>
      </x:c>
      <x:c r="I13" s="36" t="str">
        <x:v>OPEN</x:v>
      </x:c>
      <x:c r="J13" s="46" t="str">
        <x:v>2026-07-01</x:v>
      </x:c>
      <x:c r="K13" s="46" t="str">
        <x:v>2026-07-31</x:v>
      </x:c>
      <x:c r="L13" s="46" t="str"/>
      <x:c r="M13" s="36" t="str">
        <x:v>Control verificable y evidencia ligada a R-GOV-009.</x:v>
      </x:c>
      <x:c r="N13" s="36" t="str">
        <x:v>00, 01, 02, 06, 12, 13, 14, 15, 16, 31, 32, 33, 34; Enfoque, GDD, Roadmap, Binder, Guía y auditorías v0.3–v0.6</x:v>
      </x:c>
      <x:c r="O13" s="36" t="str">
        <x:v>No iniciada</x:v>
      </x:c>
      <x:c r="P13" s="47" t="n">
        <x:v>0</x:v>
      </x:c>
      <x:c r="Q13" s="36" t="str">
        <x:v>No ejecutar cierre sin evidencia.</x:v>
      </x:c>
    </x:row>
    <x:row r="14">
      <x:c r="A14" s="27" t="str">
        <x:v>TA-GOV-010</x:v>
      </x:c>
      <x:c r="B14" s="27" t="str">
        <x:v>R-GOV-010</x:v>
      </x:c>
      <x:c r="C14" s="36" t="str">
        <x:v>Governance &amp; Scope</x:v>
      </x:c>
      <x:c r="D14" s="36" t="str">
        <x:v>Reducir riesgo: Se promete contenido futuro como parte del vertical slice actual</x:v>
      </x:c>
      <x:c r="E14" s="36" t="str">
        <x:v>Aplicar change control; cuantificar coste, valor y riesgo; diferir fuera de H6 o rechazar.</x:v>
      </x:c>
      <x:c r="F14" s="36" t="str">
        <x:v>Project Owner / Production</x:v>
      </x:c>
      <x:c r="G14" s="36" t="str">
        <x:v>Game Design</x:v>
      </x:c>
      <x:c r="H14" s="36" t="str">
        <x:v>P1</x:v>
      </x:c>
      <x:c r="I14" s="36" t="str">
        <x:v>OPEN</x:v>
      </x:c>
      <x:c r="J14" s="46" t="str">
        <x:v>2026-07-01</x:v>
      </x:c>
      <x:c r="K14" s="46" t="str">
        <x:v>2026-07-08</x:v>
      </x:c>
      <x:c r="L14" s="46" t="str"/>
      <x:c r="M14" s="36" t="str">
        <x:v>Control verificable y evidencia ligada a R-GOV-010.</x:v>
      </x:c>
      <x:c r="N14" s="36" t="str">
        <x:v>00, 01, 02, 06, 12, 13, 14, 15, 16, 31, 32, 33, 34; Enfoque, GDD, Roadmap, Binder, Guía y auditorías v0.3–v0.6</x:v>
      </x:c>
      <x:c r="O14" s="36" t="str">
        <x:v>No iniciada</x:v>
      </x:c>
      <x:c r="P14" s="47" t="n">
        <x:v>0</x:v>
      </x:c>
      <x:c r="Q14" s="36" t="str">
        <x:v>No ejecutar cierre sin evidencia.</x:v>
      </x:c>
    </x:row>
    <x:row r="15">
      <x:c r="A15" s="27" t="str">
        <x:v>TA-PEO-001</x:v>
      </x:c>
      <x:c r="B15" s="27" t="str">
        <x:v>R-PEO-001</x:v>
      </x:c>
      <x:c r="C15" s="36" t="str">
        <x:v>People &amp; Capacity</x:v>
      </x:c>
      <x:c r="D15" s="36" t="str">
        <x:v>Reducir riesgo: La indisponibilidad del owner detiene producción y decisiones</x:v>
      </x:c>
      <x:c r="E15" s="36" t="str">
        <x:v>Reducir WIP, documentar conocimiento, preparar sustitución y priorizar ruta crítica.</x:v>
      </x:c>
      <x:c r="F15" s="36" t="str">
        <x:v>Project Owner / Production</x:v>
      </x:c>
      <x:c r="G15" s="36" t="str">
        <x:v>External collaborator / designated alternate</x:v>
      </x:c>
      <x:c r="H15" s="36" t="str">
        <x:v>P0</x:v>
      </x:c>
      <x:c r="I15" s="36" t="str">
        <x:v>OPEN</x:v>
      </x:c>
      <x:c r="J15" s="46" t="str">
        <x:v>2026-07-01</x:v>
      </x:c>
      <x:c r="K15" s="46" t="str">
        <x:v>2026-07-08</x:v>
      </x:c>
      <x:c r="L15" s="46" t="str"/>
      <x:c r="M15" s="36" t="str">
        <x:v>Control verificable y evidencia ligada a R-PEO-001.</x:v>
      </x:c>
      <x:c r="N15" s="36" t="str">
        <x:v>06, 09, 13, 15, 25, 27, 31, 34; Roadmaps, sprint closures, handoffs y estados actuales</x:v>
      </x:c>
      <x:c r="O15" s="36" t="str">
        <x:v>No iniciada</x:v>
      </x:c>
      <x:c r="P15" s="47" t="n">
        <x:v>0</x:v>
      </x:c>
      <x:c r="Q15" s="36" t="str">
        <x:v>No ejecutar cierre sin evidencia.</x:v>
      </x:c>
    </x:row>
    <x:row r="16">
      <x:c r="A16" s="27" t="str">
        <x:v>TA-PEO-002</x:v>
      </x:c>
      <x:c r="B16" s="27" t="str">
        <x:v>R-PEO-002</x:v>
      </x:c>
      <x:c r="C16" s="36" t="str">
        <x:v>People &amp; Capacity</x:v>
      </x:c>
      <x:c r="D16" s="36" t="str">
        <x:v>Reducir riesgo: Conocimiento crítico solo existe en memoria o chat</x:v>
      </x:c>
      <x:c r="E16" s="36" t="str">
        <x:v>Reducir WIP, documentar conocimiento, preparar sustitución y priorizar ruta crítica.</x:v>
      </x:c>
      <x:c r="F16" s="36" t="str">
        <x:v>Project Owner / Production</x:v>
      </x:c>
      <x:c r="G16" s="36" t="str">
        <x:v>External collaborator / designated alternate</x:v>
      </x:c>
      <x:c r="H16" s="36" t="str">
        <x:v>P0</x:v>
      </x:c>
      <x:c r="I16" s="36" t="str">
        <x:v>OPEN</x:v>
      </x:c>
      <x:c r="J16" s="46" t="str">
        <x:v>2026-07-01</x:v>
      </x:c>
      <x:c r="K16" s="46" t="str">
        <x:v>2026-07-08</x:v>
      </x:c>
      <x:c r="L16" s="46" t="str"/>
      <x:c r="M16" s="36" t="str">
        <x:v>Control verificable y evidencia ligada a R-PEO-002.</x:v>
      </x:c>
      <x:c r="N16" s="36" t="str">
        <x:v>06, 09, 13, 15, 25, 27, 31, 34; Roadmaps, sprint closures, handoffs y estados actuales</x:v>
      </x:c>
      <x:c r="O16" s="36" t="str">
        <x:v>No iniciada</x:v>
      </x:c>
      <x:c r="P16" s="47" t="n">
        <x:v>0</x:v>
      </x:c>
      <x:c r="Q16" s="36" t="str">
        <x:v>No ejecutar cierre sin evidencia.</x:v>
      </x:c>
    </x:row>
    <x:row r="17">
      <x:c r="A17" s="27" t="str">
        <x:v>TA-PEO-003</x:v>
      </x:c>
      <x:c r="B17" s="27" t="str">
        <x:v>R-PEO-003</x:v>
      </x:c>
      <x:c r="C17" s="36" t="str">
        <x:v>People &amp; Capacity</x:v>
      </x:c>
      <x:c r="D17" s="36" t="str">
        <x:v>Reducir riesgo: Sobrecarga reduce calidad y aumenta errores</x:v>
      </x:c>
      <x:c r="E17" s="36" t="str">
        <x:v>Reducir WIP, documentar conocimiento, preparar sustitución y priorizar ruta crítica.</x:v>
      </x:c>
      <x:c r="F17" s="36" t="str">
        <x:v>Project Owner / Production</x:v>
      </x:c>
      <x:c r="G17" s="36" t="str">
        <x:v>External collaborator / designated alternate</x:v>
      </x:c>
      <x:c r="H17" s="36" t="str">
        <x:v>P1</x:v>
      </x:c>
      <x:c r="I17" s="36" t="str">
        <x:v>OPEN</x:v>
      </x:c>
      <x:c r="J17" s="46" t="str">
        <x:v>2026-07-01</x:v>
      </x:c>
      <x:c r="K17" s="46" t="str">
        <x:v>2026-07-08</x:v>
      </x:c>
      <x:c r="L17" s="46" t="str"/>
      <x:c r="M17" s="36" t="str">
        <x:v>Control verificable y evidencia ligada a R-PEO-003.</x:v>
      </x:c>
      <x:c r="N17" s="36" t="str">
        <x:v>06, 09, 13, 15, 25, 27, 31, 34; Roadmaps, sprint closures, handoffs y estados actuales</x:v>
      </x:c>
      <x:c r="O17" s="36" t="str">
        <x:v>No iniciada</x:v>
      </x:c>
      <x:c r="P17" s="47" t="n">
        <x:v>0</x:v>
      </x:c>
      <x:c r="Q17" s="36" t="str">
        <x:v>No ejecutar cierre sin evidencia.</x:v>
      </x:c>
    </x:row>
    <x:row r="18">
      <x:c r="A18" s="27" t="str">
        <x:v>TA-PEO-004</x:v>
      </x:c>
      <x:c r="B18" s="27" t="str">
        <x:v>R-PEO-004</x:v>
      </x:c>
      <x:c r="C18" s="36" t="str">
        <x:v>People &amp; Capacity</x:v>
      </x:c>
      <x:c r="D18" s="36" t="str">
        <x:v>Reducir riesgo: Fatiga sostenida provoca interrupción prolongada</x:v>
      </x:c>
      <x:c r="E18" s="36" t="str">
        <x:v>Reducir WIP, documentar conocimiento, preparar sustitución y priorizar ruta crítica.</x:v>
      </x:c>
      <x:c r="F18" s="36" t="str">
        <x:v>Project Owner / Production</x:v>
      </x:c>
      <x:c r="G18" s="36" t="str">
        <x:v>External collaborator / designated alternate</x:v>
      </x:c>
      <x:c r="H18" s="36" t="str">
        <x:v>P1</x:v>
      </x:c>
      <x:c r="I18" s="36" t="str">
        <x:v>OPEN</x:v>
      </x:c>
      <x:c r="J18" s="46" t="str">
        <x:v>2026-07-01</x:v>
      </x:c>
      <x:c r="K18" s="46" t="str">
        <x:v>2026-07-31</x:v>
      </x:c>
      <x:c r="L18" s="46" t="str"/>
      <x:c r="M18" s="36" t="str">
        <x:v>Control verificable y evidencia ligada a R-PEO-004.</x:v>
      </x:c>
      <x:c r="N18" s="36" t="str">
        <x:v>06, 09, 13, 15, 25, 27, 31, 34; Roadmaps, sprint closures, handoffs y estados actuales</x:v>
      </x:c>
      <x:c r="O18" s="36" t="str">
        <x:v>No iniciada</x:v>
      </x:c>
      <x:c r="P18" s="47" t="n">
        <x:v>0</x:v>
      </x:c>
      <x:c r="Q18" s="36" t="str">
        <x:v>No ejecutar cierre sin evidencia.</x:v>
      </x:c>
    </x:row>
    <x:row r="19">
      <x:c r="A19" s="27" t="str">
        <x:v>TA-PEO-005</x:v>
      </x:c>
      <x:c r="B19" s="27" t="str">
        <x:v>R-PEO-005</x:v>
      </x:c>
      <x:c r="C19" s="36" t="str">
        <x:v>People &amp; Capacity</x:v>
      </x:c>
      <x:c r="D19" s="36" t="str">
        <x:v>Reducir riesgo: Demasiados frentes abiertos degradan foco</x:v>
      </x:c>
      <x:c r="E19" s="36" t="str">
        <x:v>Reducir WIP, documentar conocimiento, preparar sustitución y priorizar ruta crítica.</x:v>
      </x:c>
      <x:c r="F19" s="36" t="str">
        <x:v>Project Owner / Production</x:v>
      </x:c>
      <x:c r="G19" s="36" t="str">
        <x:v>External collaborator / designated alternate</x:v>
      </x:c>
      <x:c r="H19" s="36" t="str">
        <x:v>P1</x:v>
      </x:c>
      <x:c r="I19" s="36" t="str">
        <x:v>OPEN</x:v>
      </x:c>
      <x:c r="J19" s="46" t="str">
        <x:v>2026-07-01</x:v>
      </x:c>
      <x:c r="K19" s="46" t="str">
        <x:v>2026-07-31</x:v>
      </x:c>
      <x:c r="L19" s="46" t="str"/>
      <x:c r="M19" s="36" t="str">
        <x:v>Control verificable y evidencia ligada a R-PEO-005.</x:v>
      </x:c>
      <x:c r="N19" s="36" t="str">
        <x:v>06, 09, 13, 15, 25, 27, 31, 34; Roadmaps, sprint closures, handoffs y estados actuales</x:v>
      </x:c>
      <x:c r="O19" s="36" t="str">
        <x:v>No iniciada</x:v>
      </x:c>
      <x:c r="P19" s="47" t="n">
        <x:v>0</x:v>
      </x:c>
      <x:c r="Q19" s="36" t="str">
        <x:v>No ejecutar cierre sin evidencia.</x:v>
      </x:c>
    </x:row>
    <x:row r="20">
      <x:c r="A20" s="27" t="str">
        <x:v>TA-PEO-006</x:v>
      </x:c>
      <x:c r="B20" s="27" t="str">
        <x:v>R-PEO-006</x:v>
      </x:c>
      <x:c r="C20" s="36" t="str">
        <x:v>People &amp; Capacity</x:v>
      </x:c>
      <x:c r="D20" s="36" t="str">
        <x:v>Reducir riesgo: Colaborador accede sin onboarding, límites o offboarding</x:v>
      </x:c>
      <x:c r="E20" s="36" t="str">
        <x:v>Reducir WIP, documentar conocimiento, preparar sustitución y priorizar ruta crítica.</x:v>
      </x:c>
      <x:c r="F20" s="36" t="str">
        <x:v>Project Owner / Production</x:v>
      </x:c>
      <x:c r="G20" s="36" t="str">
        <x:v>External collaborator / designated alternate</x:v>
      </x:c>
      <x:c r="H20" s="36" t="str">
        <x:v>P2</x:v>
      </x:c>
      <x:c r="I20" s="36" t="str">
        <x:v>OPEN</x:v>
      </x:c>
      <x:c r="J20" s="46" t="str">
        <x:v>2026-07-01</x:v>
      </x:c>
      <x:c r="K20" s="46" t="str">
        <x:v>2026-07-08</x:v>
      </x:c>
      <x:c r="L20" s="46" t="str"/>
      <x:c r="M20" s="36" t="str">
        <x:v>Control verificable y evidencia ligada a R-PEO-006.</x:v>
      </x:c>
      <x:c r="N20" s="36" t="str">
        <x:v>06, 09, 13, 15, 25, 27, 31, 34; Roadmaps, sprint closures, handoffs y estados actuales</x:v>
      </x:c>
      <x:c r="O20" s="36" t="str">
        <x:v>No iniciada</x:v>
      </x:c>
      <x:c r="P20" s="47" t="n">
        <x:v>0</x:v>
      </x:c>
      <x:c r="Q20" s="36" t="str">
        <x:v>No ejecutar cierre sin evidencia.</x:v>
      </x:c>
    </x:row>
    <x:row r="21">
      <x:c r="A21" s="27" t="str">
        <x:v>TA-PEO-007</x:v>
      </x:c>
      <x:c r="B21" s="27" t="str">
        <x:v>R-PEO-007</x:v>
      </x:c>
      <x:c r="C21" s="36" t="str">
        <x:v>People &amp; Capacity</x:v>
      </x:c>
      <x:c r="D21" s="36" t="str">
        <x:v>Reducir riesgo: Falta experiencia especializada en Steam, legal o accesibilidad</x:v>
      </x:c>
      <x:c r="E21" s="36" t="str">
        <x:v>Reducir WIP, documentar conocimiento, preparar sustitución y priorizar ruta crítica.</x:v>
      </x:c>
      <x:c r="F21" s="36" t="str">
        <x:v>Project Owner / Production</x:v>
      </x:c>
      <x:c r="G21" s="36" t="str">
        <x:v>External collaborator / designated alternate</x:v>
      </x:c>
      <x:c r="H21" s="36" t="str">
        <x:v>P1</x:v>
      </x:c>
      <x:c r="I21" s="36" t="str">
        <x:v>OPEN</x:v>
      </x:c>
      <x:c r="J21" s="46" t="str">
        <x:v>2026-07-01</x:v>
      </x:c>
      <x:c r="K21" s="46" t="str">
        <x:v>2026-07-31</x:v>
      </x:c>
      <x:c r="L21" s="46" t="str"/>
      <x:c r="M21" s="36" t="str">
        <x:v>Control verificable y evidencia ligada a R-PEO-007.</x:v>
      </x:c>
      <x:c r="N21" s="36" t="str">
        <x:v>06, 09, 13, 15, 25, 27, 31, 34; Roadmaps, sprint closures, handoffs y estados actuales</x:v>
      </x:c>
      <x:c r="O21" s="36" t="str">
        <x:v>No iniciada</x:v>
      </x:c>
      <x:c r="P21" s="47" t="n">
        <x:v>0</x:v>
      </x:c>
      <x:c r="Q21" s="36" t="str">
        <x:v>No ejecutar cierre sin evidencia.</x:v>
      </x:c>
    </x:row>
    <x:row r="22">
      <x:c r="A22" s="27" t="str">
        <x:v>TA-PEO-008</x:v>
      </x:c>
      <x:c r="B22" s="27" t="str">
        <x:v>R-PEO-008</x:v>
      </x:c>
      <x:c r="C22" s="36" t="str">
        <x:v>People &amp; Capacity</x:v>
      </x:c>
      <x:c r="D22" s="36" t="str">
        <x:v>Reducir riesgo: No existe sustituto capaz de ejecutar build/recovery</x:v>
      </x:c>
      <x:c r="E22" s="36" t="str">
        <x:v>Reducir WIP, documentar conocimiento, preparar sustitución y priorizar ruta crítica.</x:v>
      </x:c>
      <x:c r="F22" s="36" t="str">
        <x:v>Project Owner / Production</x:v>
      </x:c>
      <x:c r="G22" s="36" t="str">
        <x:v>External collaborator / designated alternate</x:v>
      </x:c>
      <x:c r="H22" s="36" t="str">
        <x:v>P0</x:v>
      </x:c>
      <x:c r="I22" s="36" t="str">
        <x:v>OPEN</x:v>
      </x:c>
      <x:c r="J22" s="46" t="str">
        <x:v>2026-07-01</x:v>
      </x:c>
      <x:c r="K22" s="46" t="str">
        <x:v>2026-07-08</x:v>
      </x:c>
      <x:c r="L22" s="46" t="str"/>
      <x:c r="M22" s="36" t="str">
        <x:v>Control verificable y evidencia ligada a R-PEO-008.</x:v>
      </x:c>
      <x:c r="N22" s="36" t="str">
        <x:v>06, 09, 13, 15, 25, 27, 31, 34; Roadmaps, sprint closures, handoffs y estados actuales</x:v>
      </x:c>
      <x:c r="O22" s="36" t="str">
        <x:v>No iniciada</x:v>
      </x:c>
      <x:c r="P22" s="47" t="n">
        <x:v>0</x:v>
      </x:c>
      <x:c r="Q22" s="36" t="str">
        <x:v>No ejecutar cierre sin evidencia.</x:v>
      </x:c>
    </x:row>
    <x:row r="23">
      <x:c r="A23" s="27" t="str">
        <x:v>TA-PEO-009</x:v>
      </x:c>
      <x:c r="B23" s="27" t="str">
        <x:v>R-PEO-009</x:v>
      </x:c>
      <x:c r="C23" s="36" t="str">
        <x:v>People &amp; Capacity</x:v>
      </x:c>
      <x:c r="D23" s="36" t="str">
        <x:v>Reducir riesgo: Decisiones se toman en canales no preservados</x:v>
      </x:c>
      <x:c r="E23" s="36" t="str">
        <x:v>Reducir WIP, documentar conocimiento, preparar sustitución y priorizar ruta crítica.</x:v>
      </x:c>
      <x:c r="F23" s="36" t="str">
        <x:v>Project Owner / Production</x:v>
      </x:c>
      <x:c r="G23" s="36" t="str">
        <x:v>External collaborator / designated alternate</x:v>
      </x:c>
      <x:c r="H23" s="36" t="str">
        <x:v>P1</x:v>
      </x:c>
      <x:c r="I23" s="36" t="str">
        <x:v>OPEN</x:v>
      </x:c>
      <x:c r="J23" s="46" t="str">
        <x:v>2026-07-01</x:v>
      </x:c>
      <x:c r="K23" s="46" t="str">
        <x:v>2026-07-31</x:v>
      </x:c>
      <x:c r="L23" s="46" t="str"/>
      <x:c r="M23" s="36" t="str">
        <x:v>Control verificable y evidencia ligada a R-PEO-009.</x:v>
      </x:c>
      <x:c r="N23" s="36" t="str">
        <x:v>06, 09, 13, 15, 25, 27, 31, 34; Roadmaps, sprint closures, handoffs y estados actuales</x:v>
      </x:c>
      <x:c r="O23" s="36" t="str">
        <x:v>No iniciada</x:v>
      </x:c>
      <x:c r="P23" s="47" t="n">
        <x:v>0</x:v>
      </x:c>
      <x:c r="Q23" s="36" t="str">
        <x:v>No ejecutar cierre sin evidencia.</x:v>
      </x:c>
    </x:row>
    <x:row r="24">
      <x:c r="A24" s="27" t="str">
        <x:v>TA-PEO-010</x:v>
      </x:c>
      <x:c r="B24" s="27" t="str">
        <x:v>R-PEO-010</x:v>
      </x:c>
      <x:c r="C24" s="36" t="str">
        <x:v>People &amp; Capacity</x:v>
      </x:c>
      <x:c r="D24" s="36" t="str">
        <x:v>Reducir riesgo: Una acción irreversible del owner no tiene revisión</x:v>
      </x:c>
      <x:c r="E24" s="36" t="str">
        <x:v>Reducir WIP, documentar conocimiento, preparar sustitución y priorizar ruta crítica.</x:v>
      </x:c>
      <x:c r="F24" s="36" t="str">
        <x:v>Project Owner / Production</x:v>
      </x:c>
      <x:c r="G24" s="36" t="str">
        <x:v>External collaborator / designated alternate</x:v>
      </x:c>
      <x:c r="H24" s="36" t="str">
        <x:v>P1</x:v>
      </x:c>
      <x:c r="I24" s="36" t="str">
        <x:v>OPEN</x:v>
      </x:c>
      <x:c r="J24" s="46" t="str">
        <x:v>2026-07-01</x:v>
      </x:c>
      <x:c r="K24" s="46" t="str">
        <x:v>2026-07-08</x:v>
      </x:c>
      <x:c r="L24" s="46" t="str"/>
      <x:c r="M24" s="36" t="str">
        <x:v>Control verificable y evidencia ligada a R-PEO-010.</x:v>
      </x:c>
      <x:c r="N24" s="36" t="str">
        <x:v>06, 09, 13, 15, 25, 27, 31, 34; Roadmaps, sprint closures, handoffs y estados actuales</x:v>
      </x:c>
      <x:c r="O24" s="36" t="str">
        <x:v>No iniciada</x:v>
      </x:c>
      <x:c r="P24" s="47" t="n">
        <x:v>0</x:v>
      </x:c>
      <x:c r="Q24" s="36" t="str">
        <x:v>No ejecutar cierre sin evidencia.</x:v>
      </x:c>
    </x:row>
    <x:row r="25">
      <x:c r="A25" s="27" t="str">
        <x:v>TA-PRD-001</x:v>
      </x:c>
      <x:c r="B25" s="27" t="str">
        <x:v>R-PRD-001</x:v>
      </x:c>
      <x:c r="C25" s="36" t="str">
        <x:v>Production &amp; Schedule</x:v>
      </x:c>
      <x:c r="D25" s="36" t="str">
        <x:v>Reducir riesgo: Sprint inicia con dependencias no listas</x:v>
      </x:c>
      <x:c r="E25" s="36" t="str">
        <x:v>Re-secuenciar por dependencias, reducir alcance no contractual y proteger H6.</x:v>
      </x:c>
      <x:c r="F25" s="36" t="str">
        <x:v>Production</x:v>
      </x:c>
      <x:c r="G25" s="36" t="str">
        <x:v>Project Owner</x:v>
      </x:c>
      <x:c r="H25" s="36" t="str">
        <x:v>P1</x:v>
      </x:c>
      <x:c r="I25" s="36" t="str">
        <x:v>OPEN</x:v>
      </x:c>
      <x:c r="J25" s="46" t="str">
        <x:v>2026-07-01</x:v>
      </x:c>
      <x:c r="K25" s="46" t="str">
        <x:v>2026-07-08</x:v>
      </x:c>
      <x:c r="L25" s="46" t="str"/>
      <x:c r="M25" s="36" t="str">
        <x:v>Control verificable y evidencia ligada a R-PRD-001.</x:v>
      </x:c>
      <x:c r="N25" s="36" t="str">
        <x:v>02, 06, 07, 08, 12, 13, 16, 31; Roadmap/Sprint Plan, tracking y acceptance matrices v0.3–v0.6</x:v>
      </x:c>
      <x:c r="O25" s="36" t="str">
        <x:v>No iniciada</x:v>
      </x:c>
      <x:c r="P25" s="47" t="n">
        <x:v>0</x:v>
      </x:c>
      <x:c r="Q25" s="36" t="str">
        <x:v>No ejecutar cierre sin evidencia.</x:v>
      </x:c>
    </x:row>
    <x:row r="26">
      <x:c r="A26" s="27" t="str">
        <x:v>TA-PRD-002</x:v>
      </x:c>
      <x:c r="B26" s="27" t="str">
        <x:v>R-PRD-002</x:v>
      </x:c>
      <x:c r="C26" s="36" t="str">
        <x:v>Production &amp; Schedule</x:v>
      </x:c>
      <x:c r="D26" s="36" t="str">
        <x:v>Reducir riesgo: Estimaciones sin medición producen compromiso irreal</x:v>
      </x:c>
      <x:c r="E26" s="36" t="str">
        <x:v>Re-secuenciar por dependencias, reducir alcance no contractual y proteger H6.</x:v>
      </x:c>
      <x:c r="F26" s="36" t="str">
        <x:v>Production</x:v>
      </x:c>
      <x:c r="G26" s="36" t="str">
        <x:v>Project Owner</x:v>
      </x:c>
      <x:c r="H26" s="36" t="str">
        <x:v>P1</x:v>
      </x:c>
      <x:c r="I26" s="36" t="str">
        <x:v>OPEN</x:v>
      </x:c>
      <x:c r="J26" s="46" t="str">
        <x:v>2026-07-01</x:v>
      </x:c>
      <x:c r="K26" s="46" t="str">
        <x:v>2026-07-31</x:v>
      </x:c>
      <x:c r="L26" s="46" t="str"/>
      <x:c r="M26" s="36" t="str">
        <x:v>Control verificable y evidencia ligada a R-PRD-002.</x:v>
      </x:c>
      <x:c r="N26" s="36" t="str">
        <x:v>02, 06, 07, 08, 12, 13, 16, 31; Roadmap/Sprint Plan, tracking y acceptance matrices v0.3–v0.6</x:v>
      </x:c>
      <x:c r="O26" s="36" t="str">
        <x:v>No iniciada</x:v>
      </x:c>
      <x:c r="P26" s="47" t="n">
        <x:v>0</x:v>
      </x:c>
      <x:c r="Q26" s="36" t="str">
        <x:v>No ejecutar cierre sin evidencia.</x:v>
      </x:c>
    </x:row>
    <x:row r="27">
      <x:c r="A27" s="27" t="str">
        <x:v>TA-PRD-003</x:v>
      </x:c>
      <x:c r="B27" s="27" t="str">
        <x:v>R-PRD-003</x:v>
      </x:c>
      <x:c r="C27" s="36" t="str">
        <x:v>Production &amp; Schedule</x:v>
      </x:c>
      <x:c r="D27" s="36" t="str">
        <x:v>Reducir riesgo: Integración tardía de arte/UI/audio genera retrabajo</x:v>
      </x:c>
      <x:c r="E27" s="36" t="str">
        <x:v>Re-secuenciar por dependencias, reducir alcance no contractual y proteger H6.</x:v>
      </x:c>
      <x:c r="F27" s="36" t="str">
        <x:v>Production</x:v>
      </x:c>
      <x:c r="G27" s="36" t="str">
        <x:v>Project Owner</x:v>
      </x:c>
      <x:c r="H27" s="36" t="str">
        <x:v>P1</x:v>
      </x:c>
      <x:c r="I27" s="36" t="str">
        <x:v>OPEN</x:v>
      </x:c>
      <x:c r="J27" s="46" t="str">
        <x:v>2026-07-01</x:v>
      </x:c>
      <x:c r="K27" s="46" t="str">
        <x:v>2026-07-08</x:v>
      </x:c>
      <x:c r="L27" s="46" t="str"/>
      <x:c r="M27" s="36" t="str">
        <x:v>Control verificable y evidencia ligada a R-PRD-003.</x:v>
      </x:c>
      <x:c r="N27" s="36" t="str">
        <x:v>02, 06, 07, 08, 12, 13, 16, 31; Roadmap/Sprint Plan, tracking y acceptance matrices v0.3–v0.6</x:v>
      </x:c>
      <x:c r="O27" s="36" t="str">
        <x:v>No iniciada</x:v>
      </x:c>
      <x:c r="P27" s="47" t="n">
        <x:v>0</x:v>
      </x:c>
      <x:c r="Q27" s="36" t="str">
        <x:v>No ejecutar cierre sin evidencia.</x:v>
      </x:c>
    </x:row>
    <x:row r="28">
      <x:c r="A28" s="27" t="str">
        <x:v>TA-PRD-004</x:v>
      </x:c>
      <x:c r="B28" s="27" t="str">
        <x:v>R-PRD-004</x:v>
      </x:c>
      <x:c r="C28" s="36" t="str">
        <x:v>Production &amp; Schedule</x:v>
      </x:c>
      <x:c r="D28" s="36" t="str">
        <x:v>Reducir riesgo: StoreInitial, Golden Path o build quedan fuera de ruta prioritaria</x:v>
      </x:c>
      <x:c r="E28" s="36" t="str">
        <x:v>Re-secuenciar por dependencias, reducir alcance no contractual y proteger H6.</x:v>
      </x:c>
      <x:c r="F28" s="36" t="str">
        <x:v>Production</x:v>
      </x:c>
      <x:c r="G28" s="36" t="str">
        <x:v>Project Owner</x:v>
      </x:c>
      <x:c r="H28" s="36" t="str">
        <x:v>P1</x:v>
      </x:c>
      <x:c r="I28" s="36" t="str">
        <x:v>OPEN</x:v>
      </x:c>
      <x:c r="J28" s="46" t="str">
        <x:v>2026-07-01</x:v>
      </x:c>
      <x:c r="K28" s="46" t="str">
        <x:v>2026-07-08</x:v>
      </x:c>
      <x:c r="L28" s="46" t="str"/>
      <x:c r="M28" s="36" t="str">
        <x:v>Control verificable y evidencia ligada a R-PRD-004.</x:v>
      </x:c>
      <x:c r="N28" s="36" t="str">
        <x:v>02, 06, 07, 08, 12, 13, 16, 31; Roadmap/Sprint Plan, tracking y acceptance matrices v0.3–v0.6</x:v>
      </x:c>
      <x:c r="O28" s="36" t="str">
        <x:v>No iniciada</x:v>
      </x:c>
      <x:c r="P28" s="47" t="n">
        <x:v>0</x:v>
      </x:c>
      <x:c r="Q28" s="36" t="str">
        <x:v>No ejecutar cierre sin evidencia.</x:v>
      </x:c>
    </x:row>
    <x:row r="29">
      <x:c r="A29" s="27" t="str">
        <x:v>TA-PRD-005</x:v>
      </x:c>
      <x:c r="B29" s="27" t="str">
        <x:v>R-PRD-005</x:v>
      </x:c>
      <x:c r="C29" s="36" t="str">
        <x:v>Production &amp; Schedule</x:v>
      </x:c>
      <x:c r="D29" s="36" t="str">
        <x:v>Reducir riesgo: QA y correcciones se comprimen al final</x:v>
      </x:c>
      <x:c r="E29" s="36" t="str">
        <x:v>Re-secuenciar por dependencias, reducir alcance no contractual y proteger H6.</x:v>
      </x:c>
      <x:c r="F29" s="36" t="str">
        <x:v>Production</x:v>
      </x:c>
      <x:c r="G29" s="36" t="str">
        <x:v>Project Owner</x:v>
      </x:c>
      <x:c r="H29" s="36" t="str">
        <x:v>P0</x:v>
      </x:c>
      <x:c r="I29" s="36" t="str">
        <x:v>OPEN</x:v>
      </x:c>
      <x:c r="J29" s="46" t="str">
        <x:v>2026-07-01</x:v>
      </x:c>
      <x:c r="K29" s="46" t="str">
        <x:v>2026-07-08</x:v>
      </x:c>
      <x:c r="L29" s="46" t="str"/>
      <x:c r="M29" s="36" t="str">
        <x:v>Control verificable y evidencia ligada a R-PRD-005.</x:v>
      </x:c>
      <x:c r="N29" s="36" t="str">
        <x:v>02, 06, 07, 08, 12, 13, 16, 31; Roadmap/Sprint Plan, tracking y acceptance matrices v0.3–v0.6</x:v>
      </x:c>
      <x:c r="O29" s="36" t="str">
        <x:v>No iniciada</x:v>
      </x:c>
      <x:c r="P29" s="47" t="n">
        <x:v>0</x:v>
      </x:c>
      <x:c r="Q29" s="36" t="str">
        <x:v>No ejecutar cierre sin evidencia.</x:v>
      </x:c>
    </x:row>
    <x:row r="30">
      <x:c r="A30" s="27" t="str">
        <x:v>TA-PRD-006</x:v>
      </x:c>
      <x:c r="B30" s="27" t="str">
        <x:v>R-PRD-006</x:v>
      </x:c>
      <x:c r="C30" s="36" t="str">
        <x:v>Production &amp; Schedule</x:v>
      </x:c>
      <x:c r="D30" s="36" t="str">
        <x:v>Reducir riesgo: Regresiones reabren capacidades cerradas</x:v>
      </x:c>
      <x:c r="E30" s="36" t="str">
        <x:v>Re-secuenciar por dependencias, reducir alcance no contractual y proteger H6.</x:v>
      </x:c>
      <x:c r="F30" s="36" t="str">
        <x:v>Production</x:v>
      </x:c>
      <x:c r="G30" s="36" t="str">
        <x:v>Project Owner</x:v>
      </x:c>
      <x:c r="H30" s="36" t="str">
        <x:v>P1</x:v>
      </x:c>
      <x:c r="I30" s="36" t="str">
        <x:v>OPEN</x:v>
      </x:c>
      <x:c r="J30" s="46" t="str">
        <x:v>2026-07-01</x:v>
      </x:c>
      <x:c r="K30" s="46" t="str">
        <x:v>2026-07-08</x:v>
      </x:c>
      <x:c r="L30" s="46" t="str"/>
      <x:c r="M30" s="36" t="str">
        <x:v>Control verificable y evidencia ligada a R-PRD-006.</x:v>
      </x:c>
      <x:c r="N30" s="36" t="str">
        <x:v>02, 06, 07, 08, 12, 13, 16, 31; Roadmap/Sprint Plan, tracking y acceptance matrices v0.3–v0.6</x:v>
      </x:c>
      <x:c r="O30" s="36" t="str">
        <x:v>No iniciada</x:v>
      </x:c>
      <x:c r="P30" s="47" t="n">
        <x:v>0</x:v>
      </x:c>
      <x:c r="Q30" s="36" t="str">
        <x:v>No ejecutar cierre sin evidencia.</x:v>
      </x:c>
    </x:row>
    <x:row r="31">
      <x:c r="A31" s="27" t="str">
        <x:v>TA-PRD-007</x:v>
      </x:c>
      <x:c r="B31" s="27" t="str">
        <x:v>R-PRD-007</x:v>
      </x:c>
      <x:c r="C31" s="36" t="str">
        <x:v>Production &amp; Schedule</x:v>
      </x:c>
      <x:c r="D31" s="36" t="str">
        <x:v>Reducir riesgo: Trabajo completado carece de logs, capturas o resultados</x:v>
      </x:c>
      <x:c r="E31" s="36" t="str">
        <x:v>Re-secuenciar por dependencias, reducir alcance no contractual y proteger H6.</x:v>
      </x:c>
      <x:c r="F31" s="36" t="str">
        <x:v>Production</x:v>
      </x:c>
      <x:c r="G31" s="36" t="str">
        <x:v>Project Owner</x:v>
      </x:c>
      <x:c r="H31" s="36" t="str">
        <x:v>P1</x:v>
      </x:c>
      <x:c r="I31" s="36" t="str">
        <x:v>OPEN</x:v>
      </x:c>
      <x:c r="J31" s="46" t="str">
        <x:v>2026-07-01</x:v>
      </x:c>
      <x:c r="K31" s="46" t="str">
        <x:v>2026-07-31</x:v>
      </x:c>
      <x:c r="L31" s="46" t="str"/>
      <x:c r="M31" s="36" t="str">
        <x:v>Control verificable y evidencia ligada a R-PRD-007.</x:v>
      </x:c>
      <x:c r="N31" s="36" t="str">
        <x:v>02, 06, 07, 08, 12, 13, 16, 31; Roadmap/Sprint Plan, tracking y acceptance matrices v0.3–v0.6</x:v>
      </x:c>
      <x:c r="O31" s="36" t="str">
        <x:v>No iniciada</x:v>
      </x:c>
      <x:c r="P31" s="47" t="n">
        <x:v>0</x:v>
      </x:c>
      <x:c r="Q31" s="36" t="str">
        <x:v>No ejecutar cierre sin evidencia.</x:v>
      </x:c>
    </x:row>
    <x:row r="32">
      <x:c r="A32" s="27" t="str">
        <x:v>TA-PRD-008</x:v>
      </x:c>
      <x:c r="B32" s="27" t="str">
        <x:v>R-PRD-008</x:v>
      </x:c>
      <x:c r="C32" s="36" t="str">
        <x:v>Production &amp; Schedule</x:v>
      </x:c>
      <x:c r="D32" s="36" t="str">
        <x:v>Reducir riesgo: H6 se desplaza sin decisión explícita de alcance</x:v>
      </x:c>
      <x:c r="E32" s="36" t="str">
        <x:v>Re-secuenciar por dependencias, reducir alcance no contractual y proteger H6.</x:v>
      </x:c>
      <x:c r="F32" s="36" t="str">
        <x:v>Production</x:v>
      </x:c>
      <x:c r="G32" s="36" t="str">
        <x:v>Project Owner</x:v>
      </x:c>
      <x:c r="H32" s="36" t="str">
        <x:v>P1</x:v>
      </x:c>
      <x:c r="I32" s="36" t="str">
        <x:v>OPEN</x:v>
      </x:c>
      <x:c r="J32" s="46" t="str">
        <x:v>2026-07-01</x:v>
      </x:c>
      <x:c r="K32" s="46" t="str">
        <x:v>2026-07-31</x:v>
      </x:c>
      <x:c r="L32" s="46" t="str"/>
      <x:c r="M32" s="36" t="str">
        <x:v>Control verificable y evidencia ligada a R-PRD-008.</x:v>
      </x:c>
      <x:c r="N32" s="36" t="str">
        <x:v>02, 06, 07, 08, 12, 13, 16, 31; Roadmap/Sprint Plan, tracking y acceptance matrices v0.3–v0.6</x:v>
      </x:c>
      <x:c r="O32" s="36" t="str">
        <x:v>No iniciada</x:v>
      </x:c>
      <x:c r="P32" s="47" t="n">
        <x:v>0</x:v>
      </x:c>
      <x:c r="Q32" s="36" t="str">
        <x:v>No ejecutar cierre sin evidencia.</x:v>
      </x:c>
    </x:row>
    <x:row r="33">
      <x:c r="A33" s="27" t="str">
        <x:v>TA-PRD-009</x:v>
      </x:c>
      <x:c r="B33" s="27" t="str">
        <x:v>R-PRD-009</x:v>
      </x:c>
      <x:c r="C33" s="36" t="str">
        <x:v>Production &amp; Schedule</x:v>
      </x:c>
      <x:c r="D33" s="36" t="str">
        <x:v>Reducir riesgo: Se fija fecha externa antes de validar build y Store</x:v>
      </x:c>
      <x:c r="E33" s="36" t="str">
        <x:v>Re-secuenciar por dependencias, reducir alcance no contractual y proteger H6.</x:v>
      </x:c>
      <x:c r="F33" s="36" t="str">
        <x:v>Production</x:v>
      </x:c>
      <x:c r="G33" s="36" t="str">
        <x:v>Project Owner</x:v>
      </x:c>
      <x:c r="H33" s="36" t="str">
        <x:v>P2</x:v>
      </x:c>
      <x:c r="I33" s="36" t="str">
        <x:v>OPEN</x:v>
      </x:c>
      <x:c r="J33" s="46" t="str">
        <x:v>2026-07-01</x:v>
      </x:c>
      <x:c r="K33" s="46" t="str">
        <x:v>2026-07-08</x:v>
      </x:c>
      <x:c r="L33" s="46" t="str"/>
      <x:c r="M33" s="36" t="str">
        <x:v>Control verificable y evidencia ligada a R-PRD-009.</x:v>
      </x:c>
      <x:c r="N33" s="36" t="str">
        <x:v>02, 06, 07, 08, 12, 13, 16, 31; Roadmap/Sprint Plan, tracking y acceptance matrices v0.3–v0.6</x:v>
      </x:c>
      <x:c r="O33" s="36" t="str">
        <x:v>No iniciada</x:v>
      </x:c>
      <x:c r="P33" s="47" t="n">
        <x:v>0</x:v>
      </x:c>
      <x:c r="Q33" s="36" t="str">
        <x:v>No ejecutar cierre sin evidencia.</x:v>
      </x:c>
    </x:row>
    <x:row r="34">
      <x:c r="A34" s="27" t="str">
        <x:v>TA-PRD-010</x:v>
      </x:c>
      <x:c r="B34" s="27" t="str">
        <x:v>R-PRD-010</x:v>
      </x:c>
      <x:c r="C34" s="36" t="str">
        <x:v>Production &amp; Schedule</x:v>
      </x:c>
      <x:c r="D34" s="36" t="str">
        <x:v>Reducir riesgo: Sprints/documentos quedan abiertos indefinidamente</x:v>
      </x:c>
      <x:c r="E34" s="36" t="str">
        <x:v>Re-secuenciar por dependencias, reducir alcance no contractual y proteger H6.</x:v>
      </x:c>
      <x:c r="F34" s="36" t="str">
        <x:v>Production</x:v>
      </x:c>
      <x:c r="G34" s="36" t="str">
        <x:v>Project Owner</x:v>
      </x:c>
      <x:c r="H34" s="36" t="str">
        <x:v>P2</x:v>
      </x:c>
      <x:c r="I34" s="36" t="str">
        <x:v>OPEN</x:v>
      </x:c>
      <x:c r="J34" s="46" t="str">
        <x:v>2026-07-01</x:v>
      </x:c>
      <x:c r="K34" s="46" t="str">
        <x:v>2026-07-31</x:v>
      </x:c>
      <x:c r="L34" s="46" t="str"/>
      <x:c r="M34" s="36" t="str">
        <x:v>Control verificable y evidencia ligada a R-PRD-010.</x:v>
      </x:c>
      <x:c r="N34" s="36" t="str">
        <x:v>02, 06, 07, 08, 12, 13, 16, 31; Roadmap/Sprint Plan, tracking y acceptance matrices v0.3–v0.6</x:v>
      </x:c>
      <x:c r="O34" s="36" t="str">
        <x:v>No iniciada</x:v>
      </x:c>
      <x:c r="P34" s="47" t="n">
        <x:v>0</x:v>
      </x:c>
      <x:c r="Q34" s="36" t="str">
        <x:v>No ejecutar cierre sin evidencia.</x:v>
      </x:c>
    </x:row>
    <x:row r="35">
      <x:c r="A35" s="27" t="str">
        <x:v>TA-TEC-001</x:v>
      </x:c>
      <x:c r="B35" s="27" t="str">
        <x:v>R-TEC-001</x:v>
      </x:c>
      <x:c r="C35" s="36" t="str">
        <x:v>Architecture &amp; Toolchain</x:v>
      </x:c>
      <x:c r="D35" s="36" t="str">
        <x:v>Reducir riesgo: Upgrade de Unity cambia comportamiento o rompe build</x:v>
      </x:c>
      <x:c r="E35" s="36" t="str">
        <x:v>Aislar cambio, reproducir en entorno limpio, fijar versión y revertir si rompe gate.</x:v>
      </x:c>
      <x:c r="F35" s="36" t="str">
        <x:v>Engineering</x:v>
      </x:c>
      <x:c r="G35" s="36" t="str">
        <x:v>Build / Project Owner</x:v>
      </x:c>
      <x:c r="H35" s="36" t="str">
        <x:v>P1</x:v>
      </x:c>
      <x:c r="I35" s="36" t="str">
        <x:v>OPEN</x:v>
      </x:c>
      <x:c r="J35" s="46" t="str">
        <x:v>2026-07-01</x:v>
      </x:c>
      <x:c r="K35" s="46" t="str">
        <x:v>2026-07-08</x:v>
      </x:c>
      <x:c r="L35" s="46" t="str"/>
      <x:c r="M35" s="36" t="str">
        <x:v>Control verificable y evidencia ligada a R-TEC-001.</x:v>
      </x:c>
      <x:c r="N35" s="36" t="str">
        <x:v>03, 09, 10, 11, 13, 27, 30, 31; TDD, setup, coding/build guides, ADR y build records</x:v>
      </x:c>
      <x:c r="O35" s="36" t="str">
        <x:v>No iniciada</x:v>
      </x:c>
      <x:c r="P35" s="47" t="n">
        <x:v>0</x:v>
      </x:c>
      <x:c r="Q35" s="36" t="str">
        <x:v>No ejecutar cierre sin evidencia.</x:v>
      </x:c>
    </x:row>
    <x:row r="36">
      <x:c r="A36" s="27" t="str">
        <x:v>TA-TEC-002</x:v>
      </x:c>
      <x:c r="B36" s="27" t="str">
        <x:v>R-TEC-002</x:v>
      </x:c>
      <x:c r="C36" s="36" t="str">
        <x:v>Architecture &amp; Toolchain</x:v>
      </x:c>
      <x:c r="D36" s="36" t="str">
        <x:v>Reducir riesgo: manifest/lock divergen entre entornos</x:v>
      </x:c>
      <x:c r="E36" s="36" t="str">
        <x:v>Aislar cambio, reproducir en entorno limpio, fijar versión y revertir si rompe gate.</x:v>
      </x:c>
      <x:c r="F36" s="36" t="str">
        <x:v>Engineering</x:v>
      </x:c>
      <x:c r="G36" s="36" t="str">
        <x:v>Build / Project Owner</x:v>
      </x:c>
      <x:c r="H36" s="36" t="str">
        <x:v>P1</x:v>
      </x:c>
      <x:c r="I36" s="36" t="str">
        <x:v>OPEN</x:v>
      </x:c>
      <x:c r="J36" s="46" t="str">
        <x:v>2026-07-01</x:v>
      </x:c>
      <x:c r="K36" s="46" t="str">
        <x:v>2026-07-08</x:v>
      </x:c>
      <x:c r="L36" s="46" t="str"/>
      <x:c r="M36" s="36" t="str">
        <x:v>Control verificable y evidencia ligada a R-TEC-002.</x:v>
      </x:c>
      <x:c r="N36" s="36" t="str">
        <x:v>03, 09, 10, 11, 13, 27, 30, 31; TDD, setup, coding/build guides, ADR y build records</x:v>
      </x:c>
      <x:c r="O36" s="36" t="str">
        <x:v>No iniciada</x:v>
      </x:c>
      <x:c r="P36" s="47" t="n">
        <x:v>0</x:v>
      </x:c>
      <x:c r="Q36" s="36" t="str">
        <x:v>No ejecutar cierre sin evidencia.</x:v>
      </x:c>
    </x:row>
    <x:row r="37">
      <x:c r="A37" s="27" t="str">
        <x:v>TA-TEC-003</x:v>
      </x:c>
      <x:c r="B37" s="27" t="str">
        <x:v>R-TEC-003</x:v>
      </x:c>
      <x:c r="C37" s="36" t="str">
        <x:v>Architecture &amp; Toolchain</x:v>
      </x:c>
      <x:c r="D37" s="36" t="str">
        <x:v>Reducir riesgo: Rama principal contiene estado no compilable</x:v>
      </x:c>
      <x:c r="E37" s="36" t="str">
        <x:v>Aislar cambio, reproducir en entorno limpio, fijar versión y revertir si rompe gate.</x:v>
      </x:c>
      <x:c r="F37" s="36" t="str">
        <x:v>Engineering</x:v>
      </x:c>
      <x:c r="G37" s="36" t="str">
        <x:v>Build / Project Owner</x:v>
      </x:c>
      <x:c r="H37" s="36" t="str">
        <x:v>P1</x:v>
      </x:c>
      <x:c r="I37" s="36" t="str">
        <x:v>OPEN</x:v>
      </x:c>
      <x:c r="J37" s="46" t="str">
        <x:v>2026-07-01</x:v>
      </x:c>
      <x:c r="K37" s="46" t="str">
        <x:v>2026-07-08</x:v>
      </x:c>
      <x:c r="L37" s="46" t="str"/>
      <x:c r="M37" s="36" t="str">
        <x:v>Control verificable y evidencia ligada a R-TEC-003.</x:v>
      </x:c>
      <x:c r="N37" s="36" t="str">
        <x:v>03, 09, 10, 11, 13, 27, 30, 31; TDD, setup, coding/build guides, ADR y build records</x:v>
      </x:c>
      <x:c r="O37" s="36" t="str">
        <x:v>No iniciada</x:v>
      </x:c>
      <x:c r="P37" s="47" t="n">
        <x:v>0</x:v>
      </x:c>
      <x:c r="Q37" s="36" t="str">
        <x:v>No ejecutar cierre sin evidencia.</x:v>
      </x:c>
    </x:row>
    <x:row r="38">
      <x:c r="A38" s="27" t="str">
        <x:v>TA-TEC-004</x:v>
      </x:c>
      <x:c r="B38" s="27" t="str">
        <x:v>R-TEC-004</x:v>
      </x:c>
      <x:c r="C38" s="36" t="str">
        <x:v>Architecture &amp; Toolchain</x:v>
      </x:c>
      <x:c r="D38" s="36" t="str">
        <x:v>Reducir riesgo: Servicios dependen de nombres/referencias frágiles</x:v>
      </x:c>
      <x:c r="E38" s="36" t="str">
        <x:v>Aislar cambio, reproducir en entorno limpio, fijar versión y revertir si rompe gate.</x:v>
      </x:c>
      <x:c r="F38" s="36" t="str">
        <x:v>Engineering</x:v>
      </x:c>
      <x:c r="G38" s="36" t="str">
        <x:v>Build / Project Owner</x:v>
      </x:c>
      <x:c r="H38" s="36" t="str">
        <x:v>P1</x:v>
      </x:c>
      <x:c r="I38" s="36" t="str">
        <x:v>OPEN</x:v>
      </x:c>
      <x:c r="J38" s="46" t="str">
        <x:v>2026-07-01</x:v>
      </x:c>
      <x:c r="K38" s="46" t="str">
        <x:v>2026-07-08</x:v>
      </x:c>
      <x:c r="L38" s="46" t="str"/>
      <x:c r="M38" s="36" t="str">
        <x:v>Control verificable y evidencia ligada a R-TEC-004.</x:v>
      </x:c>
      <x:c r="N38" s="36" t="str">
        <x:v>03, 09, 10, 11, 13, 27, 30, 31; TDD, setup, coding/build guides, ADR y build records</x:v>
      </x:c>
      <x:c r="O38" s="36" t="str">
        <x:v>No iniciada</x:v>
      </x:c>
      <x:c r="P38" s="47" t="n">
        <x:v>0</x:v>
      </x:c>
      <x:c r="Q38" s="36" t="str">
        <x:v>No ejecutar cierre sin evidencia.</x:v>
      </x:c>
    </x:row>
    <x:row r="39">
      <x:c r="A39" s="27" t="str">
        <x:v>TA-TEC-005</x:v>
      </x:c>
      <x:c r="B39" s="27" t="str">
        <x:v>R-TEC-005</x:v>
      </x:c>
      <x:c r="C39" s="36" t="str">
        <x:v>Architecture &amp; Toolchain</x:v>
      </x:c>
      <x:c r="D39" s="36" t="str">
        <x:v>Reducir riesgo: Función pasa en Editor y falla en Player</x:v>
      </x:c>
      <x:c r="E39" s="36" t="str">
        <x:v>Aislar cambio, reproducir en entorno limpio, fijar versión y revertir si rompe gate.</x:v>
      </x:c>
      <x:c r="F39" s="36" t="str">
        <x:v>Engineering</x:v>
      </x:c>
      <x:c r="G39" s="36" t="str">
        <x:v>Build / Project Owner</x:v>
      </x:c>
      <x:c r="H39" s="36" t="str">
        <x:v>P0</x:v>
      </x:c>
      <x:c r="I39" s="36" t="str">
        <x:v>OPEN</x:v>
      </x:c>
      <x:c r="J39" s="46" t="str">
        <x:v>2026-07-01</x:v>
      </x:c>
      <x:c r="K39" s="46" t="str">
        <x:v>2026-07-08</x:v>
      </x:c>
      <x:c r="L39" s="46" t="str"/>
      <x:c r="M39" s="36" t="str">
        <x:v>Control verificable y evidencia ligada a R-TEC-005.</x:v>
      </x:c>
      <x:c r="N39" s="36" t="str">
        <x:v>03, 09, 10, 11, 13, 27, 30, 31; TDD, setup, coding/build guides, ADR y build records</x:v>
      </x:c>
      <x:c r="O39" s="36" t="str">
        <x:v>No iniciada</x:v>
      </x:c>
      <x:c r="P39" s="47" t="n">
        <x:v>0</x:v>
      </x:c>
      <x:c r="Q39" s="36" t="str">
        <x:v>No ejecutar cierre sin evidencia.</x:v>
      </x:c>
    </x:row>
    <x:row r="40">
      <x:c r="A40" s="27" t="str">
        <x:v>TA-TEC-006</x:v>
      </x:c>
      <x:c r="B40" s="27" t="str">
        <x:v>R-TEC-006</x:v>
      </x:c>
      <x:c r="C40" s="36" t="str">
        <x:v>Architecture &amp; Toolchain</x:v>
      </x:c>
      <x:c r="D40" s="36" t="str">
        <x:v>Reducir riesgo: StoreInitial o escenas requeridas quedan fuera del build</x:v>
      </x:c>
      <x:c r="E40" s="36" t="str">
        <x:v>Aislar cambio, reproducir en entorno limpio, fijar versión y revertir si rompe gate.</x:v>
      </x:c>
      <x:c r="F40" s="36" t="str">
        <x:v>Engineering</x:v>
      </x:c>
      <x:c r="G40" s="36" t="str">
        <x:v>Build / Project Owner</x:v>
      </x:c>
      <x:c r="H40" s="36" t="str">
        <x:v>P0</x:v>
      </x:c>
      <x:c r="I40" s="36" t="str">
        <x:v>OPEN</x:v>
      </x:c>
      <x:c r="J40" s="46" t="str">
        <x:v>2026-07-01</x:v>
      </x:c>
      <x:c r="K40" s="46" t="str">
        <x:v>2026-07-08</x:v>
      </x:c>
      <x:c r="L40" s="46" t="str"/>
      <x:c r="M40" s="36" t="str">
        <x:v>Control verificable y evidencia ligada a R-TEC-006.</x:v>
      </x:c>
      <x:c r="N40" s="36" t="str">
        <x:v>03, 09, 10, 11, 13, 27, 30, 31; TDD, setup, coding/build guides, ADR y build records</x:v>
      </x:c>
      <x:c r="O40" s="36" t="str">
        <x:v>No iniciada</x:v>
      </x:c>
      <x:c r="P40" s="47" t="n">
        <x:v>0</x:v>
      </x:c>
      <x:c r="Q40" s="36" t="str">
        <x:v>No ejecutar cierre sin evidencia.</x:v>
      </x:c>
    </x:row>
    <x:row r="41">
      <x:c r="A41" s="27" t="str">
        <x:v>TA-TEC-007</x:v>
      </x:c>
      <x:c r="B41" s="27" t="str">
        <x:v>R-TEC-007</x:v>
      </x:c>
      <x:c r="C41" s="36" t="str">
        <x:v>Architecture &amp; Toolchain</x:v>
      </x:c>
      <x:c r="D41" s="36" t="str">
        <x:v>Reducir riesgo: ProjectSettings difieren de la guía o baseline</x:v>
      </x:c>
      <x:c r="E41" s="36" t="str">
        <x:v>Aislar cambio, reproducir en entorno limpio, fijar versión y revertir si rompe gate.</x:v>
      </x:c>
      <x:c r="F41" s="36" t="str">
        <x:v>Engineering</x:v>
      </x:c>
      <x:c r="G41" s="36" t="str">
        <x:v>Build / Project Owner</x:v>
      </x:c>
      <x:c r="H41" s="36" t="str">
        <x:v>P1</x:v>
      </x:c>
      <x:c r="I41" s="36" t="str">
        <x:v>OPEN</x:v>
      </x:c>
      <x:c r="J41" s="46" t="str">
        <x:v>2026-07-01</x:v>
      </x:c>
      <x:c r="K41" s="46" t="str">
        <x:v>2026-07-31</x:v>
      </x:c>
      <x:c r="L41" s="46" t="str"/>
      <x:c r="M41" s="36" t="str">
        <x:v>Control verificable y evidencia ligada a R-TEC-007.</x:v>
      </x:c>
      <x:c r="N41" s="36" t="str">
        <x:v>03, 09, 10, 11, 13, 27, 30, 31; TDD, setup, coding/build guides, ADR y build records</x:v>
      </x:c>
      <x:c r="O41" s="36" t="str">
        <x:v>No iniciada</x:v>
      </x:c>
      <x:c r="P41" s="47" t="n">
        <x:v>0</x:v>
      </x:c>
      <x:c r="Q41" s="36" t="str">
        <x:v>No ejecutar cierre sin evidencia.</x:v>
      </x:c>
    </x:row>
    <x:row r="42">
      <x:c r="A42" s="27" t="str">
        <x:v>TA-TEC-008</x:v>
      </x:c>
      <x:c r="B42" s="27" t="str">
        <x:v>R-TEC-008</x:v>
      </x:c>
      <x:c r="C42" s="36" t="str">
        <x:v>Architecture &amp; Toolchain</x:v>
      </x:c>
      <x:c r="D42" s="36" t="str">
        <x:v>Reducir riesgo: Plugin introduce vulnerabilidad, incompatibilidad o licencia</x:v>
      </x:c>
      <x:c r="E42" s="36" t="str">
        <x:v>Aislar cambio, reproducir en entorno limpio, fijar versión y revertir si rompe gate.</x:v>
      </x:c>
      <x:c r="F42" s="36" t="str">
        <x:v>Engineering</x:v>
      </x:c>
      <x:c r="G42" s="36" t="str">
        <x:v>Build / Project Owner</x:v>
      </x:c>
      <x:c r="H42" s="36" t="str">
        <x:v>P2</x:v>
      </x:c>
      <x:c r="I42" s="36" t="str">
        <x:v>OPEN</x:v>
      </x:c>
      <x:c r="J42" s="46" t="str">
        <x:v>2026-07-01</x:v>
      </x:c>
      <x:c r="K42" s="46" t="str">
        <x:v>2026-07-31</x:v>
      </x:c>
      <x:c r="L42" s="46" t="str"/>
      <x:c r="M42" s="36" t="str">
        <x:v>Control verificable y evidencia ligada a R-TEC-008.</x:v>
      </x:c>
      <x:c r="N42" s="36" t="str">
        <x:v>03, 09, 10, 11, 13, 27, 30, 31; TDD, setup, coding/build guides, ADR y build records</x:v>
      </x:c>
      <x:c r="O42" s="36" t="str">
        <x:v>No iniciada</x:v>
      </x:c>
      <x:c r="P42" s="47" t="n">
        <x:v>0</x:v>
      </x:c>
      <x:c r="Q42" s="36" t="str">
        <x:v>No ejecutar cierre sin evidencia.</x:v>
      </x:c>
    </x:row>
    <x:row r="43">
      <x:c r="A43" s="27" t="str">
        <x:v>TA-TEC-009</x:v>
      </x:c>
      <x:c r="B43" s="27" t="str">
        <x:v>R-TEC-009</x:v>
      </x:c>
      <x:c r="C43" s="36" t="str">
        <x:v>Architecture &amp; Toolchain</x:v>
      </x:c>
      <x:c r="D43" s="36" t="str">
        <x:v>Reducir riesgo: Solución temporal se convierte en dependencia estructural</x:v>
      </x:c>
      <x:c r="E43" s="36" t="str">
        <x:v>Aislar cambio, reproducir en entorno limpio, fijar versión y revertir si rompe gate.</x:v>
      </x:c>
      <x:c r="F43" s="36" t="str">
        <x:v>Engineering</x:v>
      </x:c>
      <x:c r="G43" s="36" t="str">
        <x:v>Build / Project Owner</x:v>
      </x:c>
      <x:c r="H43" s="36" t="str">
        <x:v>P1</x:v>
      </x:c>
      <x:c r="I43" s="36" t="str">
        <x:v>OPEN</x:v>
      </x:c>
      <x:c r="J43" s="46" t="str">
        <x:v>2026-07-01</x:v>
      </x:c>
      <x:c r="K43" s="46" t="str">
        <x:v>2026-07-31</x:v>
      </x:c>
      <x:c r="L43" s="46" t="str"/>
      <x:c r="M43" s="36" t="str">
        <x:v>Control verificable y evidencia ligada a R-TEC-009.</x:v>
      </x:c>
      <x:c r="N43" s="36" t="str">
        <x:v>03, 09, 10, 11, 13, 27, 30, 31; TDD, setup, coding/build guides, ADR y build records</x:v>
      </x:c>
      <x:c r="O43" s="36" t="str">
        <x:v>No iniciada</x:v>
      </x:c>
      <x:c r="P43" s="47" t="n">
        <x:v>0</x:v>
      </x:c>
      <x:c r="Q43" s="36" t="str">
        <x:v>No ejecutar cierre sin evidencia.</x:v>
      </x:c>
    </x:row>
    <x:row r="44">
      <x:c r="A44" s="27" t="str">
        <x:v>TA-TEC-010</x:v>
      </x:c>
      <x:c r="B44" s="27" t="str">
        <x:v>R-TEC-010</x:v>
      </x:c>
      <x:c r="C44" s="36" t="str">
        <x:v>Architecture &amp; Toolchain</x:v>
      </x:c>
      <x:c r="D44" s="36" t="str">
        <x:v>Reducir riesgo: Build depende solo de estación local</x:v>
      </x:c>
      <x:c r="E44" s="36" t="str">
        <x:v>Aislar cambio, reproducir en entorno limpio, fijar versión y revertir si rompe gate.</x:v>
      </x:c>
      <x:c r="F44" s="36" t="str">
        <x:v>Engineering</x:v>
      </x:c>
      <x:c r="G44" s="36" t="str">
        <x:v>Build / Project Owner</x:v>
      </x:c>
      <x:c r="H44" s="36" t="str">
        <x:v>P1</x:v>
      </x:c>
      <x:c r="I44" s="36" t="str">
        <x:v>OPEN</x:v>
      </x:c>
      <x:c r="J44" s="46" t="str">
        <x:v>2026-07-01</x:v>
      </x:c>
      <x:c r="K44" s="46" t="str">
        <x:v>2026-07-08</x:v>
      </x:c>
      <x:c r="L44" s="46" t="str"/>
      <x:c r="M44" s="36" t="str">
        <x:v>Control verificable y evidencia ligada a R-TEC-010.</x:v>
      </x:c>
      <x:c r="N44" s="36" t="str">
        <x:v>03, 09, 10, 11, 13, 27, 30, 31; TDD, setup, coding/build guides, ADR y build records</x:v>
      </x:c>
      <x:c r="O44" s="36" t="str">
        <x:v>No iniciada</x:v>
      </x:c>
      <x:c r="P44" s="47" t="n">
        <x:v>0</x:v>
      </x:c>
      <x:c r="Q44" s="36" t="str">
        <x:v>No ejecutar cierre sin evidencia.</x:v>
      </x:c>
    </x:row>
    <x:row r="45">
      <x:c r="A45" s="27" t="str">
        <x:v>TA-TEC-011</x:v>
      </x:c>
      <x:c r="B45" s="27" t="str">
        <x:v>R-TEC-011</x:v>
      </x:c>
      <x:c r="C45" s="36" t="str">
        <x:v>Architecture &amp; Toolchain</x:v>
      </x:c>
      <x:c r="D45" s="36" t="str">
        <x:v>Reducir riesgo: Reimport masivo cambia resultados o GUID</x:v>
      </x:c>
      <x:c r="E45" s="36" t="str">
        <x:v>Aislar cambio, reproducir en entorno limpio, fijar versión y revertir si rompe gate.</x:v>
      </x:c>
      <x:c r="F45" s="36" t="str">
        <x:v>Engineering</x:v>
      </x:c>
      <x:c r="G45" s="36" t="str">
        <x:v>Build / Project Owner</x:v>
      </x:c>
      <x:c r="H45" s="36" t="str">
        <x:v>P1</x:v>
      </x:c>
      <x:c r="I45" s="36" t="str">
        <x:v>OPEN</x:v>
      </x:c>
      <x:c r="J45" s="46" t="str">
        <x:v>2026-07-01</x:v>
      </x:c>
      <x:c r="K45" s="46" t="str">
        <x:v>2026-07-08</x:v>
      </x:c>
      <x:c r="L45" s="46" t="str"/>
      <x:c r="M45" s="36" t="str">
        <x:v>Control verificable y evidencia ligada a R-TEC-011.</x:v>
      </x:c>
      <x:c r="N45" s="36" t="str">
        <x:v>03, 09, 10, 11, 13, 27, 30, 31; TDD, setup, coding/build guides, ADR y build records</x:v>
      </x:c>
      <x:c r="O45" s="36" t="str">
        <x:v>No iniciada</x:v>
      </x:c>
      <x:c r="P45" s="47" t="n">
        <x:v>0</x:v>
      </x:c>
      <x:c r="Q45" s="36" t="str">
        <x:v>No ejecutar cierre sin evidencia.</x:v>
      </x:c>
    </x:row>
    <x:row r="46">
      <x:c r="A46" s="27" t="str">
        <x:v>TA-TEC-012</x:v>
      </x:c>
      <x:c r="B46" s="27" t="str">
        <x:v>R-TEC-012</x:v>
      </x:c>
      <x:c r="C46" s="36" t="str">
        <x:v>Architecture &amp; Toolchain</x:v>
      </x:c>
      <x:c r="D46" s="36" t="str">
        <x:v>Reducir riesgo: Trabajo largo diverge y provoca integración destructiva</x:v>
      </x:c>
      <x:c r="E46" s="36" t="str">
        <x:v>Aislar cambio, reproducir en entorno limpio, fijar versión y revertir si rompe gate.</x:v>
      </x:c>
      <x:c r="F46" s="36" t="str">
        <x:v>Engineering</x:v>
      </x:c>
      <x:c r="G46" s="36" t="str">
        <x:v>Build / Project Owner</x:v>
      </x:c>
      <x:c r="H46" s="36" t="str">
        <x:v>P1</x:v>
      </x:c>
      <x:c r="I46" s="36" t="str">
        <x:v>OPEN</x:v>
      </x:c>
      <x:c r="J46" s="46" t="str">
        <x:v>2026-07-01</x:v>
      </x:c>
      <x:c r="K46" s="46" t="str">
        <x:v>2026-07-31</x:v>
      </x:c>
      <x:c r="L46" s="46" t="str"/>
      <x:c r="M46" s="36" t="str">
        <x:v>Control verificable y evidencia ligada a R-TEC-012.</x:v>
      </x:c>
      <x:c r="N46" s="36" t="str">
        <x:v>03, 09, 10, 11, 13, 27, 30, 31; TDD, setup, coding/build guides, ADR y build records</x:v>
      </x:c>
      <x:c r="O46" s="36" t="str">
        <x:v>No iniciada</x:v>
      </x:c>
      <x:c r="P46" s="47" t="n">
        <x:v>0</x:v>
      </x:c>
      <x:c r="Q46" s="36" t="str">
        <x:v>No ejecutar cierre sin evidencia.</x:v>
      </x:c>
    </x:row>
    <x:row r="47">
      <x:c r="A47" s="27" t="str">
        <x:v>TA-DAT-001</x:v>
      </x:c>
      <x:c r="B47" s="27" t="str">
        <x:v>R-DAT-001</x:v>
      </x:c>
      <x:c r="C47" s="36" t="str">
        <x:v>Data, Save &amp; Integrity</x:v>
      </x:c>
      <x:c r="D47" s="36" t="str">
        <x:v>Reducir riesgo: Guardado primario y backup quedan inutilizables</x:v>
      </x:c>
      <x:c r="E47" s="36" t="str">
        <x:v>Añadir validación, migración, backup independiente y recovery probado.</x:v>
      </x:c>
      <x:c r="F47" s="36" t="str">
        <x:v>Engineering / Data</x:v>
      </x:c>
      <x:c r="G47" s="36" t="str">
        <x:v>QA</x:v>
      </x:c>
      <x:c r="H47" s="36" t="str">
        <x:v>P2</x:v>
      </x:c>
      <x:c r="I47" s="36" t="str">
        <x:v>OPEN</x:v>
      </x:c>
      <x:c r="J47" s="46" t="str">
        <x:v>2026-07-01</x:v>
      </x:c>
      <x:c r="K47" s="46" t="str">
        <x:v>2026-07-08</x:v>
      </x:c>
      <x:c r="L47" s="46" t="str"/>
      <x:c r="M47" s="36" t="str">
        <x:v>Control verificable y evidencia ligada a R-DAT-001.</x:v>
      </x:c>
      <x:c r="N47" s="36" t="str">
        <x:v>03, 04, 07, 08, 11, 25, 27, 31; Modelo de Datos, TDD, QA y Sprint 14 save/recovery</x:v>
      </x:c>
      <x:c r="O47" s="36" t="str">
        <x:v>No iniciada</x:v>
      </x:c>
      <x:c r="P47" s="47" t="n">
        <x:v>0</x:v>
      </x:c>
      <x:c r="Q47" s="36" t="str">
        <x:v>No ejecutar cierre sin evidencia.</x:v>
      </x:c>
    </x:row>
    <x:row r="48">
      <x:c r="A48" s="27" t="str">
        <x:v>TA-DAT-002</x:v>
      </x:c>
      <x:c r="B48" s="27" t="str">
        <x:v>R-DAT-002</x:v>
      </x:c>
      <x:c r="C48" s="36" t="str">
        <x:v>Data, Save &amp; Integrity</x:v>
      </x:c>
      <x:c r="D48" s="36" t="str">
        <x:v>Reducir riesgo: Corte durante escritura deja archivo parcial</x:v>
      </x:c>
      <x:c r="E48" s="36" t="str">
        <x:v>Añadir validación, migración, backup independiente y recovery probado.</x:v>
      </x:c>
      <x:c r="F48" s="36" t="str">
        <x:v>Engineering / Data</x:v>
      </x:c>
      <x:c r="G48" s="36" t="str">
        <x:v>QA</x:v>
      </x:c>
      <x:c r="H48" s="36" t="str">
        <x:v>P1</x:v>
      </x:c>
      <x:c r="I48" s="36" t="str">
        <x:v>OPEN</x:v>
      </x:c>
      <x:c r="J48" s="46" t="str">
        <x:v>2026-07-01</x:v>
      </x:c>
      <x:c r="K48" s="46" t="str">
        <x:v>2026-07-08</x:v>
      </x:c>
      <x:c r="L48" s="46" t="str"/>
      <x:c r="M48" s="36" t="str">
        <x:v>Control verificable y evidencia ligada a R-DAT-002.</x:v>
      </x:c>
      <x:c r="N48" s="36" t="str">
        <x:v>03, 04, 07, 08, 11, 25, 27, 31; Modelo de Datos, TDD, QA y Sprint 14 save/recovery</x:v>
      </x:c>
      <x:c r="O48" s="36" t="str">
        <x:v>No iniciada</x:v>
      </x:c>
      <x:c r="P48" s="47" t="n">
        <x:v>0</x:v>
      </x:c>
      <x:c r="Q48" s="36" t="str">
        <x:v>No ejecutar cierre sin evidencia.</x:v>
      </x:c>
    </x:row>
    <x:row r="49">
      <x:c r="A49" s="27" t="str">
        <x:v>TA-DAT-003</x:v>
      </x:c>
      <x:c r="B49" s="27" t="str">
        <x:v>R-DAT-003</x:v>
      </x:c>
      <x:c r="C49" s="36" t="str">
        <x:v>Data, Save &amp; Integrity</x:v>
      </x:c>
      <x:c r="D49" s="36" t="str">
        <x:v>Reducir riesgo: Backup válido se reemplaza por estado corrupto</x:v>
      </x:c>
      <x:c r="E49" s="36" t="str">
        <x:v>Añadir validación, migración, backup independiente y recovery probado.</x:v>
      </x:c>
      <x:c r="F49" s="36" t="str">
        <x:v>Engineering / Data</x:v>
      </x:c>
      <x:c r="G49" s="36" t="str">
        <x:v>QA</x:v>
      </x:c>
      <x:c r="H49" s="36" t="str">
        <x:v>P1</x:v>
      </x:c>
      <x:c r="I49" s="36" t="str">
        <x:v>OPEN</x:v>
      </x:c>
      <x:c r="J49" s="46" t="str">
        <x:v>2026-07-01</x:v>
      </x:c>
      <x:c r="K49" s="46" t="str">
        <x:v>2026-07-08</x:v>
      </x:c>
      <x:c r="L49" s="46" t="str"/>
      <x:c r="M49" s="36" t="str">
        <x:v>Control verificable y evidencia ligada a R-DAT-003.</x:v>
      </x:c>
      <x:c r="N49" s="36" t="str">
        <x:v>03, 04, 07, 08, 11, 25, 27, 31; Modelo de Datos, TDD, QA y Sprint 14 save/recovery</x:v>
      </x:c>
      <x:c r="O49" s="36" t="str">
        <x:v>No iniciada</x:v>
      </x:c>
      <x:c r="P49" s="47" t="n">
        <x:v>0</x:v>
      </x:c>
      <x:c r="Q49" s="36" t="str">
        <x:v>No ejecutar cierre sin evidencia.</x:v>
      </x:c>
    </x:row>
    <x:row r="50">
      <x:c r="A50" s="27" t="str">
        <x:v>TA-DAT-004</x:v>
      </x:c>
      <x:c r="B50" s="27" t="str">
        <x:v>R-DAT-004</x:v>
      </x:c>
      <x:c r="C50" s="36" t="str">
        <x:v>Data, Save &amp; Integrity</x:v>
      </x:c>
      <x:c r="D50" s="36" t="str">
        <x:v>Reducir riesgo: Nueva versión no migra saves anteriores</x:v>
      </x:c>
      <x:c r="E50" s="36" t="str">
        <x:v>Añadir validación, migración, backup independiente y recovery probado.</x:v>
      </x:c>
      <x:c r="F50" s="36" t="str">
        <x:v>Engineering / Data</x:v>
      </x:c>
      <x:c r="G50" s="36" t="str">
        <x:v>QA</x:v>
      </x:c>
      <x:c r="H50" s="36" t="str">
        <x:v>P1</x:v>
      </x:c>
      <x:c r="I50" s="36" t="str">
        <x:v>OPEN</x:v>
      </x:c>
      <x:c r="J50" s="46" t="str">
        <x:v>2026-07-01</x:v>
      </x:c>
      <x:c r="K50" s="46" t="str">
        <x:v>2026-07-31</x:v>
      </x:c>
      <x:c r="L50" s="46" t="str"/>
      <x:c r="M50" s="36" t="str">
        <x:v>Control verificable y evidencia ligada a R-DAT-004.</x:v>
      </x:c>
      <x:c r="N50" s="36" t="str">
        <x:v>03, 04, 07, 08, 11, 25, 27, 31; Modelo de Datos, TDD, QA y Sprint 14 save/recovery</x:v>
      </x:c>
      <x:c r="O50" s="36" t="str">
        <x:v>No iniciada</x:v>
      </x:c>
      <x:c r="P50" s="47" t="n">
        <x:v>0</x:v>
      </x:c>
      <x:c r="Q50" s="36" t="str">
        <x:v>No ejecutar cierre sin evidencia.</x:v>
      </x:c>
    </x:row>
    <x:row r="51">
      <x:c r="A51" s="27" t="str">
        <x:v>TA-DAT-005</x:v>
      </x:c>
      <x:c r="B51" s="27" t="str">
        <x:v>R-DAT-005</x:v>
      </x:c>
      <x:c r="C51" s="36" t="str">
        <x:v>Data, Save &amp; Integrity</x:v>
      </x:c>
      <x:c r="D51" s="36" t="str">
        <x:v>Reducir riesgo: Abrir save nuevo en build antigua destruye datos</x:v>
      </x:c>
      <x:c r="E51" s="36" t="str">
        <x:v>Añadir validación, migración, backup independiente y recovery probado.</x:v>
      </x:c>
      <x:c r="F51" s="36" t="str">
        <x:v>Engineering / Data</x:v>
      </x:c>
      <x:c r="G51" s="36" t="str">
        <x:v>QA</x:v>
      </x:c>
      <x:c r="H51" s="36" t="str">
        <x:v>P2</x:v>
      </x:c>
      <x:c r="I51" s="36" t="str">
        <x:v>OPEN</x:v>
      </x:c>
      <x:c r="J51" s="46" t="str">
        <x:v>2026-07-01</x:v>
      </x:c>
      <x:c r="K51" s="46" t="str">
        <x:v>2026-07-08</x:v>
      </x:c>
      <x:c r="L51" s="46" t="str"/>
      <x:c r="M51" s="36" t="str">
        <x:v>Control verificable y evidencia ligada a R-DAT-005.</x:v>
      </x:c>
      <x:c r="N51" s="36" t="str">
        <x:v>03, 04, 07, 08, 11, 25, 27, 31; Modelo de Datos, TDD, QA y Sprint 14 save/recovery</x:v>
      </x:c>
      <x:c r="O51" s="36" t="str">
        <x:v>No iniciada</x:v>
      </x:c>
      <x:c r="P51" s="47" t="n">
        <x:v>0</x:v>
      </x:c>
      <x:c r="Q51" s="36" t="str">
        <x:v>No ejecutar cierre sin evidencia.</x:v>
      </x:c>
    </x:row>
    <x:row r="52">
      <x:c r="A52" s="27" t="str">
        <x:v>TA-DAT-006</x:v>
      </x:c>
      <x:c r="B52" s="27" t="str">
        <x:v>R-DAT-006</x:v>
      </x:c>
      <x:c r="C52" s="36" t="str">
        <x:v>Data, Save &amp; Integrity</x:v>
      </x:c>
      <x:c r="D52" s="36" t="str">
        <x:v>Reducir riesgo: Una operación afecta al slot equivocado</x:v>
      </x:c>
      <x:c r="E52" s="36" t="str">
        <x:v>Añadir validación, migración, backup independiente y recovery probado.</x:v>
      </x:c>
      <x:c r="F52" s="36" t="str">
        <x:v>Engineering / Data</x:v>
      </x:c>
      <x:c r="G52" s="36" t="str">
        <x:v>QA</x:v>
      </x:c>
      <x:c r="H52" s="36" t="str">
        <x:v>P2</x:v>
      </x:c>
      <x:c r="I52" s="36" t="str">
        <x:v>OPEN</x:v>
      </x:c>
      <x:c r="J52" s="46" t="str">
        <x:v>2026-07-01</x:v>
      </x:c>
      <x:c r="K52" s="46" t="str">
        <x:v>2026-07-08</x:v>
      </x:c>
      <x:c r="L52" s="46" t="str"/>
      <x:c r="M52" s="36" t="str">
        <x:v>Control verificable y evidencia ligada a R-DAT-006.</x:v>
      </x:c>
      <x:c r="N52" s="36" t="str">
        <x:v>03, 04, 07, 08, 11, 25, 27, 31; Modelo de Datos, TDD, QA y Sprint 14 save/recovery</x:v>
      </x:c>
      <x:c r="O52" s="36" t="str">
        <x:v>No iniciada</x:v>
      </x:c>
      <x:c r="P52" s="47" t="n">
        <x:v>0</x:v>
      </x:c>
      <x:c r="Q52" s="36" t="str">
        <x:v>No ejecutar cierre sin evidencia.</x:v>
      </x:c>
    </x:row>
    <x:row r="53">
      <x:c r="A53" s="27" t="str">
        <x:v>TA-DAT-007</x:v>
      </x:c>
      <x:c r="B53" s="27" t="str">
        <x:v>R-DAT-007</x:v>
      </x:c>
      <x:c r="C53" s="36" t="str">
        <x:v>Data, Save &amp; Integrity</x:v>
      </x:c>
      <x:c r="D53" s="36" t="str">
        <x:v>Reducir riesgo: Preferencias globales se pierden o contaminan save</x:v>
      </x:c>
      <x:c r="E53" s="36" t="str">
        <x:v>Añadir validación, migración, backup independiente y recovery probado.</x:v>
      </x:c>
      <x:c r="F53" s="36" t="str">
        <x:v>Engineering / Data</x:v>
      </x:c>
      <x:c r="G53" s="36" t="str">
        <x:v>QA</x:v>
      </x:c>
      <x:c r="H53" s="36" t="str">
        <x:v>P2</x:v>
      </x:c>
      <x:c r="I53" s="36" t="str">
        <x:v>OPEN</x:v>
      </x:c>
      <x:c r="J53" s="46" t="str">
        <x:v>2026-07-01</x:v>
      </x:c>
      <x:c r="K53" s="46" t="str">
        <x:v>2026-07-31</x:v>
      </x:c>
      <x:c r="L53" s="46" t="str"/>
      <x:c r="M53" s="36" t="str">
        <x:v>Control verificable y evidencia ligada a R-DAT-007.</x:v>
      </x:c>
      <x:c r="N53" s="36" t="str">
        <x:v>03, 04, 07, 08, 11, 25, 27, 31; Modelo de Datos, TDD, QA y Sprint 14 save/recovery</x:v>
      </x:c>
      <x:c r="O53" s="36" t="str">
        <x:v>No iniciada</x:v>
      </x:c>
      <x:c r="P53" s="47" t="n">
        <x:v>0</x:v>
      </x:c>
      <x:c r="Q53" s="36" t="str">
        <x:v>No ejecutar cierre sin evidencia.</x:v>
      </x:c>
    </x:row>
    <x:row r="54">
      <x:c r="A54" s="27" t="str">
        <x:v>TA-DAT-008</x:v>
      </x:c>
      <x:c r="B54" s="27" t="str">
        <x:v>R-DAT-008</x:v>
      </x:c>
      <x:c r="C54" s="36" t="str">
        <x:v>Data, Save &amp; Integrity</x:v>
      </x:c>
      <x:c r="D54" s="36" t="str">
        <x:v>Reducir riesgo: IDs de contenido cambian sin migración</x:v>
      </x:c>
      <x:c r="E54" s="36" t="str">
        <x:v>Añadir validación, migración, backup independiente y recovery probado.</x:v>
      </x:c>
      <x:c r="F54" s="36" t="str">
        <x:v>Engineering / Data</x:v>
      </x:c>
      <x:c r="G54" s="36" t="str">
        <x:v>QA</x:v>
      </x:c>
      <x:c r="H54" s="36" t="str">
        <x:v>P1</x:v>
      </x:c>
      <x:c r="I54" s="36" t="str">
        <x:v>OPEN</x:v>
      </x:c>
      <x:c r="J54" s="46" t="str">
        <x:v>2026-07-01</x:v>
      </x:c>
      <x:c r="K54" s="46" t="str">
        <x:v>2026-07-31</x:v>
      </x:c>
      <x:c r="L54" s="46" t="str"/>
      <x:c r="M54" s="36" t="str">
        <x:v>Control verificable y evidencia ligada a R-DAT-008.</x:v>
      </x:c>
      <x:c r="N54" s="36" t="str">
        <x:v>03, 04, 07, 08, 11, 25, 27, 31; Modelo de Datos, TDD, QA y Sprint 14 save/recovery</x:v>
      </x:c>
      <x:c r="O54" s="36" t="str">
        <x:v>No iniciada</x:v>
      </x:c>
      <x:c r="P54" s="47" t="n">
        <x:v>0</x:v>
      </x:c>
      <x:c r="Q54" s="36" t="str">
        <x:v>No ejecutar cierre sin evidencia.</x:v>
      </x:c>
    </x:row>
    <x:row r="55">
      <x:c r="A55" s="27" t="str">
        <x:v>TA-DAT-009</x:v>
      </x:c>
      <x:c r="B55" s="27" t="str">
        <x:v>R-DAT-009</x:v>
      </x:c>
      <x:c r="C55" s="36" t="str">
        <x:v>Data, Save &amp; Integrity</x:v>
      </x:c>
      <x:c r="D55" s="36" t="str">
        <x:v>Reducir riesgo: Recovery ocurre sin informar pérdida potencial</x:v>
      </x:c>
      <x:c r="E55" s="36" t="str">
        <x:v>Añadir validación, migración, backup independiente y recovery probado.</x:v>
      </x:c>
      <x:c r="F55" s="36" t="str">
        <x:v>Engineering / Data</x:v>
      </x:c>
      <x:c r="G55" s="36" t="str">
        <x:v>QA</x:v>
      </x:c>
      <x:c r="H55" s="36" t="str">
        <x:v>P1</x:v>
      </x:c>
      <x:c r="I55" s="36" t="str">
        <x:v>OPEN</x:v>
      </x:c>
      <x:c r="J55" s="46" t="str">
        <x:v>2026-07-01</x:v>
      </x:c>
      <x:c r="K55" s="46" t="str">
        <x:v>2026-07-31</x:v>
      </x:c>
      <x:c r="L55" s="46" t="str"/>
      <x:c r="M55" s="36" t="str">
        <x:v>Control verificable y evidencia ligada a R-DAT-009.</x:v>
      </x:c>
      <x:c r="N55" s="36" t="str">
        <x:v>03, 04, 07, 08, 11, 25, 27, 31; Modelo de Datos, TDD, QA y Sprint 14 save/recovery</x:v>
      </x:c>
      <x:c r="O55" s="36" t="str">
        <x:v>No iniciada</x:v>
      </x:c>
      <x:c r="P55" s="47" t="n">
        <x:v>0</x:v>
      </x:c>
      <x:c r="Q55" s="36" t="str">
        <x:v>No ejecutar cierre sin evidencia.</x:v>
      </x:c>
    </x:row>
    <x:row r="56">
      <x:c r="A56" s="27" t="str">
        <x:v>TA-DAT-010</x:v>
      </x:c>
      <x:c r="B56" s="27" t="str">
        <x:v>R-DAT-010</x:v>
      </x:c>
      <x:c r="C56" s="36" t="str">
        <x:v>Data, Save &amp; Integrity</x:v>
      </x:c>
      <x:c r="D56" s="36" t="str">
        <x:v>Reducir riesgo: Backups existen pero nunca se restauran</x:v>
      </x:c>
      <x:c r="E56" s="36" t="str">
        <x:v>Añadir validación, migración, backup independiente y recovery probado.</x:v>
      </x:c>
      <x:c r="F56" s="36" t="str">
        <x:v>Engineering / Data</x:v>
      </x:c>
      <x:c r="G56" s="36" t="str">
        <x:v>QA</x:v>
      </x:c>
      <x:c r="H56" s="36" t="str">
        <x:v>P0</x:v>
      </x:c>
      <x:c r="I56" s="36" t="str">
        <x:v>OPEN</x:v>
      </x:c>
      <x:c r="J56" s="46" t="str">
        <x:v>2026-07-01</x:v>
      </x:c>
      <x:c r="K56" s="46" t="str">
        <x:v>2026-07-08</x:v>
      </x:c>
      <x:c r="L56" s="46" t="str"/>
      <x:c r="M56" s="36" t="str">
        <x:v>Control verificable y evidencia ligada a R-DAT-010.</x:v>
      </x:c>
      <x:c r="N56" s="36" t="str">
        <x:v>03, 04, 07, 08, 11, 25, 27, 31; Modelo de Datos, TDD, QA y Sprint 14 save/recovery</x:v>
      </x:c>
      <x:c r="O56" s="36" t="str">
        <x:v>No iniciada</x:v>
      </x:c>
      <x:c r="P56" s="47" t="n">
        <x:v>0</x:v>
      </x:c>
      <x:c r="Q56" s="36" t="str">
        <x:v>No ejecutar cierre sin evidencia.</x:v>
      </x:c>
    </x:row>
    <x:row r="57">
      <x:c r="A57" s="27" t="str">
        <x:v>TA-QUA-001</x:v>
      </x:c>
      <x:c r="B57" s="27" t="str">
        <x:v>R-QUA-001</x:v>
      </x:c>
      <x:c r="C57" s="36" t="str">
        <x:v>Quality &amp; Acceptance</x:v>
      </x:c>
      <x:c r="D57" s="36" t="str">
        <x:v>Reducir riesgo: Defecto bloqueante llega a candidato</x:v>
      </x:c>
      <x:c r="E57" s="36" t="str">
        <x:v>Aumentar cobertura, reproducir, fijar owner y bloquear gate según severidad.</x:v>
      </x:c>
      <x:c r="F57" s="36" t="str">
        <x:v>QA</x:v>
      </x:c>
      <x:c r="G57" s="36" t="str">
        <x:v>Production</x:v>
      </x:c>
      <x:c r="H57" s="36" t="str">
        <x:v>P1</x:v>
      </x:c>
      <x:c r="I57" s="36" t="str">
        <x:v>OPEN</x:v>
      </x:c>
      <x:c r="J57" s="46" t="str">
        <x:v>2026-07-01</x:v>
      </x:c>
      <x:c r="K57" s="46" t="str">
        <x:v>2026-07-08</x:v>
      </x:c>
      <x:c r="L57" s="46" t="str"/>
      <x:c r="M57" s="36" t="str">
        <x:v>Control verificable y evidencia ligada a R-QUA-001.</x:v>
      </x:c>
      <x:c r="N57" s="36" t="str">
        <x:v>02, 07, 08, 11, 16, 29, 30, 31; QA Plan/Matrix, validation checklists y execution records v0.3–v0.6</x:v>
      </x:c>
      <x:c r="O57" s="36" t="str">
        <x:v>No iniciada</x:v>
      </x:c>
      <x:c r="P57" s="47" t="n">
        <x:v>0</x:v>
      </x:c>
      <x:c r="Q57" s="36" t="str">
        <x:v>No ejecutar cierre sin evidencia.</x:v>
      </x:c>
    </x:row>
    <x:row r="58">
      <x:c r="A58" s="27" t="str">
        <x:v>TA-QUA-002</x:v>
      </x:c>
      <x:c r="B58" s="27" t="str">
        <x:v>R-QUA-002</x:v>
      </x:c>
      <x:c r="C58" s="36" t="str">
        <x:v>Quality &amp; Acceptance</x:v>
      </x:c>
      <x:c r="D58" s="36" t="str">
        <x:v>Reducir riesgo: Golden Path no se ejecuta de extremo a extremo</x:v>
      </x:c>
      <x:c r="E58" s="36" t="str">
        <x:v>Aumentar cobertura, reproducir, fijar owner y bloquear gate según severidad.</x:v>
      </x:c>
      <x:c r="F58" s="36" t="str">
        <x:v>QA</x:v>
      </x:c>
      <x:c r="G58" s="36" t="str">
        <x:v>Production</x:v>
      </x:c>
      <x:c r="H58" s="36" t="str">
        <x:v>P0</x:v>
      </x:c>
      <x:c r="I58" s="36" t="str">
        <x:v>OPEN</x:v>
      </x:c>
      <x:c r="J58" s="46" t="str">
        <x:v>2026-07-01</x:v>
      </x:c>
      <x:c r="K58" s="46" t="str">
        <x:v>2026-07-08</x:v>
      </x:c>
      <x:c r="L58" s="46" t="str"/>
      <x:c r="M58" s="36" t="str">
        <x:v>Control verificable y evidencia ligada a R-QUA-002.</x:v>
      </x:c>
      <x:c r="N58" s="36" t="str">
        <x:v>02, 07, 08, 11, 16, 29, 30, 31; QA Plan/Matrix, validation checklists y execution records v0.3–v0.6</x:v>
      </x:c>
      <x:c r="O58" s="36" t="str">
        <x:v>No iniciada</x:v>
      </x:c>
      <x:c r="P58" s="47" t="n">
        <x:v>0</x:v>
      </x:c>
      <x:c r="Q58" s="36" t="str">
        <x:v>No ejecutar cierre sin evidencia.</x:v>
      </x:c>
    </x:row>
    <x:row r="59">
      <x:c r="A59" s="27" t="str">
        <x:v>TA-QUA-003</x:v>
      </x:c>
      <x:c r="B59" s="27" t="str">
        <x:v>R-QUA-003</x:v>
      </x:c>
      <x:c r="C59" s="36" t="str">
        <x:v>Quality &amp; Acceptance</x:v>
      </x:c>
      <x:c r="D59" s="36" t="str">
        <x:v>Reducir riesgo: Capacidad cerrada no entra en regresión</x:v>
      </x:c>
      <x:c r="E59" s="36" t="str">
        <x:v>Aumentar cobertura, reproducir, fijar owner y bloquear gate según severidad.</x:v>
      </x:c>
      <x:c r="F59" s="36" t="str">
        <x:v>QA</x:v>
      </x:c>
      <x:c r="G59" s="36" t="str">
        <x:v>Production</x:v>
      </x:c>
      <x:c r="H59" s="36" t="str">
        <x:v>P1</x:v>
      </x:c>
      <x:c r="I59" s="36" t="str">
        <x:v>OPEN</x:v>
      </x:c>
      <x:c r="J59" s="46" t="str">
        <x:v>2026-07-01</x:v>
      </x:c>
      <x:c r="K59" s="46" t="str">
        <x:v>2026-07-08</x:v>
      </x:c>
      <x:c r="L59" s="46" t="str"/>
      <x:c r="M59" s="36" t="str">
        <x:v>Control verificable y evidencia ligada a R-QUA-003.</x:v>
      </x:c>
      <x:c r="N59" s="36" t="str">
        <x:v>02, 07, 08, 11, 16, 29, 30, 31; QA Plan/Matrix, validation checklists y execution records v0.3–v0.6</x:v>
      </x:c>
      <x:c r="O59" s="36" t="str">
        <x:v>No iniciada</x:v>
      </x:c>
      <x:c r="P59" s="47" t="n">
        <x:v>0</x:v>
      </x:c>
      <x:c r="Q59" s="36" t="str">
        <x:v>No ejecutar cierre sin evidencia.</x:v>
      </x:c>
    </x:row>
    <x:row r="60">
      <x:c r="A60" s="27" t="str">
        <x:v>TA-QUA-004</x:v>
      </x:c>
      <x:c r="B60" s="27" t="str">
        <x:v>R-QUA-004</x:v>
      </x:c>
      <x:c r="C60" s="36" t="str">
        <x:v>Quality &amp; Acceptance</x:v>
      </x:c>
      <x:c r="D60" s="36" t="str">
        <x:v>Reducir riesgo: Control se marca PASS sin evidencia verificable</x:v>
      </x:c>
      <x:c r="E60" s="36" t="str">
        <x:v>Aumentar cobertura, reproducir, fijar owner y bloquear gate según severidad.</x:v>
      </x:c>
      <x:c r="F60" s="36" t="str">
        <x:v>QA</x:v>
      </x:c>
      <x:c r="G60" s="36" t="str">
        <x:v>Production</x:v>
      </x:c>
      <x:c r="H60" s="36" t="str">
        <x:v>P1</x:v>
      </x:c>
      <x:c r="I60" s="36" t="str">
        <x:v>OPEN</x:v>
      </x:c>
      <x:c r="J60" s="46" t="str">
        <x:v>2026-07-01</x:v>
      </x:c>
      <x:c r="K60" s="46" t="str">
        <x:v>2026-07-08</x:v>
      </x:c>
      <x:c r="L60" s="46" t="str"/>
      <x:c r="M60" s="36" t="str">
        <x:v>Control verificable y evidencia ligada a R-QUA-004.</x:v>
      </x:c>
      <x:c r="N60" s="36" t="str">
        <x:v>02, 07, 08, 11, 16, 29, 30, 31; QA Plan/Matrix, validation checklists y execution records v0.3–v0.6</x:v>
      </x:c>
      <x:c r="O60" s="36" t="str">
        <x:v>No iniciada</x:v>
      </x:c>
      <x:c r="P60" s="47" t="n">
        <x:v>0</x:v>
      </x:c>
      <x:c r="Q60" s="36" t="str">
        <x:v>No ejecutar cierre sin evidencia.</x:v>
      </x:c>
    </x:row>
    <x:row r="61">
      <x:c r="A61" s="27" t="str">
        <x:v>TA-QUA-005</x:v>
      </x:c>
      <x:c r="B61" s="27" t="str">
        <x:v>R-QUA-005</x:v>
      </x:c>
      <x:c r="C61" s="36" t="str">
        <x:v>Quality &amp; Acceptance</x:v>
      </x:c>
      <x:c r="D61" s="36" t="str">
        <x:v>Reducir riesgo: QA usa entorno distinto al candidato</x:v>
      </x:c>
      <x:c r="E61" s="36" t="str">
        <x:v>Aumentar cobertura, reproducir, fijar owner y bloquear gate según severidad.</x:v>
      </x:c>
      <x:c r="F61" s="36" t="str">
        <x:v>QA</x:v>
      </x:c>
      <x:c r="G61" s="36" t="str">
        <x:v>Production</x:v>
      </x:c>
      <x:c r="H61" s="36" t="str">
        <x:v>P1</x:v>
      </x:c>
      <x:c r="I61" s="36" t="str">
        <x:v>OPEN</x:v>
      </x:c>
      <x:c r="J61" s="46" t="str">
        <x:v>2026-07-01</x:v>
      </x:c>
      <x:c r="K61" s="46" t="str">
        <x:v>2026-07-31</x:v>
      </x:c>
      <x:c r="L61" s="46" t="str"/>
      <x:c r="M61" s="36" t="str">
        <x:v>Control verificable y evidencia ligada a R-QUA-005.</x:v>
      </x:c>
      <x:c r="N61" s="36" t="str">
        <x:v>02, 07, 08, 11, 16, 29, 30, 31; QA Plan/Matrix, validation checklists y execution records v0.3–v0.6</x:v>
      </x:c>
      <x:c r="O61" s="36" t="str">
        <x:v>No iniciada</x:v>
      </x:c>
      <x:c r="P61" s="47" t="n">
        <x:v>0</x:v>
      </x:c>
      <x:c r="Q61" s="36" t="str">
        <x:v>No ejecutar cierre sin evidencia.</x:v>
      </x:c>
    </x:row>
    <x:row r="62">
      <x:c r="A62" s="27" t="str">
        <x:v>TA-QUA-006</x:v>
      </x:c>
      <x:c r="B62" s="27" t="str">
        <x:v>R-QUA-006</x:v>
      </x:c>
      <x:c r="C62" s="36" t="str">
        <x:v>Quality &amp; Acceptance</x:v>
      </x:c>
      <x:c r="D62" s="36" t="str">
        <x:v>Reducir riesgo: Solo tests previstos y no exploratorios</x:v>
      </x:c>
      <x:c r="E62" s="36" t="str">
        <x:v>Aumentar cobertura, reproducir, fijar owner y bloquear gate según severidad.</x:v>
      </x:c>
      <x:c r="F62" s="36" t="str">
        <x:v>QA</x:v>
      </x:c>
      <x:c r="G62" s="36" t="str">
        <x:v>Production</x:v>
      </x:c>
      <x:c r="H62" s="36" t="str">
        <x:v>P2</x:v>
      </x:c>
      <x:c r="I62" s="36" t="str">
        <x:v>OPEN</x:v>
      </x:c>
      <x:c r="J62" s="46" t="str">
        <x:v>2026-07-01</x:v>
      </x:c>
      <x:c r="K62" s="46" t="str">
        <x:v>2026-07-31</x:v>
      </x:c>
      <x:c r="L62" s="46" t="str"/>
      <x:c r="M62" s="36" t="str">
        <x:v>Control verificable y evidencia ligada a R-QUA-006.</x:v>
      </x:c>
      <x:c r="N62" s="36" t="str">
        <x:v>02, 07, 08, 11, 16, 29, 30, 31; QA Plan/Matrix, validation checklists y execution records v0.3–v0.6</x:v>
      </x:c>
      <x:c r="O62" s="36" t="str">
        <x:v>No iniciada</x:v>
      </x:c>
      <x:c r="P62" s="47" t="n">
        <x:v>0</x:v>
      </x:c>
      <x:c r="Q62" s="36" t="str">
        <x:v>No ejecutar cierre sin evidencia.</x:v>
      </x:c>
    </x:row>
    <x:row r="63">
      <x:c r="A63" s="27" t="str">
        <x:v>TA-QUA-007</x:v>
      </x:c>
      <x:c r="B63" s="27" t="str">
        <x:v>R-QUA-007</x:v>
      </x:c>
      <x:c r="C63" s="36" t="str">
        <x:v>Quality &amp; Acceptance</x:v>
      </x:c>
      <x:c r="D63" s="36" t="str">
        <x:v>Reducir riesgo: Fallo no reproducible se cierra prematuramente</x:v>
      </x:c>
      <x:c r="E63" s="36" t="str">
        <x:v>Aumentar cobertura, reproducir, fijar owner y bloquear gate según severidad.</x:v>
      </x:c>
      <x:c r="F63" s="36" t="str">
        <x:v>QA</x:v>
      </x:c>
      <x:c r="G63" s="36" t="str">
        <x:v>Production</x:v>
      </x:c>
      <x:c r="H63" s="36" t="str">
        <x:v>P1</x:v>
      </x:c>
      <x:c r="I63" s="36" t="str">
        <x:v>OPEN</x:v>
      </x:c>
      <x:c r="J63" s="46" t="str">
        <x:v>2026-07-01</x:v>
      </x:c>
      <x:c r="K63" s="46" t="str">
        <x:v>2026-07-31</x:v>
      </x:c>
      <x:c r="L63" s="46" t="str"/>
      <x:c r="M63" s="36" t="str">
        <x:v>Control verificable y evidencia ligada a R-QUA-007.</x:v>
      </x:c>
      <x:c r="N63" s="36" t="str">
        <x:v>02, 07, 08, 11, 16, 29, 30, 31; QA Plan/Matrix, validation checklists y execution records v0.3–v0.6</x:v>
      </x:c>
      <x:c r="O63" s="36" t="str">
        <x:v>No iniciada</x:v>
      </x:c>
      <x:c r="P63" s="47" t="n">
        <x:v>0</x:v>
      </x:c>
      <x:c r="Q63" s="36" t="str">
        <x:v>No ejecutar cierre sin evidencia.</x:v>
      </x:c>
    </x:row>
    <x:row r="64">
      <x:c r="A64" s="27" t="str">
        <x:v>TA-QUA-008</x:v>
      </x:c>
      <x:c r="B64" s="27" t="str">
        <x:v>R-QUA-008</x:v>
      </x:c>
      <x:c r="C64" s="36" t="str">
        <x:v>Quality &amp; Acceptance</x:v>
      </x:c>
      <x:c r="D64" s="36" t="str">
        <x:v>Reducir riesgo: Arte representativo no recibe aceptación formal</x:v>
      </x:c>
      <x:c r="E64" s="36" t="str">
        <x:v>Aumentar cobertura, reproducir, fijar owner y bloquear gate según severidad.</x:v>
      </x:c>
      <x:c r="F64" s="36" t="str">
        <x:v>QA</x:v>
      </x:c>
      <x:c r="G64" s="36" t="str">
        <x:v>Production</x:v>
      </x:c>
      <x:c r="H64" s="36" t="str">
        <x:v>P1</x:v>
      </x:c>
      <x:c r="I64" s="36" t="str">
        <x:v>OPEN</x:v>
      </x:c>
      <x:c r="J64" s="46" t="str">
        <x:v>2026-07-01</x:v>
      </x:c>
      <x:c r="K64" s="46" t="str">
        <x:v>2026-07-08</x:v>
      </x:c>
      <x:c r="L64" s="46" t="str"/>
      <x:c r="M64" s="36" t="str">
        <x:v>Control verificable y evidencia ligada a R-QUA-008.</x:v>
      </x:c>
      <x:c r="N64" s="36" t="str">
        <x:v>02, 07, 08, 11, 16, 29, 30, 31; QA Plan/Matrix, validation checklists y execution records v0.3–v0.6</x:v>
      </x:c>
      <x:c r="O64" s="36" t="str">
        <x:v>No iniciada</x:v>
      </x:c>
      <x:c r="P64" s="47" t="n">
        <x:v>0</x:v>
      </x:c>
      <x:c r="Q64" s="36" t="str">
        <x:v>No ejecutar cierre sin evidencia.</x:v>
      </x:c>
    </x:row>
    <x:row r="65">
      <x:c r="A65" s="27" t="str">
        <x:v>TA-QUA-009</x:v>
      </x:c>
      <x:c r="B65" s="27" t="str">
        <x:v>R-QUA-009</x:v>
      </x:c>
      <x:c r="C65" s="36" t="str">
        <x:v>Quality &amp; Acceptance</x:v>
      </x:c>
      <x:c r="D65" s="36" t="str">
        <x:v>Reducir riesgo: No se prueba hardware objetivo</x:v>
      </x:c>
      <x:c r="E65" s="36" t="str">
        <x:v>Aumentar cobertura, reproducir, fijar owner y bloquear gate según severidad.</x:v>
      </x:c>
      <x:c r="F65" s="36" t="str">
        <x:v>QA</x:v>
      </x:c>
      <x:c r="G65" s="36" t="str">
        <x:v>Production</x:v>
      </x:c>
      <x:c r="H65" s="36" t="str">
        <x:v>P1</x:v>
      </x:c>
      <x:c r="I65" s="36" t="str">
        <x:v>OPEN</x:v>
      </x:c>
      <x:c r="J65" s="46" t="str">
        <x:v>2026-07-01</x:v>
      </x:c>
      <x:c r="K65" s="46" t="str">
        <x:v>2026-07-08</x:v>
      </x:c>
      <x:c r="L65" s="46" t="str"/>
      <x:c r="M65" s="36" t="str">
        <x:v>Control verificable y evidencia ligada a R-QUA-009.</x:v>
      </x:c>
      <x:c r="N65" s="36" t="str">
        <x:v>02, 07, 08, 11, 16, 29, 30, 31; QA Plan/Matrix, validation checklists y execution records v0.3–v0.6</x:v>
      </x:c>
      <x:c r="O65" s="36" t="str">
        <x:v>No iniciada</x:v>
      </x:c>
      <x:c r="P65" s="47" t="n">
        <x:v>0</x:v>
      </x:c>
      <x:c r="Q65" s="36" t="str">
        <x:v>No ejecutar cierre sin evidencia.</x:v>
      </x:c>
    </x:row>
    <x:row r="66">
      <x:c r="A66" s="27" t="str">
        <x:v>TA-QUA-010</x:v>
      </x:c>
      <x:c r="B66" s="27" t="str">
        <x:v>R-QUA-010</x:v>
      </x:c>
      <x:c r="C66" s="36" t="str">
        <x:v>Quality &amp; Acceptance</x:v>
      </x:c>
      <x:c r="D66" s="36" t="str">
        <x:v>Reducir riesgo: Excepciones sustituyen correcciones sin límite</x:v>
      </x:c>
      <x:c r="E66" s="36" t="str">
        <x:v>Aumentar cobertura, reproducir, fijar owner y bloquear gate según severidad.</x:v>
      </x:c>
      <x:c r="F66" s="36" t="str">
        <x:v>QA</x:v>
      </x:c>
      <x:c r="G66" s="36" t="str">
        <x:v>Production</x:v>
      </x:c>
      <x:c r="H66" s="36" t="str">
        <x:v>P1</x:v>
      </x:c>
      <x:c r="I66" s="36" t="str">
        <x:v>OPEN</x:v>
      </x:c>
      <x:c r="J66" s="46" t="str">
        <x:v>2026-07-01</x:v>
      </x:c>
      <x:c r="K66" s="46" t="str">
        <x:v>2026-07-31</x:v>
      </x:c>
      <x:c r="L66" s="46" t="str"/>
      <x:c r="M66" s="36" t="str">
        <x:v>Control verificable y evidencia ligada a R-QUA-010.</x:v>
      </x:c>
      <x:c r="N66" s="36" t="str">
        <x:v>02, 07, 08, 11, 16, 29, 30, 31; QA Plan/Matrix, validation checklists y execution records v0.3–v0.6</x:v>
      </x:c>
      <x:c r="O66" s="36" t="str">
        <x:v>No iniciada</x:v>
      </x:c>
      <x:c r="P66" s="47" t="n">
        <x:v>0</x:v>
      </x:c>
      <x:c r="Q66" s="36" t="str">
        <x:v>No ejecutar cierre sin evidencia.</x:v>
      </x:c>
    </x:row>
    <x:row r="67">
      <x:c r="A67" s="27" t="str">
        <x:v>TA-PER-001</x:v>
      </x:c>
      <x:c r="B67" s="27" t="str">
        <x:v>R-PER-001</x:v>
      </x:c>
      <x:c r="C67" s="36" t="str">
        <x:v>Performance &amp; Stability</x:v>
      </x:c>
      <x:c r="D67" s="36" t="str">
        <x:v>Reducir riesgo: No se alcanzan 60 FPS a 1080p en hardware objetivo</x:v>
      </x:c>
      <x:c r="E67" s="36" t="str">
        <x:v>Medir antes de optimizar, priorizar hotspots y ajustar presets sin comprometer integridad.</x:v>
      </x:c>
      <x:c r="F67" s="36" t="str">
        <x:v>Engineering / QA</x:v>
      </x:c>
      <x:c r="G67" s="36" t="str">
        <x:v>Technical Lead</x:v>
      </x:c>
      <x:c r="H67" s="36" t="str">
        <x:v>P1</x:v>
      </x:c>
      <x:c r="I67" s="36" t="str">
        <x:v>OPEN</x:v>
      </x:c>
      <x:c r="J67" s="46" t="str">
        <x:v>2026-07-01</x:v>
      </x:c>
      <x:c r="K67" s="46" t="str">
        <x:v>2026-07-08</x:v>
      </x:c>
      <x:c r="L67" s="46" t="str"/>
      <x:c r="M67" s="36" t="str">
        <x:v>Control verificable y evidencia ligada a R-PER-001.</x:v>
      </x:c>
      <x:c r="N67" s="36" t="str">
        <x:v>02, 03, 07, 10, 11, 17, 18, 19, 20, 30, 31; Targets históricos de VSS/TDD y pruebas de build v0.3–v0.6</x:v>
      </x:c>
      <x:c r="O67" s="36" t="str">
        <x:v>No iniciada</x:v>
      </x:c>
      <x:c r="P67" s="47" t="n">
        <x:v>0</x:v>
      </x:c>
      <x:c r="Q67" s="36" t="str">
        <x:v>No ejecutar cierre sin evidencia.</x:v>
      </x:c>
    </x:row>
    <x:row r="68">
      <x:c r="A68" s="27" t="str">
        <x:v>TA-PER-002</x:v>
      </x:c>
      <x:c r="B68" s="27" t="str">
        <x:v>R-PER-002</x:v>
      </x:c>
      <x:c r="C68" s="36" t="str">
        <x:v>Performance &amp; Stability</x:v>
      </x:c>
      <x:c r="D68" s="36" t="str">
        <x:v>Reducir riesgo: Stutter perceptible pese a promedio aceptable</x:v>
      </x:c>
      <x:c r="E68" s="36" t="str">
        <x:v>Medir antes de optimizar, priorizar hotspots y ajustar presets sin comprometer integridad.</x:v>
      </x:c>
      <x:c r="F68" s="36" t="str">
        <x:v>Engineering / QA</x:v>
      </x:c>
      <x:c r="G68" s="36" t="str">
        <x:v>Technical Lead</x:v>
      </x:c>
      <x:c r="H68" s="36" t="str">
        <x:v>P1</x:v>
      </x:c>
      <x:c r="I68" s="36" t="str">
        <x:v>OPEN</x:v>
      </x:c>
      <x:c r="J68" s="46" t="str">
        <x:v>2026-07-01</x:v>
      </x:c>
      <x:c r="K68" s="46" t="str">
        <x:v>2026-07-08</x:v>
      </x:c>
      <x:c r="L68" s="46" t="str"/>
      <x:c r="M68" s="36" t="str">
        <x:v>Control verificable y evidencia ligada a R-PER-002.</x:v>
      </x:c>
      <x:c r="N68" s="36" t="str">
        <x:v>02, 03, 07, 10, 11, 17, 18, 19, 20, 30, 31; Targets históricos de VSS/TDD y pruebas de build v0.3–v0.6</x:v>
      </x:c>
      <x:c r="O68" s="36" t="str">
        <x:v>No iniciada</x:v>
      </x:c>
      <x:c r="P68" s="47" t="n">
        <x:v>0</x:v>
      </x:c>
      <x:c r="Q68" s="36" t="str">
        <x:v>No ejecutar cierre sin evidencia.</x:v>
      </x:c>
    </x:row>
    <x:row r="69">
      <x:c r="A69" s="27" t="str">
        <x:v>TA-PER-003</x:v>
      </x:c>
      <x:c r="B69" s="27" t="str">
        <x:v>R-PER-003</x:v>
      </x:c>
      <x:c r="C69" s="36" t="str">
        <x:v>Performance &amp; Stability</x:v>
      </x:c>
      <x:c r="D69" s="36" t="str">
        <x:v>Reducir riesgo: Memoria aumenta durante sesión prolongada</x:v>
      </x:c>
      <x:c r="E69" s="36" t="str">
        <x:v>Medir antes de optimizar, priorizar hotspots y ajustar presets sin comprometer integridad.</x:v>
      </x:c>
      <x:c r="F69" s="36" t="str">
        <x:v>Engineering / QA</x:v>
      </x:c>
      <x:c r="G69" s="36" t="str">
        <x:v>Technical Lead</x:v>
      </x:c>
      <x:c r="H69" s="36" t="str">
        <x:v>P1</x:v>
      </x:c>
      <x:c r="I69" s="36" t="str">
        <x:v>OPEN</x:v>
      </x:c>
      <x:c r="J69" s="46" t="str">
        <x:v>2026-07-01</x:v>
      </x:c>
      <x:c r="K69" s="46" t="str">
        <x:v>2026-07-31</x:v>
      </x:c>
      <x:c r="L69" s="46" t="str"/>
      <x:c r="M69" s="36" t="str">
        <x:v>Control verificable y evidencia ligada a R-PER-003.</x:v>
      </x:c>
      <x:c r="N69" s="36" t="str">
        <x:v>02, 03, 07, 10, 11, 17, 18, 19, 20, 30, 31; Targets históricos de VSS/TDD y pruebas de build v0.3–v0.6</x:v>
      </x:c>
      <x:c r="O69" s="36" t="str">
        <x:v>No iniciada</x:v>
      </x:c>
      <x:c r="P69" s="47" t="n">
        <x:v>0</x:v>
      </x:c>
      <x:c r="Q69" s="36" t="str">
        <x:v>No ejecutar cierre sin evidencia.</x:v>
      </x:c>
    </x:row>
    <x:row r="70">
      <x:c r="A70" s="27" t="str">
        <x:v>TA-PER-004</x:v>
      </x:c>
      <x:c r="B70" s="27" t="str">
        <x:v>R-PER-004</x:v>
      </x:c>
      <x:c r="C70" s="36" t="str">
        <x:v>Performance &amp; Stability</x:v>
      </x:c>
      <x:c r="D70" s="36" t="str">
        <x:v>Reducir riesgo: Allocations frecuentes causan picos</x:v>
      </x:c>
      <x:c r="E70" s="36" t="str">
        <x:v>Medir antes de optimizar, priorizar hotspots y ajustar presets sin comprometer integridad.</x:v>
      </x:c>
      <x:c r="F70" s="36" t="str">
        <x:v>Engineering / QA</x:v>
      </x:c>
      <x:c r="G70" s="36" t="str">
        <x:v>Technical Lead</x:v>
      </x:c>
      <x:c r="H70" s="36" t="str">
        <x:v>P1</x:v>
      </x:c>
      <x:c r="I70" s="36" t="str">
        <x:v>OPEN</x:v>
      </x:c>
      <x:c r="J70" s="46" t="str">
        <x:v>2026-07-01</x:v>
      </x:c>
      <x:c r="K70" s="46" t="str">
        <x:v>2026-07-08</x:v>
      </x:c>
      <x:c r="L70" s="46" t="str"/>
      <x:c r="M70" s="36" t="str">
        <x:v>Control verificable y evidencia ligada a R-PER-004.</x:v>
      </x:c>
      <x:c r="N70" s="36" t="str">
        <x:v>02, 03, 07, 10, 11, 17, 18, 19, 20, 30, 31; Targets históricos de VSS/TDD y pruebas de build v0.3–v0.6</x:v>
      </x:c>
      <x:c r="O70" s="36" t="str">
        <x:v>No iniciada</x:v>
      </x:c>
      <x:c r="P70" s="47" t="n">
        <x:v>0</x:v>
      </x:c>
      <x:c r="Q70" s="36" t="str">
        <x:v>No ejecutar cierre sin evidencia.</x:v>
      </x:c>
    </x:row>
    <x:row r="71">
      <x:c r="A71" s="27" t="str">
        <x:v>TA-PER-005</x:v>
      </x:c>
      <x:c r="B71" s="27" t="str">
        <x:v>R-PER-005</x:v>
      </x:c>
      <x:c r="C71" s="36" t="str">
        <x:v>Performance &amp; Stability</x:v>
      </x:c>
      <x:c r="D71" s="36" t="str">
        <x:v>Reducir riesgo: Carga del slice supera 5 segundos</x:v>
      </x:c>
      <x:c r="E71" s="36" t="str">
        <x:v>Medir antes de optimizar, priorizar hotspots y ajustar presets sin comprometer integridad.</x:v>
      </x:c>
      <x:c r="F71" s="36" t="str">
        <x:v>Engineering / QA</x:v>
      </x:c>
      <x:c r="G71" s="36" t="str">
        <x:v>Technical Lead</x:v>
      </x:c>
      <x:c r="H71" s="36" t="str">
        <x:v>P1</x:v>
      </x:c>
      <x:c r="I71" s="36" t="str">
        <x:v>OPEN</x:v>
      </x:c>
      <x:c r="J71" s="46" t="str">
        <x:v>2026-07-01</x:v>
      </x:c>
      <x:c r="K71" s="46" t="str">
        <x:v>2026-07-08</x:v>
      </x:c>
      <x:c r="L71" s="46" t="str"/>
      <x:c r="M71" s="36" t="str">
        <x:v>Control verificable y evidencia ligada a R-PER-005.</x:v>
      </x:c>
      <x:c r="N71" s="36" t="str">
        <x:v>02, 03, 07, 10, 11, 17, 18, 19, 20, 30, 31; Targets históricos de VSS/TDD y pruebas de build v0.3–v0.6</x:v>
      </x:c>
      <x:c r="O71" s="36" t="str">
        <x:v>No iniciada</x:v>
      </x:c>
      <x:c r="P71" s="47" t="n">
        <x:v>0</x:v>
      </x:c>
      <x:c r="Q71" s="36" t="str">
        <x:v>No ejecutar cierre sin evidencia.</x:v>
      </x:c>
    </x:row>
    <x:row r="72">
      <x:c r="A72" s="27" t="str">
        <x:v>TA-PER-006</x:v>
      </x:c>
      <x:c r="B72" s="27" t="str">
        <x:v>R-PER-006</x:v>
      </x:c>
      <x:c r="C72" s="36" t="str">
        <x:v>Performance &amp; Stability</x:v>
      </x:c>
      <x:c r="D72" s="36" t="str">
        <x:v>Reducir riesgo: Guardado/cierre supera 2 segundos</x:v>
      </x:c>
      <x:c r="E72" s="36" t="str">
        <x:v>Medir antes de optimizar, priorizar hotspots y ajustar presets sin comprometer integridad.</x:v>
      </x:c>
      <x:c r="F72" s="36" t="str">
        <x:v>Engineering / QA</x:v>
      </x:c>
      <x:c r="G72" s="36" t="str">
        <x:v>Technical Lead</x:v>
      </x:c>
      <x:c r="H72" s="36" t="str">
        <x:v>P1</x:v>
      </x:c>
      <x:c r="I72" s="36" t="str">
        <x:v>OPEN</x:v>
      </x:c>
      <x:c r="J72" s="46" t="str">
        <x:v>2026-07-01</x:v>
      </x:c>
      <x:c r="K72" s="46" t="str">
        <x:v>2026-07-08</x:v>
      </x:c>
      <x:c r="L72" s="46" t="str"/>
      <x:c r="M72" s="36" t="str">
        <x:v>Control verificable y evidencia ligada a R-PER-006.</x:v>
      </x:c>
      <x:c r="N72" s="36" t="str">
        <x:v>02, 03, 07, 10, 11, 17, 18, 19, 20, 30, 31; Targets históricos de VSS/TDD y pruebas de build v0.3–v0.6</x:v>
      </x:c>
      <x:c r="O72" s="36" t="str">
        <x:v>No iniciada</x:v>
      </x:c>
      <x:c r="P72" s="47" t="n">
        <x:v>0</x:v>
      </x:c>
      <x:c r="Q72" s="36" t="str">
        <x:v>No ejecutar cierre sin evidencia.</x:v>
      </x:c>
    </x:row>
    <x:row r="73">
      <x:c r="A73" s="27" t="str">
        <x:v>TA-PER-007</x:v>
      </x:c>
      <x:c r="B73" s="27" t="str">
        <x:v>R-PER-007</x:v>
      </x:c>
      <x:c r="C73" s="36" t="str">
        <x:v>Performance &amp; Stability</x:v>
      </x:c>
      <x:c r="D73" s="36" t="str">
        <x:v>Reducir riesgo: Sombras/SSAO/overdraw exceden budget</x:v>
      </x:c>
      <x:c r="E73" s="36" t="str">
        <x:v>Medir antes de optimizar, priorizar hotspots y ajustar presets sin comprometer integridad.</x:v>
      </x:c>
      <x:c r="F73" s="36" t="str">
        <x:v>Engineering / QA</x:v>
      </x:c>
      <x:c r="G73" s="36" t="str">
        <x:v>Technical Lead</x:v>
      </x:c>
      <x:c r="H73" s="36" t="str">
        <x:v>P1</x:v>
      </x:c>
      <x:c r="I73" s="36" t="str">
        <x:v>OPEN</x:v>
      </x:c>
      <x:c r="J73" s="46" t="str">
        <x:v>2026-07-01</x:v>
      </x:c>
      <x:c r="K73" s="46" t="str">
        <x:v>2026-07-31</x:v>
      </x:c>
      <x:c r="L73" s="46" t="str"/>
      <x:c r="M73" s="36" t="str">
        <x:v>Control verificable y evidencia ligada a R-PER-007.</x:v>
      </x:c>
      <x:c r="N73" s="36" t="str">
        <x:v>02, 03, 07, 10, 11, 17, 18, 19, 20, 30, 31; Targets históricos de VSS/TDD y pruebas de build v0.3–v0.6</x:v>
      </x:c>
      <x:c r="O73" s="36" t="str">
        <x:v>No iniciada</x:v>
      </x:c>
      <x:c r="P73" s="47" t="n">
        <x:v>0</x:v>
      </x:c>
      <x:c r="Q73" s="36" t="str">
        <x:v>No ejecutar cierre sin evidencia.</x:v>
      </x:c>
    </x:row>
    <x:row r="74">
      <x:c r="A74" s="27" t="str">
        <x:v>TA-PER-008</x:v>
      </x:c>
      <x:c r="B74" s="27" t="str">
        <x:v>R-PER-008</x:v>
      </x:c>
      <x:c r="C74" s="36" t="str">
        <x:v>Performance &amp; Stability</x:v>
      </x:c>
      <x:c r="D74" s="36" t="str">
        <x:v>Reducir riesgo: Ocho clientes degradan CPU/NavMesh</x:v>
      </x:c>
      <x:c r="E74" s="36" t="str">
        <x:v>Medir antes de optimizar, priorizar hotspots y ajustar presets sin comprometer integridad.</x:v>
      </x:c>
      <x:c r="F74" s="36" t="str">
        <x:v>Engineering / QA</x:v>
      </x:c>
      <x:c r="G74" s="36" t="str">
        <x:v>Technical Lead</x:v>
      </x:c>
      <x:c r="H74" s="36" t="str">
        <x:v>P1</x:v>
      </x:c>
      <x:c r="I74" s="36" t="str">
        <x:v>OPEN</x:v>
      </x:c>
      <x:c r="J74" s="46" t="str">
        <x:v>2026-07-01</x:v>
      </x:c>
      <x:c r="K74" s="46" t="str">
        <x:v>2026-07-31</x:v>
      </x:c>
      <x:c r="L74" s="46" t="str"/>
      <x:c r="M74" s="36" t="str">
        <x:v>Control verificable y evidencia ligada a R-PER-008.</x:v>
      </x:c>
      <x:c r="N74" s="36" t="str">
        <x:v>02, 03, 07, 10, 11, 17, 18, 19, 20, 30, 31; Targets históricos de VSS/TDD y pruebas de build v0.3–v0.6</x:v>
      </x:c>
      <x:c r="O74" s="36" t="str">
        <x:v>No iniciada</x:v>
      </x:c>
      <x:c r="P74" s="47" t="n">
        <x:v>0</x:v>
      </x:c>
      <x:c r="Q74" s="36" t="str">
        <x:v>No ejecutar cierre sin evidencia.</x:v>
      </x:c>
    </x:row>
    <x:row r="75">
      <x:c r="A75" s="27" t="str">
        <x:v>TA-SEC-001</x:v>
      </x:c>
      <x:c r="B75" s="27" t="str">
        <x:v>R-SEC-001</x:v>
      </x:c>
      <x:c r="C75" s="36" t="str">
        <x:v>Security &amp; Secrets</x:v>
      </x:c>
      <x:c r="D75" s="36" t="str">
        <x:v>Reducir riesgo: Token, contraseña o key aparece en repo/build/log</x:v>
      </x:c>
      <x:c r="E75" s="36" t="str">
        <x:v>Eliminar exposición, rotar credenciales, parchear, preservar evidencia y notificar según impacto.</x:v>
      </x:c>
      <x:c r="F75" s="36" t="str">
        <x:v>Security / Engineering</x:v>
      </x:c>
      <x:c r="G75" s="36" t="str">
        <x:v>Project Owner</x:v>
      </x:c>
      <x:c r="H75" s="36" t="str">
        <x:v>P1</x:v>
      </x:c>
      <x:c r="I75" s="36" t="str">
        <x:v>OPEN</x:v>
      </x:c>
      <x:c r="J75" s="46" t="str">
        <x:v>2026-07-01</x:v>
      </x:c>
      <x:c r="K75" s="46" t="str">
        <x:v>2026-07-08</x:v>
      </x:c>
      <x:c r="L75" s="46" t="str"/>
      <x:c r="M75" s="36" t="str">
        <x:v>Control verificable y evidencia ligada a R-SEC-001.</x:v>
      </x:c>
      <x:c r="N75" s="36" t="str">
        <x:v>11, 23, 24, 25, 26, 27, 31, 32, 33, 34; Build records, legal registers, package manifests y registros técnicos</x:v>
      </x:c>
      <x:c r="O75" s="36" t="str">
        <x:v>No iniciada</x:v>
      </x:c>
      <x:c r="P75" s="47" t="n">
        <x:v>0</x:v>
      </x:c>
      <x:c r="Q75" s="36" t="str">
        <x:v>No ejecutar cierre sin evidencia.</x:v>
      </x:c>
    </x:row>
    <x:row r="76">
      <x:c r="A76" s="27" t="str">
        <x:v>TA-SEC-002</x:v>
      </x:c>
      <x:c r="B76" s="27" t="str">
        <x:v>R-SEC-002</x:v>
      </x:c>
      <x:c r="C76" s="36" t="str">
        <x:v>Security &amp; Secrets</x:v>
      </x:c>
      <x:c r="D76" s="36" t="str">
        <x:v>Reducir riesgo: Cuenta Steam/GitHub/email comprometida</x:v>
      </x:c>
      <x:c r="E76" s="36" t="str">
        <x:v>Eliminar exposición, rotar credenciales, parchear, preservar evidencia y notificar según impacto.</x:v>
      </x:c>
      <x:c r="F76" s="36" t="str">
        <x:v>Security / Engineering</x:v>
      </x:c>
      <x:c r="G76" s="36" t="str">
        <x:v>Project Owner</x:v>
      </x:c>
      <x:c r="H76" s="36" t="str">
        <x:v>P2</x:v>
      </x:c>
      <x:c r="I76" s="36" t="str">
        <x:v>OPEN</x:v>
      </x:c>
      <x:c r="J76" s="46" t="str">
        <x:v>2026-07-01</x:v>
      </x:c>
      <x:c r="K76" s="46" t="str">
        <x:v>2026-07-08</x:v>
      </x:c>
      <x:c r="L76" s="46" t="str"/>
      <x:c r="M76" s="36" t="str">
        <x:v>Control verificable y evidencia ligada a R-SEC-002.</x:v>
      </x:c>
      <x:c r="N76" s="36" t="str">
        <x:v>11, 23, 24, 25, 26, 27, 31, 32, 33, 34; Build records, legal registers, package manifests y registros técnicos</x:v>
      </x:c>
      <x:c r="O76" s="36" t="str">
        <x:v>No iniciada</x:v>
      </x:c>
      <x:c r="P76" s="47" t="n">
        <x:v>0</x:v>
      </x:c>
      <x:c r="Q76" s="36" t="str">
        <x:v>No ejecutar cierre sin evidencia.</x:v>
      </x:c>
    </x:row>
    <x:row r="77">
      <x:c r="A77" s="27" t="str">
        <x:v>TA-SEC-003</x:v>
      </x:c>
      <x:c r="B77" s="27" t="str">
        <x:v>R-SEC-003</x:v>
      </x:c>
      <x:c r="C77" s="36" t="str">
        <x:v>Security &amp; Secrets</x:v>
      </x:c>
      <x:c r="D77" s="36" t="str">
        <x:v>Reducir riesgo: Pérdida de segundo factor bloquea cuentas críticas</x:v>
      </x:c>
      <x:c r="E77" s="36" t="str">
        <x:v>Eliminar exposición, rotar credenciales, parchear, preservar evidencia y notificar según impacto.</x:v>
      </x:c>
      <x:c r="F77" s="36" t="str">
        <x:v>Security / Engineering</x:v>
      </x:c>
      <x:c r="G77" s="36" t="str">
        <x:v>Project Owner</x:v>
      </x:c>
      <x:c r="H77" s="36" t="str">
        <x:v>P1</x:v>
      </x:c>
      <x:c r="I77" s="36" t="str">
        <x:v>OPEN</x:v>
      </x:c>
      <x:c r="J77" s="46" t="str">
        <x:v>2026-07-01</x:v>
      </x:c>
      <x:c r="K77" s="46" t="str">
        <x:v>2026-07-08</x:v>
      </x:c>
      <x:c r="L77" s="46" t="str"/>
      <x:c r="M77" s="36" t="str">
        <x:v>Control verificable y evidencia ligada a R-SEC-003.</x:v>
      </x:c>
      <x:c r="N77" s="36" t="str">
        <x:v>11, 23, 24, 25, 26, 27, 31, 32, 33, 34; Build records, legal registers, package manifests y registros técnicos</x:v>
      </x:c>
      <x:c r="O77" s="36" t="str">
        <x:v>No iniciada</x:v>
      </x:c>
      <x:c r="P77" s="47" t="n">
        <x:v>0</x:v>
      </x:c>
      <x:c r="Q77" s="36" t="str">
        <x:v>No ejecutar cierre sin evidencia.</x:v>
      </x:c>
    </x:row>
    <x:row r="78">
      <x:c r="A78" s="27" t="str">
        <x:v>TA-SEC-004</x:v>
      </x:c>
      <x:c r="B78" s="27" t="str">
        <x:v>R-SEC-004</x:v>
      </x:c>
      <x:c r="C78" s="36" t="str">
        <x:v>Security &amp; Secrets</x:v>
      </x:c>
      <x:c r="D78" s="36" t="str">
        <x:v>Reducir riesgo: Estación de desarrollo comprometida</x:v>
      </x:c>
      <x:c r="E78" s="36" t="str">
        <x:v>Eliminar exposición, rotar credenciales, parchear, preservar evidencia y notificar según impacto.</x:v>
      </x:c>
      <x:c r="F78" s="36" t="str">
        <x:v>Security / Engineering</x:v>
      </x:c>
      <x:c r="G78" s="36" t="str">
        <x:v>Project Owner</x:v>
      </x:c>
      <x:c r="H78" s="36" t="str">
        <x:v>P2</x:v>
      </x:c>
      <x:c r="I78" s="36" t="str">
        <x:v>OPEN</x:v>
      </x:c>
      <x:c r="J78" s="46" t="str">
        <x:v>2026-07-01</x:v>
      </x:c>
      <x:c r="K78" s="46" t="str">
        <x:v>2026-07-08</x:v>
      </x:c>
      <x:c r="L78" s="46" t="str"/>
      <x:c r="M78" s="36" t="str">
        <x:v>Control verificable y evidencia ligada a R-SEC-004.</x:v>
      </x:c>
      <x:c r="N78" s="36" t="str">
        <x:v>11, 23, 24, 25, 26, 27, 31, 32, 33, 34; Build records, legal registers, package manifests y registros técnicos</x:v>
      </x:c>
      <x:c r="O78" s="36" t="str">
        <x:v>No iniciada</x:v>
      </x:c>
      <x:c r="P78" s="47" t="n">
        <x:v>0</x:v>
      </x:c>
      <x:c r="Q78" s="36" t="str">
        <x:v>No ejecutar cierre sin evidencia.</x:v>
      </x:c>
    </x:row>
    <x:row r="79">
      <x:c r="A79" s="27" t="str">
        <x:v>TA-SEC-005</x:v>
      </x:c>
      <x:c r="B79" s="27" t="str">
        <x:v>R-SEC-005</x:v>
      </x:c>
      <x:c r="C79" s="36" t="str">
        <x:v>Security &amp; Secrets</x:v>
      </x:c>
      <x:c r="D79" s="36" t="str">
        <x:v>Reducir riesgo: Paquete contiene vulnerabilidad explotable</x:v>
      </x:c>
      <x:c r="E79" s="36" t="str">
        <x:v>Eliminar exposición, rotar credenciales, parchear, preservar evidencia y notificar según impacto.</x:v>
      </x:c>
      <x:c r="F79" s="36" t="str">
        <x:v>Security / Engineering</x:v>
      </x:c>
      <x:c r="G79" s="36" t="str">
        <x:v>Project Owner</x:v>
      </x:c>
      <x:c r="H79" s="36" t="str">
        <x:v>P1</x:v>
      </x:c>
      <x:c r="I79" s="36" t="str">
        <x:v>OPEN</x:v>
      </x:c>
      <x:c r="J79" s="46" t="str">
        <x:v>2026-07-01</x:v>
      </x:c>
      <x:c r="K79" s="46" t="str">
        <x:v>2026-07-31</x:v>
      </x:c>
      <x:c r="L79" s="46" t="str"/>
      <x:c r="M79" s="36" t="str">
        <x:v>Control verificable y evidencia ligada a R-SEC-005.</x:v>
      </x:c>
      <x:c r="N79" s="36" t="str">
        <x:v>11, 23, 24, 25, 26, 27, 31, 32, 33, 34; Build records, legal registers, package manifests y registros técnicos</x:v>
      </x:c>
      <x:c r="O79" s="36" t="str">
        <x:v>No iniciada</x:v>
      </x:c>
      <x:c r="P79" s="47" t="n">
        <x:v>0</x:v>
      </x:c>
      <x:c r="Q79" s="36" t="str">
        <x:v>No ejecutar cierre sin evidencia.</x:v>
      </x:c>
    </x:row>
    <x:row r="80">
      <x:c r="A80" s="27" t="str">
        <x:v>TA-SEC-006</x:v>
      </x:c>
      <x:c r="B80" s="27" t="str">
        <x:v>R-SEC-006</x:v>
      </x:c>
      <x:c r="C80" s="36" t="str">
        <x:v>Security &amp; Secrets</x:v>
      </x:c>
      <x:c r="D80" s="36" t="str">
        <x:v>Reducir riesgo: Build o artefacto es modificado fuera del proceso</x:v>
      </x:c>
      <x:c r="E80" s="36" t="str">
        <x:v>Eliminar exposición, rotar credenciales, parchear, preservar evidencia y notificar según impacto.</x:v>
      </x:c>
      <x:c r="F80" s="36" t="str">
        <x:v>Security / Engineering</x:v>
      </x:c>
      <x:c r="G80" s="36" t="str">
        <x:v>Project Owner</x:v>
      </x:c>
      <x:c r="H80" s="36" t="str">
        <x:v>P2</x:v>
      </x:c>
      <x:c r="I80" s="36" t="str">
        <x:v>OPEN</x:v>
      </x:c>
      <x:c r="J80" s="46" t="str">
        <x:v>2026-07-01</x:v>
      </x:c>
      <x:c r="K80" s="46" t="str">
        <x:v>2026-07-08</x:v>
      </x:c>
      <x:c r="L80" s="46" t="str"/>
      <x:c r="M80" s="36" t="str">
        <x:v>Control verificable y evidencia ligada a R-SEC-006.</x:v>
      </x:c>
      <x:c r="N80" s="36" t="str">
        <x:v>11, 23, 24, 25, 26, 27, 31, 32, 33, 34; Build records, legal registers, package manifests y registros técnicos</x:v>
      </x:c>
      <x:c r="O80" s="36" t="str">
        <x:v>No iniciada</x:v>
      </x:c>
      <x:c r="P80" s="47" t="n">
        <x:v>0</x:v>
      </x:c>
      <x:c r="Q80" s="36" t="str">
        <x:v>No ejecutar cierre sin evidencia.</x:v>
      </x:c>
    </x:row>
    <x:row r="81">
      <x:c r="A81" s="27" t="str">
        <x:v>TA-SEC-007</x:v>
      </x:c>
      <x:c r="B81" s="27" t="str">
        <x:v>R-SEC-007</x:v>
      </x:c>
      <x:c r="C81" s="36" t="str">
        <x:v>Security &amp; Secrets</x:v>
      </x:c>
      <x:c r="D81" s="36" t="str">
        <x:v>Reducir riesgo: Colaborador conserva acceso tras finalizar</x:v>
      </x:c>
      <x:c r="E81" s="36" t="str">
        <x:v>Eliminar exposición, rotar credenciales, parchear, preservar evidencia y notificar según impacto.</x:v>
      </x:c>
      <x:c r="F81" s="36" t="str">
        <x:v>Security / Engineering</x:v>
      </x:c>
      <x:c r="G81" s="36" t="str">
        <x:v>Project Owner</x:v>
      </x:c>
      <x:c r="H81" s="36" t="str">
        <x:v>P2</x:v>
      </x:c>
      <x:c r="I81" s="36" t="str">
        <x:v>OPEN</x:v>
      </x:c>
      <x:c r="J81" s="46" t="str">
        <x:v>2026-07-01</x:v>
      </x:c>
      <x:c r="K81" s="46" t="str">
        <x:v>2026-07-08</x:v>
      </x:c>
      <x:c r="L81" s="46" t="str"/>
      <x:c r="M81" s="36" t="str">
        <x:v>Control verificable y evidencia ligada a R-SEC-007.</x:v>
      </x:c>
      <x:c r="N81" s="36" t="str">
        <x:v>11, 23, 24, 25, 26, 27, 31, 32, 33, 34; Build records, legal registers, package manifests y registros técnicos</x:v>
      </x:c>
      <x:c r="O81" s="36" t="str">
        <x:v>No iniciada</x:v>
      </x:c>
      <x:c r="P81" s="47" t="n">
        <x:v>0</x:v>
      </x:c>
      <x:c r="Q81" s="36" t="str">
        <x:v>No ejecutar cierre sin evidencia.</x:v>
      </x:c>
    </x:row>
    <x:row r="82">
      <x:c r="A82" s="27" t="str">
        <x:v>TA-SEC-008</x:v>
      </x:c>
      <x:c r="B82" s="27" t="str">
        <x:v>R-SEC-008</x:v>
      </x:c>
      <x:c r="C82" s="36" t="str">
        <x:v>Security &amp; Secrets</x:v>
      </x:c>
      <x:c r="D82" s="36" t="str">
        <x:v>Reducir riesgo: VDF/scripts incluyen credenciales o rutas sensibles</x:v>
      </x:c>
      <x:c r="E82" s="36" t="str">
        <x:v>Eliminar exposición, rotar credenciales, parchear, preservar evidencia y notificar según impacto.</x:v>
      </x:c>
      <x:c r="F82" s="36" t="str">
        <x:v>Security / Engineering</x:v>
      </x:c>
      <x:c r="G82" s="36" t="str">
        <x:v>Project Owner</x:v>
      </x:c>
      <x:c r="H82" s="36" t="str">
        <x:v>P2</x:v>
      </x:c>
      <x:c r="I82" s="36" t="str">
        <x:v>OPEN</x:v>
      </x:c>
      <x:c r="J82" s="46" t="str">
        <x:v>2026-07-01</x:v>
      </x:c>
      <x:c r="K82" s="46" t="str">
        <x:v>2026-07-08</x:v>
      </x:c>
      <x:c r="L82" s="46" t="str"/>
      <x:c r="M82" s="36" t="str">
        <x:v>Control verificable y evidencia ligada a R-SEC-008.</x:v>
      </x:c>
      <x:c r="N82" s="36" t="str">
        <x:v>11, 23, 24, 25, 26, 27, 31, 32, 33, 34; Build records, legal registers, package manifests y registros técnicos</x:v>
      </x:c>
      <x:c r="O82" s="36" t="str">
        <x:v>No iniciada</x:v>
      </x:c>
      <x:c r="P82" s="47" t="n">
        <x:v>0</x:v>
      </x:c>
      <x:c r="Q82" s="36" t="str">
        <x:v>No ejecutar cierre sin evidencia.</x:v>
      </x:c>
    </x:row>
    <x:row r="83">
      <x:c r="A83" s="27" t="str">
        <x:v>TA-SEC-009</x:v>
      </x:c>
      <x:c r="B83" s="27" t="str">
        <x:v>R-SEC-009</x:v>
      </x:c>
      <x:c r="C83" s="36" t="str">
        <x:v>Security &amp; Secrets</x:v>
      </x:c>
      <x:c r="D83" s="36" t="str">
        <x:v>Reducir riesgo: Repo privado se publica o fork expone assets</x:v>
      </x:c>
      <x:c r="E83" s="36" t="str">
        <x:v>Eliminar exposición, rotar credenciales, parchear, preservar evidencia y notificar según impacto.</x:v>
      </x:c>
      <x:c r="F83" s="36" t="str">
        <x:v>Security / Engineering</x:v>
      </x:c>
      <x:c r="G83" s="36" t="str">
        <x:v>Project Owner</x:v>
      </x:c>
      <x:c r="H83" s="36" t="str">
        <x:v>P2</x:v>
      </x:c>
      <x:c r="I83" s="36" t="str">
        <x:v>OPEN</x:v>
      </x:c>
      <x:c r="J83" s="46" t="str">
        <x:v>2026-07-01</x:v>
      </x:c>
      <x:c r="K83" s="46" t="str">
        <x:v>2026-07-08</x:v>
      </x:c>
      <x:c r="L83" s="46" t="str"/>
      <x:c r="M83" s="36" t="str">
        <x:v>Control verificable y evidencia ligada a R-SEC-009.</x:v>
      </x:c>
      <x:c r="N83" s="36" t="str">
        <x:v>11, 23, 24, 25, 26, 27, 31, 32, 33, 34; Build records, legal registers, package manifests y registros técnicos</x:v>
      </x:c>
      <x:c r="O83" s="36" t="str">
        <x:v>No iniciada</x:v>
      </x:c>
      <x:c r="P83" s="47" t="n">
        <x:v>0</x:v>
      </x:c>
      <x:c r="Q83" s="36" t="str">
        <x:v>No ejecutar cierre sin evidencia.</x:v>
      </x:c>
    </x:row>
    <x:row r="84">
      <x:c r="A84" s="27" t="str">
        <x:v>TA-SEC-010</x:v>
      </x:c>
      <x:c r="B84" s="27" t="str">
        <x:v>R-SEC-010</x:v>
      </x:c>
      <x:c r="C84" s="36" t="str">
        <x:v>Security &amp; Secrets</x:v>
      </x:c>
      <x:c r="D84" s="36" t="str">
        <x:v>Reducir riesgo: Logs contienen datos, rutas o secretos</x:v>
      </x:c>
      <x:c r="E84" s="36" t="str">
        <x:v>Eliminar exposición, rotar credenciales, parchear, preservar evidencia y notificar según impacto.</x:v>
      </x:c>
      <x:c r="F84" s="36" t="str">
        <x:v>Security / Engineering</x:v>
      </x:c>
      <x:c r="G84" s="36" t="str">
        <x:v>Project Owner</x:v>
      </x:c>
      <x:c r="H84" s="36" t="str">
        <x:v>P1</x:v>
      </x:c>
      <x:c r="I84" s="36" t="str">
        <x:v>OPEN</x:v>
      </x:c>
      <x:c r="J84" s="46" t="str">
        <x:v>2026-07-01</x:v>
      </x:c>
      <x:c r="K84" s="46" t="str">
        <x:v>2026-07-08</x:v>
      </x:c>
      <x:c r="L84" s="46" t="str"/>
      <x:c r="M84" s="36" t="str">
        <x:v>Control verificable y evidencia ligada a R-SEC-010.</x:v>
      </x:c>
      <x:c r="N84" s="36" t="str">
        <x:v>11, 23, 24, 25, 26, 27, 31, 32, 33, 34; Build records, legal registers, package manifests y registros técnicos</x:v>
      </x:c>
      <x:c r="O84" s="36" t="str">
        <x:v>No iniciada</x:v>
      </x:c>
      <x:c r="P84" s="47" t="n">
        <x:v>0</x:v>
      </x:c>
      <x:c r="Q84" s="36" t="str">
        <x:v>No ejecutar cierre sin evidencia.</x:v>
      </x:c>
    </x:row>
    <x:row r="85">
      <x:c r="A85" s="27" t="str">
        <x:v>TA-SEC-011</x:v>
      </x:c>
      <x:c r="B85" s="27" t="str">
        <x:v>R-SEC-011</x:v>
      </x:c>
      <x:c r="C85" s="36" t="str">
        <x:v>Security &amp; Secrets</x:v>
      </x:c>
      <x:c r="D85" s="36" t="str">
        <x:v>Reducir riesgo: Se limpia sistema antes de preservar evidencia</x:v>
      </x:c>
      <x:c r="E85" s="36" t="str">
        <x:v>Eliminar exposición, rotar credenciales, parchear, preservar evidencia y notificar según impacto.</x:v>
      </x:c>
      <x:c r="F85" s="36" t="str">
        <x:v>Security / Engineering</x:v>
      </x:c>
      <x:c r="G85" s="36" t="str">
        <x:v>Project Owner</x:v>
      </x:c>
      <x:c r="H85" s="36" t="str">
        <x:v>P1</x:v>
      </x:c>
      <x:c r="I85" s="36" t="str">
        <x:v>OPEN</x:v>
      </x:c>
      <x:c r="J85" s="46" t="str">
        <x:v>2026-07-01</x:v>
      </x:c>
      <x:c r="K85" s="46" t="str">
        <x:v>2026-07-08</x:v>
      </x:c>
      <x:c r="L85" s="46" t="str"/>
      <x:c r="M85" s="36" t="str">
        <x:v>Control verificable y evidencia ligada a R-SEC-011.</x:v>
      </x:c>
      <x:c r="N85" s="36" t="str">
        <x:v>11, 23, 24, 25, 26, 27, 31, 32, 33, 34; Build records, legal registers, package manifests y registros técnicos</x:v>
      </x:c>
      <x:c r="O85" s="36" t="str">
        <x:v>No iniciada</x:v>
      </x:c>
      <x:c r="P85" s="47" t="n">
        <x:v>0</x:v>
      </x:c>
      <x:c r="Q85" s="36" t="str">
        <x:v>No ejecutar cierre sin evidencia.</x:v>
      </x:c>
    </x:row>
    <x:row r="86">
      <x:c r="A86" s="27" t="str">
        <x:v>TA-SEC-012</x:v>
      </x:c>
      <x:c r="B86" s="27" t="str">
        <x:v>R-SEC-012</x:v>
      </x:c>
      <x:c r="C86" s="36" t="str">
        <x:v>Security &amp; Secrets</x:v>
      </x:c>
      <x:c r="D86" s="36" t="str">
        <x:v>Reducir riesgo: Vulnerabilidad crítica no se corrige a tiempo</x:v>
      </x:c>
      <x:c r="E86" s="36" t="str">
        <x:v>Eliminar exposición, rotar credenciales, parchear, preservar evidencia y notificar según impacto.</x:v>
      </x:c>
      <x:c r="F86" s="36" t="str">
        <x:v>Security / Engineering</x:v>
      </x:c>
      <x:c r="G86" s="36" t="str">
        <x:v>Project Owner</x:v>
      </x:c>
      <x:c r="H86" s="36" t="str">
        <x:v>P2</x:v>
      </x:c>
      <x:c r="I86" s="36" t="str">
        <x:v>OPEN</x:v>
      </x:c>
      <x:c r="J86" s="46" t="str">
        <x:v>2026-07-01</x:v>
      </x:c>
      <x:c r="K86" s="46" t="str">
        <x:v>2026-07-08</x:v>
      </x:c>
      <x:c r="L86" s="46" t="str"/>
      <x:c r="M86" s="36" t="str">
        <x:v>Control verificable y evidencia ligada a R-SEC-012.</x:v>
      </x:c>
      <x:c r="N86" s="36" t="str">
        <x:v>11, 23, 24, 25, 26, 27, 31, 32, 33, 34; Build records, legal registers, package manifests y registros técnicos</x:v>
      </x:c>
      <x:c r="O86" s="36" t="str">
        <x:v>No iniciada</x:v>
      </x:c>
      <x:c r="P86" s="47" t="n">
        <x:v>0</x:v>
      </x:c>
      <x:c r="Q86" s="36" t="str">
        <x:v>No ejecutar cierre sin evidencia.</x:v>
      </x:c>
    </x:row>
    <x:row r="87">
      <x:c r="A87" s="27" t="str">
        <x:v>TA-PRI-001</x:v>
      </x:c>
      <x:c r="B87" s="27" t="str">
        <x:v>R-PRI-001</x:v>
      </x:c>
      <x:c r="C87" s="36" t="str">
        <x:v>Privacy &amp; Telemetry</x:v>
      </x:c>
      <x:c r="D87" s="36" t="str">
        <x:v>Reducir riesgo: Se recopila dato sin propósito o consentimiento</x:v>
      </x:c>
      <x:c r="E87" s="36" t="str">
        <x:v>No recopilar hasta justificar; reducir campos, retención y terceros.</x:v>
      </x:c>
      <x:c r="F87" s="36" t="str">
        <x:v>Privacy / Engineering</x:v>
      </x:c>
      <x:c r="G87" s="36" t="str">
        <x:v>Legal / Production</x:v>
      </x:c>
      <x:c r="H87" s="36" t="str">
        <x:v>P2</x:v>
      </x:c>
      <x:c r="I87" s="36" t="str">
        <x:v>OPEN</x:v>
      </x:c>
      <x:c r="J87" s="46" t="str">
        <x:v>2026-07-01</x:v>
      </x:c>
      <x:c r="K87" s="46" t="str">
        <x:v>2026-07-08</x:v>
      </x:c>
      <x:c r="L87" s="46" t="str"/>
      <x:c r="M87" s="36" t="str">
        <x:v>Control verificable y evidencia ligada a R-PRI-001.</x:v>
      </x:c>
      <x:c r="N87" s="36" t="str">
        <x:v>23, 24, 25, 26, 27, 28, 31; Requisitos distribuidos en TDD, Steam, legal, QA y marketing</x:v>
      </x:c>
      <x:c r="O87" s="36" t="str">
        <x:v>No iniciada</x:v>
      </x:c>
      <x:c r="P87" s="47" t="n">
        <x:v>0</x:v>
      </x:c>
      <x:c r="Q87" s="36" t="str">
        <x:v>No ejecutar cierre sin evidencia.</x:v>
      </x:c>
    </x:row>
    <x:row r="88">
      <x:c r="A88" s="27" t="str">
        <x:v>TA-PRI-002</x:v>
      </x:c>
      <x:c r="B88" s="27" t="str">
        <x:v>R-PRI-002</x:v>
      </x:c>
      <x:c r="C88" s="36" t="str">
        <x:v>Privacy &amp; Telemetry</x:v>
      </x:c>
      <x:c r="D88" s="36" t="str">
        <x:v>Reducir riesgo: SDK envía datos no inventariados</x:v>
      </x:c>
      <x:c r="E88" s="36" t="str">
        <x:v>No recopilar hasta justificar; reducir campos, retención y terceros.</x:v>
      </x:c>
      <x:c r="F88" s="36" t="str">
        <x:v>Privacy / Engineering</x:v>
      </x:c>
      <x:c r="G88" s="36" t="str">
        <x:v>Legal / Production</x:v>
      </x:c>
      <x:c r="H88" s="36" t="str">
        <x:v>P2</x:v>
      </x:c>
      <x:c r="I88" s="36" t="str">
        <x:v>OPEN</x:v>
      </x:c>
      <x:c r="J88" s="46" t="str">
        <x:v>2026-07-01</x:v>
      </x:c>
      <x:c r="K88" s="46" t="str">
        <x:v>2026-07-08</x:v>
      </x:c>
      <x:c r="L88" s="46" t="str"/>
      <x:c r="M88" s="36" t="str">
        <x:v>Control verificable y evidencia ligada a R-PRI-002.</x:v>
      </x:c>
      <x:c r="N88" s="36" t="str">
        <x:v>23, 24, 25, 26, 27, 28, 31; Requisitos distribuidos en TDD, Steam, legal, QA y marketing</x:v>
      </x:c>
      <x:c r="O88" s="36" t="str">
        <x:v>No iniciada</x:v>
      </x:c>
      <x:c r="P88" s="47" t="n">
        <x:v>0</x:v>
      </x:c>
      <x:c r="Q88" s="36" t="str">
        <x:v>No ejecutar cierre sin evidencia.</x:v>
      </x:c>
    </x:row>
    <x:row r="89">
      <x:c r="A89" s="27" t="str">
        <x:v>TA-PRI-003</x:v>
      </x:c>
      <x:c r="B89" s="27" t="str">
        <x:v>R-PRI-003</x:v>
      </x:c>
      <x:c r="C89" s="36" t="str">
        <x:v>Privacy &amp; Telemetry</x:v>
      </x:c>
      <x:c r="D89" s="36" t="str">
        <x:v>Reducir riesgo: Datos se conservan más de lo aprobado</x:v>
      </x:c>
      <x:c r="E89" s="36" t="str">
        <x:v>No recopilar hasta justificar; reducir campos, retención y terceros.</x:v>
      </x:c>
      <x:c r="F89" s="36" t="str">
        <x:v>Privacy / Engineering</x:v>
      </x:c>
      <x:c r="G89" s="36" t="str">
        <x:v>Legal / Production</x:v>
      </x:c>
      <x:c r="H89" s="36" t="str">
        <x:v>P2</x:v>
      </x:c>
      <x:c r="I89" s="36" t="str">
        <x:v>OPEN</x:v>
      </x:c>
      <x:c r="J89" s="46" t="str">
        <x:v>2026-07-01</x:v>
      </x:c>
      <x:c r="K89" s="46" t="str">
        <x:v>2026-07-31</x:v>
      </x:c>
      <x:c r="L89" s="46" t="str"/>
      <x:c r="M89" s="36" t="str">
        <x:v>Control verificable y evidencia ligada a R-PRI-003.</x:v>
      </x:c>
      <x:c r="N89" s="36" t="str">
        <x:v>23, 24, 25, 26, 27, 28, 31; Requisitos distribuidos en TDD, Steam, legal, QA y marketing</x:v>
      </x:c>
      <x:c r="O89" s="36" t="str">
        <x:v>No iniciada</x:v>
      </x:c>
      <x:c r="P89" s="47" t="n">
        <x:v>0</x:v>
      </x:c>
      <x:c r="Q89" s="36" t="str">
        <x:v>No ejecutar cierre sin evidencia.</x:v>
      </x:c>
    </x:row>
    <x:row r="90">
      <x:c r="A90" s="27" t="str">
        <x:v>TA-PRI-004</x:v>
      </x:c>
      <x:c r="B90" s="27" t="str">
        <x:v>R-PRI-004</x:v>
      </x:c>
      <x:c r="C90" s="36" t="str">
        <x:v>Privacy &amp; Telemetry</x:v>
      </x:c>
      <x:c r="D90" s="36" t="str">
        <x:v>Reducir riesgo: No se puede localizar/borrar/exportar dato</x:v>
      </x:c>
      <x:c r="E90" s="36" t="str">
        <x:v>No recopilar hasta justificar; reducir campos, retención y terceros.</x:v>
      </x:c>
      <x:c r="F90" s="36" t="str">
        <x:v>Privacy / Engineering</x:v>
      </x:c>
      <x:c r="G90" s="36" t="str">
        <x:v>Legal / Production</x:v>
      </x:c>
      <x:c r="H90" s="36" t="str">
        <x:v>P2</x:v>
      </x:c>
      <x:c r="I90" s="36" t="str">
        <x:v>OPEN</x:v>
      </x:c>
      <x:c r="J90" s="46" t="str">
        <x:v>2026-07-01</x:v>
      </x:c>
      <x:c r="K90" s="46" t="str">
        <x:v>2026-07-31</x:v>
      </x:c>
      <x:c r="L90" s="46" t="str"/>
      <x:c r="M90" s="36" t="str">
        <x:v>Control verificable y evidencia ligada a R-PRI-004.</x:v>
      </x:c>
      <x:c r="N90" s="36" t="str">
        <x:v>23, 24, 25, 26, 27, 28, 31; Requisitos distribuidos en TDD, Steam, legal, QA y marketing</x:v>
      </x:c>
      <x:c r="O90" s="36" t="str">
        <x:v>No iniciada</x:v>
      </x:c>
      <x:c r="P90" s="47" t="n">
        <x:v>0</x:v>
      </x:c>
      <x:c r="Q90" s="36" t="str">
        <x:v>No ejecutar cierre sin evidencia.</x:v>
      </x:c>
    </x:row>
    <x:row r="91">
      <x:c r="A91" s="27" t="str">
        <x:v>TA-PRI-005</x:v>
      </x:c>
      <x:c r="B91" s="27" t="str">
        <x:v>R-PRI-005</x:v>
      </x:c>
      <x:c r="C91" s="36" t="str">
        <x:v>Privacy &amp; Telemetry</x:v>
      </x:c>
      <x:c r="D91" s="36" t="str">
        <x:v>Reducir riesgo: Crash report contiene información sensible</x:v>
      </x:c>
      <x:c r="E91" s="36" t="str">
        <x:v>No recopilar hasta justificar; reducir campos, retención y terceros.</x:v>
      </x:c>
      <x:c r="F91" s="36" t="str">
        <x:v>Privacy / Engineering</x:v>
      </x:c>
      <x:c r="G91" s="36" t="str">
        <x:v>Legal / Production</x:v>
      </x:c>
      <x:c r="H91" s="36" t="str">
        <x:v>P1</x:v>
      </x:c>
      <x:c r="I91" s="36" t="str">
        <x:v>OPEN</x:v>
      </x:c>
      <x:c r="J91" s="46" t="str">
        <x:v>2026-07-01</x:v>
      </x:c>
      <x:c r="K91" s="46" t="str">
        <x:v>2026-07-08</x:v>
      </x:c>
      <x:c r="L91" s="46" t="str"/>
      <x:c r="M91" s="36" t="str">
        <x:v>Control verificable y evidencia ligada a R-PRI-005.</x:v>
      </x:c>
      <x:c r="N91" s="36" t="str">
        <x:v>23, 24, 25, 26, 27, 28, 31; Requisitos distribuidos en TDD, Steam, legal, QA y marketing</x:v>
      </x:c>
      <x:c r="O91" s="36" t="str">
        <x:v>No iniciada</x:v>
      </x:c>
      <x:c r="P91" s="47" t="n">
        <x:v>0</x:v>
      </x:c>
      <x:c r="Q91" s="36" t="str">
        <x:v>No ejecutar cierre sin evidencia.</x:v>
      </x:c>
    </x:row>
    <x:row r="92">
      <x:c r="A92" s="27" t="str">
        <x:v>TA-PRI-006</x:v>
      </x:c>
      <x:c r="B92" s="27" t="str">
        <x:v>R-PRI-006</x:v>
      </x:c>
      <x:c r="C92" s="36" t="str">
        <x:v>Privacy &amp; Telemetry</x:v>
      </x:c>
      <x:c r="D92" s="36" t="str">
        <x:v>Reducir riesgo: Datos de comunidad se gestionan sin aviso/opt-out</x:v>
      </x:c>
      <x:c r="E92" s="36" t="str">
        <x:v>No recopilar hasta justificar; reducir campos, retención y terceros.</x:v>
      </x:c>
      <x:c r="F92" s="36" t="str">
        <x:v>Privacy / Engineering</x:v>
      </x:c>
      <x:c r="G92" s="36" t="str">
        <x:v>Legal / Production</x:v>
      </x:c>
      <x:c r="H92" s="36" t="str">
        <x:v>P2</x:v>
      </x:c>
      <x:c r="I92" s="36" t="str">
        <x:v>OPEN</x:v>
      </x:c>
      <x:c r="J92" s="46" t="str">
        <x:v>2026-07-01</x:v>
      </x:c>
      <x:c r="K92" s="46" t="str">
        <x:v>2026-07-31</x:v>
      </x:c>
      <x:c r="L92" s="46" t="str"/>
      <x:c r="M92" s="36" t="str">
        <x:v>Control verificable y evidencia ligada a R-PRI-006.</x:v>
      </x:c>
      <x:c r="N92" s="36" t="str">
        <x:v>23, 24, 25, 26, 27, 28, 31; Requisitos distribuidos en TDD, Steam, legal, QA y marketing</x:v>
      </x:c>
      <x:c r="O92" s="36" t="str">
        <x:v>No iniciada</x:v>
      </x:c>
      <x:c r="P92" s="47" t="n">
        <x:v>0</x:v>
      </x:c>
      <x:c r="Q92" s="36" t="str">
        <x:v>No ejecutar cierre sin evidencia.</x:v>
      </x:c>
    </x:row>
    <x:row r="93">
      <x:c r="A93" s="27" t="str">
        <x:v>TA-LEG-001</x:v>
      </x:c>
      <x:c r="B93" s="27" t="str">
        <x:v>R-LEG-001</x:v>
      </x:c>
      <x:c r="C93" s="36" t="str">
        <x:v>Legal, IP &amp; Compliance</x:v>
      </x:c>
      <x:c r="D93" s="36" t="str">
        <x:v>Reducir riesgo: Título o VRM Games entra en conflicto con tercero</x:v>
      </x:c>
      <x:c r="E93" s="36" t="str">
        <x:v>Obtener permiso, sustituir asset/copy, limitar claim o retirar distribución.</x:v>
      </x:c>
      <x:c r="F93" s="36" t="str">
        <x:v>Legal / Project Owner</x:v>
      </x:c>
      <x:c r="G93" s="36" t="str">
        <x:v>Production</x:v>
      </x:c>
      <x:c r="H93" s="36" t="str">
        <x:v>P1</x:v>
      </x:c>
      <x:c r="I93" s="36" t="str">
        <x:v>OPEN</x:v>
      </x:c>
      <x:c r="J93" s="46" t="str">
        <x:v>2026-07-01</x:v>
      </x:c>
      <x:c r="K93" s="46" t="str">
        <x:v>2026-07-31</x:v>
      </x:c>
      <x:c r="L93" s="46" t="str"/>
      <x:c r="M93" s="36" t="str">
        <x:v>Control verificable y evidencia ligada a R-LEG-001.</x:v>
      </x:c>
      <x:c r="N93" s="36" t="str">
        <x:v>17, 18, 19, 21, 22, 23, 24, 26, 28, 29, 31; Legal/Credits/Licenses v0.3–v0.6 y provenance de assets</x:v>
      </x:c>
      <x:c r="O93" s="36" t="str">
        <x:v>No iniciada</x:v>
      </x:c>
      <x:c r="P93" s="47" t="n">
        <x:v>0</x:v>
      </x:c>
      <x:c r="Q93" s="36" t="str">
        <x:v>No ejecutar cierre sin evidencia.</x:v>
      </x:c>
    </x:row>
    <x:row r="94">
      <x:c r="A94" s="27" t="str">
        <x:v>TA-LEG-002</x:v>
      </x:c>
      <x:c r="B94" s="27" t="str">
        <x:v>R-LEG-002</x:v>
      </x:c>
      <x:c r="C94" s="36" t="str">
        <x:v>Legal, IP &amp; Compliance</x:v>
      </x:c>
      <x:c r="D94" s="36" t="str">
        <x:v>Reducir riesgo: Asset carece de licencia/provenance suficiente</x:v>
      </x:c>
      <x:c r="E94" s="36" t="str">
        <x:v>Obtener permiso, sustituir asset/copy, limitar claim o retirar distribución.</x:v>
      </x:c>
      <x:c r="F94" s="36" t="str">
        <x:v>Legal / Project Owner</x:v>
      </x:c>
      <x:c r="G94" s="36" t="str">
        <x:v>Production</x:v>
      </x:c>
      <x:c r="H94" s="36" t="str">
        <x:v>P1</x:v>
      </x:c>
      <x:c r="I94" s="36" t="str">
        <x:v>OPEN</x:v>
      </x:c>
      <x:c r="J94" s="46" t="str">
        <x:v>2026-07-01</x:v>
      </x:c>
      <x:c r="K94" s="46" t="str">
        <x:v>2026-07-08</x:v>
      </x:c>
      <x:c r="L94" s="46" t="str"/>
      <x:c r="M94" s="36" t="str">
        <x:v>Control verificable y evidencia ligada a R-LEG-002.</x:v>
      </x:c>
      <x:c r="N94" s="36" t="str">
        <x:v>17, 18, 19, 21, 22, 23, 24, 26, 28, 29, 31; Legal/Credits/Licenses v0.3–v0.6 y provenance de assets</x:v>
      </x:c>
      <x:c r="O94" s="36" t="str">
        <x:v>No iniciada</x:v>
      </x:c>
      <x:c r="P94" s="47" t="n">
        <x:v>0</x:v>
      </x:c>
      <x:c r="Q94" s="36" t="str">
        <x:v>No ejecutar cierre sin evidencia.</x:v>
      </x:c>
    </x:row>
    <x:row r="95">
      <x:c r="A95" s="27" t="str">
        <x:v>TA-LEG-003</x:v>
      </x:c>
      <x:c r="B95" s="27" t="str">
        <x:v>R-LEG-003</x:v>
      </x:c>
      <x:c r="C95" s="36" t="str">
        <x:v>Legal, IP &amp; Compliance</x:v>
      </x:c>
      <x:c r="D95" s="36" t="str">
        <x:v>Reducir riesgo: Audio final no permite distribución comercial</x:v>
      </x:c>
      <x:c r="E95" s="36" t="str">
        <x:v>Obtener permiso, sustituir asset/copy, limitar claim o retirar distribución.</x:v>
      </x:c>
      <x:c r="F95" s="36" t="str">
        <x:v>Legal / Project Owner</x:v>
      </x:c>
      <x:c r="G95" s="36" t="str">
        <x:v>Production</x:v>
      </x:c>
      <x:c r="H95" s="36" t="str">
        <x:v>P1</x:v>
      </x:c>
      <x:c r="I95" s="36" t="str">
        <x:v>OPEN</x:v>
      </x:c>
      <x:c r="J95" s="46" t="str">
        <x:v>2026-07-01</x:v>
      </x:c>
      <x:c r="K95" s="46" t="str">
        <x:v>2026-07-08</x:v>
      </x:c>
      <x:c r="L95" s="46" t="str"/>
      <x:c r="M95" s="36" t="str">
        <x:v>Control verificable y evidencia ligada a R-LEG-003.</x:v>
      </x:c>
      <x:c r="N95" s="36" t="str">
        <x:v>17, 18, 19, 21, 22, 23, 24, 26, 28, 29, 31; Legal/Credits/Licenses v0.3–v0.6 y provenance de assets</x:v>
      </x:c>
      <x:c r="O95" s="36" t="str">
        <x:v>No iniciada</x:v>
      </x:c>
      <x:c r="P95" s="47" t="n">
        <x:v>0</x:v>
      </x:c>
      <x:c r="Q95" s="36" t="str">
        <x:v>No ejecutar cierre sin evidencia.</x:v>
      </x:c>
    </x:row>
    <x:row r="96">
      <x:c r="A96" s="27" t="str">
        <x:v>TA-LEG-004</x:v>
      </x:c>
      <x:c r="B96" s="27" t="str">
        <x:v>R-LEG-004</x:v>
      </x:c>
      <x:c r="C96" s="36" t="str">
        <x:v>Legal, IP &amp; Compliance</x:v>
      </x:c>
      <x:c r="D96" s="36" t="str">
        <x:v>Reducir riesgo: Fuente UI no autoriza uso/redistribución</x:v>
      </x:c>
      <x:c r="E96" s="36" t="str">
        <x:v>Obtener permiso, sustituir asset/copy, limitar claim o retirar distribución.</x:v>
      </x:c>
      <x:c r="F96" s="36" t="str">
        <x:v>Legal / Project Owner</x:v>
      </x:c>
      <x:c r="G96" s="36" t="str">
        <x:v>Production</x:v>
      </x:c>
      <x:c r="H96" s="36" t="str">
        <x:v>P1</x:v>
      </x:c>
      <x:c r="I96" s="36" t="str">
        <x:v>OPEN</x:v>
      </x:c>
      <x:c r="J96" s="46" t="str">
        <x:v>2026-07-01</x:v>
      </x:c>
      <x:c r="K96" s="46" t="str">
        <x:v>2026-07-08</x:v>
      </x:c>
      <x:c r="L96" s="46" t="str"/>
      <x:c r="M96" s="36" t="str">
        <x:v>Control verificable y evidencia ligada a R-LEG-004.</x:v>
      </x:c>
      <x:c r="N96" s="36" t="str">
        <x:v>17, 18, 19, 21, 22, 23, 24, 26, 28, 29, 31; Legal/Credits/Licenses v0.3–v0.6 y provenance de assets</x:v>
      </x:c>
      <x:c r="O96" s="36" t="str">
        <x:v>No iniciada</x:v>
      </x:c>
      <x:c r="P96" s="47" t="n">
        <x:v>0</x:v>
      </x:c>
      <x:c r="Q96" s="36" t="str">
        <x:v>No ejecutar cierre sin evidencia.</x:v>
      </x:c>
    </x:row>
    <x:row r="97">
      <x:c r="A97" s="27" t="str">
        <x:v>TA-LEG-005</x:v>
      </x:c>
      <x:c r="B97" s="27" t="str">
        <x:v>R-LEG-005</x:v>
      </x:c>
      <x:c r="C97" s="36" t="str">
        <x:v>Legal, IP &amp; Compliance</x:v>
      </x:c>
      <x:c r="D97" s="36" t="str">
        <x:v>Reducir riesgo: Notices o credits están incompletos</x:v>
      </x:c>
      <x:c r="E97" s="36" t="str">
        <x:v>Obtener permiso, sustituir asset/copy, limitar claim o retirar distribución.</x:v>
      </x:c>
      <x:c r="F97" s="36" t="str">
        <x:v>Legal / Project Owner</x:v>
      </x:c>
      <x:c r="G97" s="36" t="str">
        <x:v>Production</x:v>
      </x:c>
      <x:c r="H97" s="36" t="str">
        <x:v>P1</x:v>
      </x:c>
      <x:c r="I97" s="36" t="str">
        <x:v>OPEN</x:v>
      </x:c>
      <x:c r="J97" s="46" t="str">
        <x:v>2026-07-01</x:v>
      </x:c>
      <x:c r="K97" s="46" t="str">
        <x:v>2026-07-31</x:v>
      </x:c>
      <x:c r="L97" s="46" t="str"/>
      <x:c r="M97" s="36" t="str">
        <x:v>Control verificable y evidencia ligada a R-LEG-005.</x:v>
      </x:c>
      <x:c r="N97" s="36" t="str">
        <x:v>17, 18, 19, 21, 22, 23, 24, 26, 28, 29, 31; Legal/Credits/Licenses v0.3–v0.6 y provenance de assets</x:v>
      </x:c>
      <x:c r="O97" s="36" t="str">
        <x:v>No iniciada</x:v>
      </x:c>
      <x:c r="P97" s="47" t="n">
        <x:v>0</x:v>
      </x:c>
      <x:c r="Q97" s="36" t="str">
        <x:v>No ejecutar cierre sin evidencia.</x:v>
      </x:c>
    </x:row>
    <x:row r="98">
      <x:c r="A98" s="27" t="str">
        <x:v>TA-LEG-006</x:v>
      </x:c>
      <x:c r="B98" s="27" t="str">
        <x:v>R-LEG-006</x:v>
      </x:c>
      <x:c r="C98" s="36" t="str">
        <x:v>Legal, IP &amp; Compliance</x:v>
      </x:c>
      <x:c r="D98" s="36" t="str">
        <x:v>Reducir riesgo: Store page realiza claim no demostrable</x:v>
      </x:c>
      <x:c r="E98" s="36" t="str">
        <x:v>Obtener permiso, sustituir asset/copy, limitar claim o retirar distribución.</x:v>
      </x:c>
      <x:c r="F98" s="36" t="str">
        <x:v>Legal / Project Owner</x:v>
      </x:c>
      <x:c r="G98" s="36" t="str">
        <x:v>Production</x:v>
      </x:c>
      <x:c r="H98" s="36" t="str">
        <x:v>P1</x:v>
      </x:c>
      <x:c r="I98" s="36" t="str">
        <x:v>OPEN</x:v>
      </x:c>
      <x:c r="J98" s="46" t="str">
        <x:v>2026-07-01</x:v>
      </x:c>
      <x:c r="K98" s="46" t="str">
        <x:v>2026-07-08</x:v>
      </x:c>
      <x:c r="L98" s="46" t="str"/>
      <x:c r="M98" s="36" t="str">
        <x:v>Control verificable y evidencia ligada a R-LEG-006.</x:v>
      </x:c>
      <x:c r="N98" s="36" t="str">
        <x:v>17, 18, 19, 21, 22, 23, 24, 26, 28, 29, 31; Legal/Credits/Licenses v0.3–v0.6 y provenance de assets</x:v>
      </x:c>
      <x:c r="O98" s="36" t="str">
        <x:v>No iniciada</x:v>
      </x:c>
      <x:c r="P98" s="47" t="n">
        <x:v>0</x:v>
      </x:c>
      <x:c r="Q98" s="36" t="str">
        <x:v>No ejecutar cierre sin evidencia.</x:v>
      </x:c>
    </x:row>
    <x:row r="99">
      <x:c r="A99" s="27" t="str">
        <x:v>TA-LEG-007</x:v>
      </x:c>
      <x:c r="B99" s="27" t="str">
        <x:v>R-LEG-007</x:v>
      </x:c>
      <x:c r="C99" s="36" t="str">
        <x:v>Legal, IP &amp; Compliance</x:v>
      </x:c>
      <x:c r="D99" s="36" t="str">
        <x:v>Reducir riesgo: Política no refleja prácticas reales</x:v>
      </x:c>
      <x:c r="E99" s="36" t="str">
        <x:v>Obtener permiso, sustituir asset/copy, limitar claim o retirar distribución.</x:v>
      </x:c>
      <x:c r="F99" s="36" t="str">
        <x:v>Legal / Project Owner</x:v>
      </x:c>
      <x:c r="G99" s="36" t="str">
        <x:v>Production</x:v>
      </x:c>
      <x:c r="H99" s="36" t="str">
        <x:v>P2</x:v>
      </x:c>
      <x:c r="I99" s="36" t="str">
        <x:v>OPEN</x:v>
      </x:c>
      <x:c r="J99" s="46" t="str">
        <x:v>2026-07-01</x:v>
      </x:c>
      <x:c r="K99" s="46" t="str">
        <x:v>2026-07-08</x:v>
      </x:c>
      <x:c r="L99" s="46" t="str"/>
      <x:c r="M99" s="36" t="str">
        <x:v>Control verificable y evidencia ligada a R-LEG-007.</x:v>
      </x:c>
      <x:c r="N99" s="36" t="str">
        <x:v>17, 18, 19, 21, 22, 23, 24, 26, 28, 29, 31; Legal/Credits/Licenses v0.3–v0.6 y provenance de assets</x:v>
      </x:c>
      <x:c r="O99" s="36" t="str">
        <x:v>No iniciada</x:v>
      </x:c>
      <x:c r="P99" s="47" t="n">
        <x:v>0</x:v>
      </x:c>
      <x:c r="Q99" s="36" t="str">
        <x:v>No ejecutar cierre sin evidencia.</x:v>
      </x:c>
    </x:row>
    <x:row r="100">
      <x:c r="A100" s="27" t="str">
        <x:v>TA-LEG-008</x:v>
      </x:c>
      <x:c r="B100" s="27" t="str">
        <x:v>R-LEG-008</x:v>
      </x:c>
      <x:c r="C100" s="36" t="str">
        <x:v>Legal, IP &amp; Compliance</x:v>
      </x:c>
      <x:c r="D100" s="36" t="str">
        <x:v>Reducir riesgo: Distribución entra en territorio/requisito no cubierto</x:v>
      </x:c>
      <x:c r="E100" s="36" t="str">
        <x:v>Obtener permiso, sustituir asset/copy, limitar claim o retirar distribución.</x:v>
      </x:c>
      <x:c r="F100" s="36" t="str">
        <x:v>Legal / Project Owner</x:v>
      </x:c>
      <x:c r="G100" s="36" t="str">
        <x:v>Production</x:v>
      </x:c>
      <x:c r="H100" s="36" t="str">
        <x:v>P2</x:v>
      </x:c>
      <x:c r="I100" s="36" t="str">
        <x:v>OPEN</x:v>
      </x:c>
      <x:c r="J100" s="46" t="str">
        <x:v>2026-07-01</x:v>
      </x:c>
      <x:c r="K100" s="46" t="str">
        <x:v>2026-07-31</x:v>
      </x:c>
      <x:c r="L100" s="46" t="str"/>
      <x:c r="M100" s="36" t="str">
        <x:v>Control verificable y evidencia ligada a R-LEG-008.</x:v>
      </x:c>
      <x:c r="N100" s="36" t="str">
        <x:v>17, 18, 19, 21, 22, 23, 24, 26, 28, 29, 31; Legal/Credits/Licenses v0.3–v0.6 y provenance de assets</x:v>
      </x:c>
      <x:c r="O100" s="36" t="str">
        <x:v>No iniciada</x:v>
      </x:c>
      <x:c r="P100" s="47" t="n">
        <x:v>0</x:v>
      </x:c>
      <x:c r="Q100" s="36" t="str">
        <x:v>No ejecutar cierre sin evidencia.</x:v>
      </x:c>
    </x:row>
    <x:row r="101">
      <x:c r="A101" s="27" t="str">
        <x:v>TA-PUB-001</x:v>
      </x:c>
      <x:c r="B101" s="27" t="str">
        <x:v>R-PUB-001</x:v>
      </x:c>
      <x:c r="C101" s="36" t="str">
        <x:v>Publishing, Marketing &amp; Reputation</x:v>
      </x:c>
      <x:c r="D101" s="36" t="str">
        <x:v>Reducir riesgo: Steam Coming Soon se publica antes de gates</x:v>
      </x:c>
      <x:c r="E101" s="36" t="str">
        <x:v>Alinear mensaje con build, corregir expectativas y preparar respuesta pública.</x:v>
      </x:c>
      <x:c r="F101" s="36" t="str">
        <x:v>Publishing / Marketing</x:v>
      </x:c>
      <x:c r="G101" s="36" t="str">
        <x:v>Project Owner</x:v>
      </x:c>
      <x:c r="H101" s="36" t="str">
        <x:v>P1</x:v>
      </x:c>
      <x:c r="I101" s="36" t="str">
        <x:v>OPEN</x:v>
      </x:c>
      <x:c r="J101" s="46" t="str">
        <x:v>2026-07-01</x:v>
      </x:c>
      <x:c r="K101" s="46" t="str">
        <x:v>2026-07-08</x:v>
      </x:c>
      <x:c r="L101" s="46" t="str"/>
      <x:c r="M101" s="36" t="str">
        <x:v>Control verificable y evidencia ligada a R-PUB-001.</x:v>
      </x:c>
      <x:c r="N101" s="36" t="str">
        <x:v>23, 24, 25, 27, 28, 29, 30, 31; Steam/Marketing Plans v0.3–v0.6 y requisitos de publicación</x:v>
      </x:c>
      <x:c r="O101" s="36" t="str">
        <x:v>No iniciada</x:v>
      </x:c>
      <x:c r="P101" s="47" t="n">
        <x:v>0</x:v>
      </x:c>
      <x:c r="Q101" s="36" t="str">
        <x:v>No ejecutar cierre sin evidencia.</x:v>
      </x:c>
    </x:row>
    <x:row r="102">
      <x:c r="A102" s="27" t="str">
        <x:v>TA-PUB-002</x:v>
      </x:c>
      <x:c r="B102" s="27" t="str">
        <x:v>R-PUB-002</x:v>
      </x:c>
      <x:c r="C102" s="36" t="str">
        <x:v>Publishing, Marketing &amp; Reputation</x:v>
      </x:c>
      <x:c r="D102" s="36" t="str">
        <x:v>Reducir riesgo: Build enviada no corresponde a assets/copy</x:v>
      </x:c>
      <x:c r="E102" s="36" t="str">
        <x:v>Alinear mensaje con build, corregir expectativas y preparar respuesta pública.</x:v>
      </x:c>
      <x:c r="F102" s="36" t="str">
        <x:v>Publishing / Marketing</x:v>
      </x:c>
      <x:c r="G102" s="36" t="str">
        <x:v>Project Owner</x:v>
      </x:c>
      <x:c r="H102" s="36" t="str">
        <x:v>P2</x:v>
      </x:c>
      <x:c r="I102" s="36" t="str">
        <x:v>OPEN</x:v>
      </x:c>
      <x:c r="J102" s="46" t="str">
        <x:v>2026-07-01</x:v>
      </x:c>
      <x:c r="K102" s="46" t="str">
        <x:v>2026-07-08</x:v>
      </x:c>
      <x:c r="L102" s="46" t="str"/>
      <x:c r="M102" s="36" t="str">
        <x:v>Control verificable y evidencia ligada a R-PUB-002.</x:v>
      </x:c>
      <x:c r="N102" s="36" t="str">
        <x:v>23, 24, 25, 27, 28, 29, 30, 31; Steam/Marketing Plans v0.3–v0.6 y requisitos de publicación</x:v>
      </x:c>
      <x:c r="O102" s="36" t="str">
        <x:v>No iniciada</x:v>
      </x:c>
      <x:c r="P102" s="47" t="n">
        <x:v>0</x:v>
      </x:c>
      <x:c r="Q102" s="36" t="str">
        <x:v>No ejecutar cierre sin evidencia.</x:v>
      </x:c>
    </x:row>
    <x:row r="103">
      <x:c r="A103" s="27" t="str">
        <x:v>TA-PUB-003</x:v>
      </x:c>
      <x:c r="B103" s="27" t="str">
        <x:v>R-PUB-003</x:v>
      </x:c>
      <x:c r="C103" s="36" t="str">
        <x:v>Publishing, Marketing &amp; Reputation</x:v>
      </x:c>
      <x:c r="D103" s="36" t="str">
        <x:v>Reducir riesgo: Campaña promete sistemas o calidad futura</x:v>
      </x:c>
      <x:c r="E103" s="36" t="str">
        <x:v>Alinear mensaje con build, corregir expectativas y preparar respuesta pública.</x:v>
      </x:c>
      <x:c r="F103" s="36" t="str">
        <x:v>Publishing / Marketing</x:v>
      </x:c>
      <x:c r="G103" s="36" t="str">
        <x:v>Project Owner</x:v>
      </x:c>
      <x:c r="H103" s="36" t="str">
        <x:v>P0</x:v>
      </x:c>
      <x:c r="I103" s="36" t="str">
        <x:v>OPEN</x:v>
      </x:c>
      <x:c r="J103" s="46" t="str">
        <x:v>2026-07-01</x:v>
      </x:c>
      <x:c r="K103" s="46" t="str">
        <x:v>2026-07-08</x:v>
      </x:c>
      <x:c r="L103" s="46" t="str"/>
      <x:c r="M103" s="36" t="str">
        <x:v>Control verificable y evidencia ligada a R-PUB-003.</x:v>
      </x:c>
      <x:c r="N103" s="36" t="str">
        <x:v>23, 24, 25, 27, 28, 29, 30, 31; Steam/Marketing Plans v0.3–v0.6 y requisitos de publicación</x:v>
      </x:c>
      <x:c r="O103" s="36" t="str">
        <x:v>No iniciada</x:v>
      </x:c>
      <x:c r="P103" s="47" t="n">
        <x:v>0</x:v>
      </x:c>
      <x:c r="Q103" s="36" t="str">
        <x:v>No ejecutar cierre sin evidencia.</x:v>
      </x:c>
    </x:row>
    <x:row r="104">
      <x:c r="A104" s="27" t="str">
        <x:v>TA-PUB-004</x:v>
      </x:c>
      <x:c r="B104" s="27" t="str">
        <x:v>R-PUB-004</x:v>
      </x:c>
      <x:c r="C104" s="36" t="str">
        <x:v>Publishing, Marketing &amp; Reputation</x:v>
      </x:c>
      <x:c r="D104" s="36" t="str">
        <x:v>Reducir riesgo: Canales abiertos superan capacidad de moderación</x:v>
      </x:c>
      <x:c r="E104" s="36" t="str">
        <x:v>Alinear mensaje con build, corregir expectativas y preparar respuesta pública.</x:v>
      </x:c>
      <x:c r="F104" s="36" t="str">
        <x:v>Publishing / Marketing</x:v>
      </x:c>
      <x:c r="G104" s="36" t="str">
        <x:v>Project Owner</x:v>
      </x:c>
      <x:c r="H104" s="36" t="str">
        <x:v>P1</x:v>
      </x:c>
      <x:c r="I104" s="36" t="str">
        <x:v>OPEN</x:v>
      </x:c>
      <x:c r="J104" s="46" t="str">
        <x:v>2026-07-01</x:v>
      </x:c>
      <x:c r="K104" s="46" t="str">
        <x:v>2026-07-31</x:v>
      </x:c>
      <x:c r="L104" s="46" t="str"/>
      <x:c r="M104" s="36" t="str">
        <x:v>Control verificable y evidencia ligada a R-PUB-004.</x:v>
      </x:c>
      <x:c r="N104" s="36" t="str">
        <x:v>23, 24, 25, 27, 28, 29, 30, 31; Steam/Marketing Plans v0.3–v0.6 y requisitos de publicación</x:v>
      </x:c>
      <x:c r="O104" s="36" t="str">
        <x:v>No iniciada</x:v>
      </x:c>
      <x:c r="P104" s="47" t="n">
        <x:v>0</x:v>
      </x:c>
      <x:c r="Q104" s="36" t="str">
        <x:v>No ejecutar cierre sin evidencia.</x:v>
      </x:c>
    </x:row>
    <x:row r="105">
      <x:c r="A105" s="27" t="str">
        <x:v>TA-PUB-005</x:v>
      </x:c>
      <x:c r="B105" s="27" t="str">
        <x:v>R-PUB-005</x:v>
      </x:c>
      <x:c r="C105" s="36" t="str">
        <x:v>Publishing, Marketing &amp; Reputation</x:v>
      </x:c>
      <x:c r="D105" s="36" t="str">
        <x:v>Reducir riesgo: Demo o reveal inmaduro fija percepción adversa</x:v>
      </x:c>
      <x:c r="E105" s="36" t="str">
        <x:v>Alinear mensaje con build, corregir expectativas y preparar respuesta pública.</x:v>
      </x:c>
      <x:c r="F105" s="36" t="str">
        <x:v>Publishing / Marketing</x:v>
      </x:c>
      <x:c r="G105" s="36" t="str">
        <x:v>Project Owner</x:v>
      </x:c>
      <x:c r="H105" s="36" t="str">
        <x:v>P1</x:v>
      </x:c>
      <x:c r="I105" s="36" t="str">
        <x:v>OPEN</x:v>
      </x:c>
      <x:c r="J105" s="46" t="str">
        <x:v>2026-07-01</x:v>
      </x:c>
      <x:c r="K105" s="46" t="str">
        <x:v>2026-07-08</x:v>
      </x:c>
      <x:c r="L105" s="46" t="str"/>
      <x:c r="M105" s="36" t="str">
        <x:v>Control verificable y evidencia ligada a R-PUB-005.</x:v>
      </x:c>
      <x:c r="N105" s="36" t="str">
        <x:v>23, 24, 25, 27, 28, 29, 30, 31; Steam/Marketing Plans v0.3–v0.6 y requisitos de publicación</x:v>
      </x:c>
      <x:c r="O105" s="36" t="str">
        <x:v>No iniciada</x:v>
      </x:c>
      <x:c r="P105" s="47" t="n">
        <x:v>0</x:v>
      </x:c>
      <x:c r="Q105" s="36" t="str">
        <x:v>No ejecutar cierre sin evidencia.</x:v>
      </x:c>
    </x:row>
    <x:row r="106">
      <x:c r="A106" s="27" t="str">
        <x:v>TA-PUB-006</x:v>
      </x:c>
      <x:c r="B106" s="27" t="str">
        <x:v>R-PUB-006</x:v>
      </x:c>
      <x:c r="C106" s="36" t="str">
        <x:v>Publishing, Marketing &amp; Reputation</x:v>
      </x:c>
      <x:c r="D106" s="36" t="str">
        <x:v>Reducir riesgo: Tercero suplanta estudio/producto</x:v>
      </x:c>
      <x:c r="E106" s="36" t="str">
        <x:v>Alinear mensaje con build, corregir expectativas y preparar respuesta pública.</x:v>
      </x:c>
      <x:c r="F106" s="36" t="str">
        <x:v>Publishing / Marketing</x:v>
      </x:c>
      <x:c r="G106" s="36" t="str">
        <x:v>Project Owner</x:v>
      </x:c>
      <x:c r="H106" s="36" t="str">
        <x:v>P2</x:v>
      </x:c>
      <x:c r="I106" s="36" t="str">
        <x:v>OPEN</x:v>
      </x:c>
      <x:c r="J106" s="46" t="str">
        <x:v>2026-07-01</x:v>
      </x:c>
      <x:c r="K106" s="46" t="str">
        <x:v>2026-07-08</x:v>
      </x:c>
      <x:c r="L106" s="46" t="str"/>
      <x:c r="M106" s="36" t="str">
        <x:v>Control verificable y evidencia ligada a R-PUB-006.</x:v>
      </x:c>
      <x:c r="N106" s="36" t="str">
        <x:v>23, 24, 25, 27, 28, 29, 30, 31; Steam/Marketing Plans v0.3–v0.6 y requisitos de publicación</x:v>
      </x:c>
      <x:c r="O106" s="36" t="str">
        <x:v>No iniciada</x:v>
      </x:c>
      <x:c r="P106" s="47" t="n">
        <x:v>0</x:v>
      </x:c>
      <x:c r="Q106" s="36" t="str">
        <x:v>No ejecutar cierre sin evidencia.</x:v>
      </x:c>
    </x:row>
    <x:row r="107">
      <x:c r="A107" s="27" t="str">
        <x:v>TA-PUB-007</x:v>
      </x:c>
      <x:c r="B107" s="27" t="str">
        <x:v>R-PUB-007</x:v>
      </x:c>
      <x:c r="C107" s="36" t="str">
        <x:v>Publishing, Marketing &amp; Reputation</x:v>
      </x:c>
      <x:c r="D107" s="36" t="str">
        <x:v>Reducir riesgo: Material no aprobado se distribuye antes de embargo</x:v>
      </x:c>
      <x:c r="E107" s="36" t="str">
        <x:v>Alinear mensaje con build, corregir expectativas y preparar respuesta pública.</x:v>
      </x:c>
      <x:c r="F107" s="36" t="str">
        <x:v>Publishing / Marketing</x:v>
      </x:c>
      <x:c r="G107" s="36" t="str">
        <x:v>Project Owner</x:v>
      </x:c>
      <x:c r="H107" s="36" t="str">
        <x:v>P2</x:v>
      </x:c>
      <x:c r="I107" s="36" t="str">
        <x:v>OPEN</x:v>
      </x:c>
      <x:c r="J107" s="46" t="str">
        <x:v>2026-07-01</x:v>
      </x:c>
      <x:c r="K107" s="46" t="str">
        <x:v>2026-07-08</x:v>
      </x:c>
      <x:c r="L107" s="46" t="str"/>
      <x:c r="M107" s="36" t="str">
        <x:v>Control verificable y evidencia ligada a R-PUB-007.</x:v>
      </x:c>
      <x:c r="N107" s="36" t="str">
        <x:v>23, 24, 25, 27, 28, 29, 30, 31; Steam/Marketing Plans v0.3–v0.6 y requisitos de publicación</x:v>
      </x:c>
      <x:c r="O107" s="36" t="str">
        <x:v>No iniciada</x:v>
      </x:c>
      <x:c r="P107" s="47" t="n">
        <x:v>0</x:v>
      </x:c>
      <x:c r="Q107" s="36" t="str">
        <x:v>No ejecutar cierre sin evidencia.</x:v>
      </x:c>
    </x:row>
    <x:row r="108">
      <x:c r="A108" s="27" t="str">
        <x:v>TA-PUB-008</x:v>
      </x:c>
      <x:c r="B108" s="27" t="str">
        <x:v>R-PUB-008</x:v>
      </x:c>
      <x:c r="C108" s="36" t="str">
        <x:v>Publishing, Marketing &amp; Reputation</x:v>
      </x:c>
      <x:c r="D108" s="36" t="str">
        <x:v>Reducir riesgo: Descubrimiento depende de un único canal</x:v>
      </x:c>
      <x:c r="E108" s="36" t="str">
        <x:v>Alinear mensaje con build, corregir expectativas y preparar respuesta pública.</x:v>
      </x:c>
      <x:c r="F108" s="36" t="str">
        <x:v>Publishing / Marketing</x:v>
      </x:c>
      <x:c r="G108" s="36" t="str">
        <x:v>Project Owner</x:v>
      </x:c>
      <x:c r="H108" s="36" t="str">
        <x:v>P1</x:v>
      </x:c>
      <x:c r="I108" s="36" t="str">
        <x:v>OPEN</x:v>
      </x:c>
      <x:c r="J108" s="46" t="str">
        <x:v>2026-07-01</x:v>
      </x:c>
      <x:c r="K108" s="46" t="str">
        <x:v>2026-07-31</x:v>
      </x:c>
      <x:c r="L108" s="46" t="str"/>
      <x:c r="M108" s="36" t="str">
        <x:v>Control verificable y evidencia ligada a R-PUB-008.</x:v>
      </x:c>
      <x:c r="N108" s="36" t="str">
        <x:v>23, 24, 25, 27, 28, 29, 30, 31; Steam/Marketing Plans v0.3–v0.6 y requisitos de publicación</x:v>
      </x:c>
      <x:c r="O108" s="36" t="str">
        <x:v>No iniciada</x:v>
      </x:c>
      <x:c r="P108" s="47" t="n">
        <x:v>0</x:v>
      </x:c>
      <x:c r="Q108" s="36" t="str">
        <x:v>No ejecutar cierre sin evidencia.</x:v>
      </x:c>
    </x:row>
    <x:row r="109">
      <x:c r="A109" s="27" t="str">
        <x:v>TA-ACC-001</x:v>
      </x:c>
      <x:c r="B109" s="27" t="str">
        <x:v>R-ACC-001</x:v>
      </x:c>
      <x:c r="C109" s="36" t="str">
        <x:v>Accessibility &amp; Inclusion</x:v>
      </x:c>
      <x:c r="D109" s="36" t="str">
        <x:v>Reducir riesgo: Golden Path requiere interacción no accesible por teclado</x:v>
      </x:c>
      <x:c r="E109" s="36" t="str">
        <x:v>Eliminar barrera, añadir alternativa y probar Golden Path por modalidad.</x:v>
      </x:c>
      <x:c r="F109" s="36" t="str">
        <x:v>Accessibility / UX / QA</x:v>
      </x:c>
      <x:c r="G109" s="36" t="str">
        <x:v>Production</x:v>
      </x:c>
      <x:c r="H109" s="36" t="str">
        <x:v>P1</x:v>
      </x:c>
      <x:c r="I109" s="36" t="str">
        <x:v>OPEN</x:v>
      </x:c>
      <x:c r="J109" s="46" t="str">
        <x:v>2026-07-01</x:v>
      </x:c>
      <x:c r="K109" s="46" t="str">
        <x:v>2026-07-08</x:v>
      </x:c>
      <x:c r="L109" s="46" t="str"/>
      <x:c r="M109" s="36" t="str">
        <x:v>Control verificable y evidencia ligada a R-ACC-001.</x:v>
      </x:c>
      <x:c r="N109" s="36" t="str">
        <x:v>05, 07, 08, 17, 18, 19, 22, 24, 28, 29, 31; UX/UI/GDD/QA/localización/arte/audio distribuidos en v0.3–v0.6</x:v>
      </x:c>
      <x:c r="O109" s="36" t="str">
        <x:v>No iniciada</x:v>
      </x:c>
      <x:c r="P109" s="47" t="n">
        <x:v>0</x:v>
      </x:c>
      <x:c r="Q109" s="36" t="str">
        <x:v>No ejecutar cierre sin evidencia.</x:v>
      </x:c>
    </x:row>
    <x:row r="110">
      <x:c r="A110" s="27" t="str">
        <x:v>TA-ACC-002</x:v>
      </x:c>
      <x:c r="B110" s="27" t="str">
        <x:v>R-ACC-002</x:v>
      </x:c>
      <x:c r="C110" s="36" t="str">
        <x:v>Accessibility &amp; Inclusion</x:v>
      </x:c>
      <x:c r="D110" s="36" t="str">
        <x:v>Reducir riesgo: Se declara mando completo sin prueba integral</x:v>
      </x:c>
      <x:c r="E110" s="36" t="str">
        <x:v>Eliminar barrera, añadir alternativa y probar Golden Path por modalidad.</x:v>
      </x:c>
      <x:c r="F110" s="36" t="str">
        <x:v>Accessibility / UX / QA</x:v>
      </x:c>
      <x:c r="G110" s="36" t="str">
        <x:v>Production</x:v>
      </x:c>
      <x:c r="H110" s="36" t="str">
        <x:v>P1</x:v>
      </x:c>
      <x:c r="I110" s="36" t="str">
        <x:v>OPEN</x:v>
      </x:c>
      <x:c r="J110" s="46" t="str">
        <x:v>2026-07-01</x:v>
      </x:c>
      <x:c r="K110" s="46" t="str">
        <x:v>2026-07-08</x:v>
      </x:c>
      <x:c r="L110" s="46" t="str"/>
      <x:c r="M110" s="36" t="str">
        <x:v>Control verificable y evidencia ligada a R-ACC-002.</x:v>
      </x:c>
      <x:c r="N110" s="36" t="str">
        <x:v>05, 07, 08, 17, 18, 19, 22, 24, 28, 29, 31; UX/UI/GDD/QA/localización/arte/audio distribuidos en v0.3–v0.6</x:v>
      </x:c>
      <x:c r="O110" s="36" t="str">
        <x:v>No iniciada</x:v>
      </x:c>
      <x:c r="P110" s="47" t="n">
        <x:v>0</x:v>
      </x:c>
      <x:c r="Q110" s="36" t="str">
        <x:v>No ejecutar cierre sin evidencia.</x:v>
      </x:c>
    </x:row>
    <x:row r="111">
      <x:c r="A111" s="27" t="str">
        <x:v>TA-ACC-003</x:v>
      </x:c>
      <x:c r="B111" s="27" t="str">
        <x:v>R-ACC-003</x:v>
      </x:c>
      <x:c r="C111" s="36" t="str">
        <x:v>Accessibility &amp; Inclusion</x:v>
      </x:c>
      <x:c r="D111" s="36" t="str">
        <x:v>Reducir riesgo: Estado crítico depende solo del color</x:v>
      </x:c>
      <x:c r="E111" s="36" t="str">
        <x:v>Eliminar barrera, añadir alternativa y probar Golden Path por modalidad.</x:v>
      </x:c>
      <x:c r="F111" s="36" t="str">
        <x:v>Accessibility / UX / QA</x:v>
      </x:c>
      <x:c r="G111" s="36" t="str">
        <x:v>Production</x:v>
      </x:c>
      <x:c r="H111" s="36" t="str">
        <x:v>P1</x:v>
      </x:c>
      <x:c r="I111" s="36" t="str">
        <x:v>OPEN</x:v>
      </x:c>
      <x:c r="J111" s="46" t="str">
        <x:v>2026-07-01</x:v>
      </x:c>
      <x:c r="K111" s="46" t="str">
        <x:v>2026-07-08</x:v>
      </x:c>
      <x:c r="L111" s="46" t="str"/>
      <x:c r="M111" s="36" t="str">
        <x:v>Control verificable y evidencia ligada a R-ACC-003.</x:v>
      </x:c>
      <x:c r="N111" s="36" t="str">
        <x:v>05, 07, 08, 17, 18, 19, 22, 24, 28, 29, 31; UX/UI/GDD/QA/localización/arte/audio distribuidos en v0.3–v0.6</x:v>
      </x:c>
      <x:c r="O111" s="36" t="str">
        <x:v>No iniciada</x:v>
      </x:c>
      <x:c r="P111" s="47" t="n">
        <x:v>0</x:v>
      </x:c>
      <x:c r="Q111" s="36" t="str">
        <x:v>No ejecutar cierre sin evidencia.</x:v>
      </x:c>
    </x:row>
    <x:row r="112">
      <x:c r="A112" s="27" t="str">
        <x:v>TA-ACC-004</x:v>
      </x:c>
      <x:c r="B112" s="27" t="str">
        <x:v>R-ACC-004</x:v>
      </x:c>
      <x:c r="C112" s="36" t="str">
        <x:v>Accessibility &amp; Inclusion</x:v>
      </x:c>
      <x:c r="D112" s="36" t="str">
        <x:v>Reducir riesgo: UI rompe a 150% o con localización</x:v>
      </x:c>
      <x:c r="E112" s="36" t="str">
        <x:v>Eliminar barrera, añadir alternativa y probar Golden Path por modalidad.</x:v>
      </x:c>
      <x:c r="F112" s="36" t="str">
        <x:v>Accessibility / UX / QA</x:v>
      </x:c>
      <x:c r="G112" s="36" t="str">
        <x:v>Production</x:v>
      </x:c>
      <x:c r="H112" s="36" t="str">
        <x:v>P1</x:v>
      </x:c>
      <x:c r="I112" s="36" t="str">
        <x:v>OPEN</x:v>
      </x:c>
      <x:c r="J112" s="46" t="str">
        <x:v>2026-07-01</x:v>
      </x:c>
      <x:c r="K112" s="46" t="str">
        <x:v>2026-07-08</x:v>
      </x:c>
      <x:c r="L112" s="46" t="str"/>
      <x:c r="M112" s="36" t="str">
        <x:v>Control verificable y evidencia ligada a R-ACC-004.</x:v>
      </x:c>
      <x:c r="N112" s="36" t="str">
        <x:v>05, 07, 08, 17, 18, 19, 22, 24, 28, 29, 31; UX/UI/GDD/QA/localización/arte/audio distribuidos en v0.3–v0.6</x:v>
      </x:c>
      <x:c r="O112" s="36" t="str">
        <x:v>No iniciada</x:v>
      </x:c>
      <x:c r="P112" s="47" t="n">
        <x:v>0</x:v>
      </x:c>
      <x:c r="Q112" s="36" t="str">
        <x:v>No ejecutar cierre sin evidencia.</x:v>
      </x:c>
    </x:row>
    <x:row r="113">
      <x:c r="A113" s="27" t="str">
        <x:v>TA-ACC-005</x:v>
      </x:c>
      <x:c r="B113" s="27" t="str">
        <x:v>R-ACC-005</x:v>
      </x:c>
      <x:c r="C113" s="36" t="str">
        <x:v>Accessibility &amp; Inclusion</x:v>
      </x:c>
      <x:c r="D113" s="36" t="str">
        <x:v>Reducir riesgo: Audio relevante carece de equivalente visual</x:v>
      </x:c>
      <x:c r="E113" s="36" t="str">
        <x:v>Eliminar barrera, añadir alternativa y probar Golden Path por modalidad.</x:v>
      </x:c>
      <x:c r="F113" s="36" t="str">
        <x:v>Accessibility / UX / QA</x:v>
      </x:c>
      <x:c r="G113" s="36" t="str">
        <x:v>Production</x:v>
      </x:c>
      <x:c r="H113" s="36" t="str">
        <x:v>P1</x:v>
      </x:c>
      <x:c r="I113" s="36" t="str">
        <x:v>OPEN</x:v>
      </x:c>
      <x:c r="J113" s="46" t="str">
        <x:v>2026-07-01</x:v>
      </x:c>
      <x:c r="K113" s="46" t="str">
        <x:v>2026-07-31</x:v>
      </x:c>
      <x:c r="L113" s="46" t="str"/>
      <x:c r="M113" s="36" t="str">
        <x:v>Control verificable y evidencia ligada a R-ACC-005.</x:v>
      </x:c>
      <x:c r="N113" s="36" t="str">
        <x:v>05, 07, 08, 17, 18, 19, 22, 24, 28, 29, 31; UX/UI/GDD/QA/localización/arte/audio distribuidos en v0.3–v0.6</x:v>
      </x:c>
      <x:c r="O113" s="36" t="str">
        <x:v>No iniciada</x:v>
      </x:c>
      <x:c r="P113" s="47" t="n">
        <x:v>0</x:v>
      </x:c>
      <x:c r="Q113" s="36" t="str">
        <x:v>No ejecutar cierre sin evidencia.</x:v>
      </x:c>
    </x:row>
    <x:row r="114">
      <x:c r="A114" s="27" t="str">
        <x:v>TA-ACC-006</x:v>
      </x:c>
      <x:c r="B114" s="27" t="str">
        <x:v>R-ACC-006</x:v>
      </x:c>
      <x:c r="C114" s="36" t="str">
        <x:v>Accessibility &amp; Inclusion</x:v>
      </x:c>
      <x:c r="D114" s="36" t="str">
        <x:v>Reducir riesgo: VFX/cámara causan malestar o riesgo</x:v>
      </x:c>
      <x:c r="E114" s="36" t="str">
        <x:v>Eliminar barrera, añadir alternativa y probar Golden Path por modalidad.</x:v>
      </x:c>
      <x:c r="F114" s="36" t="str">
        <x:v>Accessibility / UX / QA</x:v>
      </x:c>
      <x:c r="G114" s="36" t="str">
        <x:v>Production</x:v>
      </x:c>
      <x:c r="H114" s="36" t="str">
        <x:v>P2</x:v>
      </x:c>
      <x:c r="I114" s="36" t="str">
        <x:v>OPEN</x:v>
      </x:c>
      <x:c r="J114" s="46" t="str">
        <x:v>2026-07-01</x:v>
      </x:c>
      <x:c r="K114" s="46" t="str">
        <x:v>2026-07-08</x:v>
      </x:c>
      <x:c r="L114" s="46" t="str"/>
      <x:c r="M114" s="36" t="str">
        <x:v>Control verificable y evidencia ligada a R-ACC-006.</x:v>
      </x:c>
      <x:c r="N114" s="36" t="str">
        <x:v>05, 07, 08, 17, 18, 19, 22, 24, 28, 29, 31; UX/UI/GDD/QA/localización/arte/audio distribuidos en v0.3–v0.6</x:v>
      </x:c>
      <x:c r="O114" s="36" t="str">
        <x:v>No iniciada</x:v>
      </x:c>
      <x:c r="P114" s="47" t="n">
        <x:v>0</x:v>
      </x:c>
      <x:c r="Q114" s="36" t="str">
        <x:v>No ejecutar cierre sin evidencia.</x:v>
      </x:c>
    </x:row>
    <x:row r="115">
      <x:c r="A115" s="27" t="str">
        <x:v>TA-ACC-007</x:v>
      </x:c>
      <x:c r="B115" s="27" t="str">
        <x:v>R-ACC-007</x:v>
      </x:c>
      <x:c r="C115" s="36" t="str">
        <x:v>Accessibility &amp; Inclusion</x:v>
      </x:c>
      <x:c r="D115" s="36" t="str">
        <x:v>Reducir riesgo: Errores/tutorial no explican recuperación</x:v>
      </x:c>
      <x:c r="E115" s="36" t="str">
        <x:v>Eliminar barrera, añadir alternativa y probar Golden Path por modalidad.</x:v>
      </x:c>
      <x:c r="F115" s="36" t="str">
        <x:v>Accessibility / UX / QA</x:v>
      </x:c>
      <x:c r="G115" s="36" t="str">
        <x:v>Production</x:v>
      </x:c>
      <x:c r="H115" s="36" t="str">
        <x:v>P1</x:v>
      </x:c>
      <x:c r="I115" s="36" t="str">
        <x:v>OPEN</x:v>
      </x:c>
      <x:c r="J115" s="46" t="str">
        <x:v>2026-07-01</x:v>
      </x:c>
      <x:c r="K115" s="46" t="str">
        <x:v>2026-07-31</x:v>
      </x:c>
      <x:c r="L115" s="46" t="str"/>
      <x:c r="M115" s="36" t="str">
        <x:v>Control verificable y evidencia ligada a R-ACC-007.</x:v>
      </x:c>
      <x:c r="N115" s="36" t="str">
        <x:v>05, 07, 08, 17, 18, 19, 22, 24, 28, 29, 31; UX/UI/GDD/QA/localización/arte/audio distribuidos en v0.3–v0.6</x:v>
      </x:c>
      <x:c r="O115" s="36" t="str">
        <x:v>No iniciada</x:v>
      </x:c>
      <x:c r="P115" s="47" t="n">
        <x:v>0</x:v>
      </x:c>
      <x:c r="Q115" s="36" t="str">
        <x:v>No ejecutar cierre sin evidencia.</x:v>
      </x:c>
    </x:row>
    <x:row r="116">
      <x:c r="A116" s="27" t="str">
        <x:v>TA-ACC-008</x:v>
      </x:c>
      <x:c r="B116" s="27" t="str">
        <x:v>R-ACC-008</x:v>
      </x:c>
      <x:c r="C116" s="36" t="str">
        <x:v>Accessibility &amp; Inclusion</x:v>
      </x:c>
      <x:c r="D116" s="36" t="str">
        <x:v>Reducir riesgo: Representación o copy produce daño evitable</x:v>
      </x:c>
      <x:c r="E116" s="36" t="str">
        <x:v>Eliminar barrera, añadir alternativa y probar Golden Path por modalidad.</x:v>
      </x:c>
      <x:c r="F116" s="36" t="str">
        <x:v>Accessibility / UX / QA</x:v>
      </x:c>
      <x:c r="G116" s="36" t="str">
        <x:v>Production</x:v>
      </x:c>
      <x:c r="H116" s="36" t="str">
        <x:v>P2</x:v>
      </x:c>
      <x:c r="I116" s="36" t="str">
        <x:v>OPEN</x:v>
      </x:c>
      <x:c r="J116" s="46" t="str">
        <x:v>2026-07-01</x:v>
      </x:c>
      <x:c r="K116" s="46" t="str">
        <x:v>2026-07-31</x:v>
      </x:c>
      <x:c r="L116" s="46" t="str"/>
      <x:c r="M116" s="36" t="str">
        <x:v>Control verificable y evidencia ligada a R-ACC-008.</x:v>
      </x:c>
      <x:c r="N116" s="36" t="str">
        <x:v>05, 07, 08, 17, 18, 19, 22, 24, 28, 29, 31; UX/UI/GDD/QA/localización/arte/audio distribuidos en v0.3–v0.6</x:v>
      </x:c>
      <x:c r="O116" s="36" t="str">
        <x:v>No iniciada</x:v>
      </x:c>
      <x:c r="P116" s="47" t="n">
        <x:v>0</x:v>
      </x:c>
      <x:c r="Q116" s="36" t="str">
        <x:v>No ejecutar cierre sin evidencia.</x:v>
      </x:c>
    </x:row>
    <x:row r="117">
      <x:c r="A117" s="27" t="str">
        <x:v>TA-CNT-001</x:v>
      </x:c>
      <x:c r="B117" s="27" t="str">
        <x:v>R-CNT-001</x:v>
      </x:c>
      <x:c r="C117" s="36" t="str">
        <x:v>Art, Audio &amp; Content</x:v>
      </x:c>
      <x:c r="D117" s="36" t="str">
        <x:v>Reducir riesgo: Placeholder visible llega a H6/Store</x:v>
      </x:c>
      <x:c r="E117" s="36" t="str">
        <x:v>Sustituir placeholder, optimizar asset, documentar licencia y validar integración.</x:v>
      </x:c>
      <x:c r="F117" s="36" t="str">
        <x:v>Art / Audio / Content</x:v>
      </x:c>
      <x:c r="G117" s="36" t="str">
        <x:v>Production</x:v>
      </x:c>
      <x:c r="H117" s="36" t="str">
        <x:v>P1</x:v>
      </x:c>
      <x:c r="I117" s="36" t="str">
        <x:v>OPEN</x:v>
      </x:c>
      <x:c r="J117" s="46" t="str">
        <x:v>2026-07-01</x:v>
      </x:c>
      <x:c r="K117" s="46" t="str">
        <x:v>2026-07-08</x:v>
      </x:c>
      <x:c r="L117" s="46" t="str"/>
      <x:c r="M117" s="36" t="str">
        <x:v>Control verificable y evidencia ligada a R-CNT-001.</x:v>
      </x:c>
      <x:c r="N117" s="36" t="str">
        <x:v>17, 18, 19, 21, 22, 23, 28, 30, 31; Art/Audio/UI/Content/Localization baselines y Sprint 16</x:v>
      </x:c>
      <x:c r="O117" s="36" t="str">
        <x:v>No iniciada</x:v>
      </x:c>
      <x:c r="P117" s="47" t="n">
        <x:v>0</x:v>
      </x:c>
      <x:c r="Q117" s="36" t="str">
        <x:v>No ejecutar cierre sin evidencia.</x:v>
      </x:c>
    </x:row>
    <x:row r="118">
      <x:c r="A118" s="27" t="str">
        <x:v>TA-CNT-002</x:v>
      </x:c>
      <x:c r="B118" s="27" t="str">
        <x:v>R-CNT-002</x:v>
      </x:c>
      <x:c r="C118" s="36" t="str">
        <x:v>Art, Audio &amp; Content</x:v>
      </x:c>
      <x:c r="D118" s="36" t="str">
        <x:v>Reducir riesgo: Archivo fuente de arte/audio se pierde</x:v>
      </x:c>
      <x:c r="E118" s="36" t="str">
        <x:v>Sustituir placeholder, optimizar asset, documentar licencia y validar integración.</x:v>
      </x:c>
      <x:c r="F118" s="36" t="str">
        <x:v>Art / Audio / Content</x:v>
      </x:c>
      <x:c r="G118" s="36" t="str">
        <x:v>Production</x:v>
      </x:c>
      <x:c r="H118" s="36" t="str">
        <x:v>P1</x:v>
      </x:c>
      <x:c r="I118" s="36" t="str">
        <x:v>OPEN</x:v>
      </x:c>
      <x:c r="J118" s="46" t="str">
        <x:v>2026-07-01</x:v>
      </x:c>
      <x:c r="K118" s="46" t="str">
        <x:v>2026-07-08</x:v>
      </x:c>
      <x:c r="L118" s="46" t="str"/>
      <x:c r="M118" s="36" t="str">
        <x:v>Control verificable y evidencia ligada a R-CNT-002.</x:v>
      </x:c>
      <x:c r="N118" s="36" t="str">
        <x:v>17, 18, 19, 21, 22, 23, 28, 30, 31; Art/Audio/UI/Content/Localization baselines y Sprint 16</x:v>
      </x:c>
      <x:c r="O118" s="36" t="str">
        <x:v>No iniciada</x:v>
      </x:c>
      <x:c r="P118" s="47" t="n">
        <x:v>0</x:v>
      </x:c>
      <x:c r="Q118" s="36" t="str">
        <x:v>No ejecutar cierre sin evidencia.</x:v>
      </x:c>
    </x:row>
    <x:row r="119">
      <x:c r="A119" s="27" t="str">
        <x:v>TA-CNT-003</x:v>
      </x:c>
      <x:c r="B119" s="27" t="str">
        <x:v>R-CNT-003</x:v>
      </x:c>
      <x:c r="C119" s="36" t="str">
        <x:v>Art, Audio &amp; Content</x:v>
      </x:c>
      <x:c r="D119" s="36" t="str">
        <x:v>Reducir riesgo: Mover/renombrar asset rompe referencias</x:v>
      </x:c>
      <x:c r="E119" s="36" t="str">
        <x:v>Sustituir placeholder, optimizar asset, documentar licencia y validar integración.</x:v>
      </x:c>
      <x:c r="F119" s="36" t="str">
        <x:v>Art / Audio / Content</x:v>
      </x:c>
      <x:c r="G119" s="36" t="str">
        <x:v>Production</x:v>
      </x:c>
      <x:c r="H119" s="36" t="str">
        <x:v>P1</x:v>
      </x:c>
      <x:c r="I119" s="36" t="str">
        <x:v>OPEN</x:v>
      </x:c>
      <x:c r="J119" s="46" t="str">
        <x:v>2026-07-01</x:v>
      </x:c>
      <x:c r="K119" s="46" t="str">
        <x:v>2026-07-08</x:v>
      </x:c>
      <x:c r="L119" s="46" t="str"/>
      <x:c r="M119" s="36" t="str">
        <x:v>Control verificable y evidencia ligada a R-CNT-003.</x:v>
      </x:c>
      <x:c r="N119" s="36" t="str">
        <x:v>17, 18, 19, 21, 22, 23, 28, 30, 31; Art/Audio/UI/Content/Localization baselines y Sprint 16</x:v>
      </x:c>
      <x:c r="O119" s="36" t="str">
        <x:v>No iniciada</x:v>
      </x:c>
      <x:c r="P119" s="47" t="n">
        <x:v>0</x:v>
      </x:c>
      <x:c r="Q119" s="36" t="str">
        <x:v>No ejecutar cierre sin evidencia.</x:v>
      </x:c>
    </x:row>
    <x:row r="120">
      <x:c r="A120" s="27" t="str">
        <x:v>TA-CNT-004</x:v>
      </x:c>
      <x:c r="B120" s="27" t="str">
        <x:v>R-CNT-004</x:v>
      </x:c>
      <x:c r="C120" s="36" t="str">
        <x:v>Art, Audio &amp; Content</x:v>
      </x:c>
      <x:c r="D120" s="36" t="str">
        <x:v>Reducir riesgo: Assets no siguen Art Bible</x:v>
      </x:c>
      <x:c r="E120" s="36" t="str">
        <x:v>Sustituir placeholder, optimizar asset, documentar licencia y validar integración.</x:v>
      </x:c>
      <x:c r="F120" s="36" t="str">
        <x:v>Art / Audio / Content</x:v>
      </x:c>
      <x:c r="G120" s="36" t="str">
        <x:v>Production</x:v>
      </x:c>
      <x:c r="H120" s="36" t="str">
        <x:v>P1</x:v>
      </x:c>
      <x:c r="I120" s="36" t="str">
        <x:v>OPEN</x:v>
      </x:c>
      <x:c r="J120" s="46" t="str">
        <x:v>2026-07-01</x:v>
      </x:c>
      <x:c r="K120" s="46" t="str">
        <x:v>2026-07-31</x:v>
      </x:c>
      <x:c r="L120" s="46" t="str"/>
      <x:c r="M120" s="36" t="str">
        <x:v>Control verificable y evidencia ligada a R-CNT-004.</x:v>
      </x:c>
      <x:c r="N120" s="36" t="str">
        <x:v>17, 18, 19, 21, 22, 23, 28, 30, 31; Art/Audio/UI/Content/Localization baselines y Sprint 16</x:v>
      </x:c>
      <x:c r="O120" s="36" t="str">
        <x:v>No iniciada</x:v>
      </x:c>
      <x:c r="P120" s="47" t="n">
        <x:v>0</x:v>
      </x:c>
      <x:c r="Q120" s="36" t="str">
        <x:v>No ejecutar cierre sin evidencia.</x:v>
      </x:c>
    </x:row>
    <x:row r="121">
      <x:c r="A121" s="27" t="str">
        <x:v>TA-CNT-005</x:v>
      </x:c>
      <x:c r="B121" s="27" t="str">
        <x:v>R-CNT-005</x:v>
      </x:c>
      <x:c r="C121" s="36" t="str">
        <x:v>Art, Audio &amp; Content</x:v>
      </x:c>
      <x:c r="D121" s="36" t="str">
        <x:v>Reducir riesgo: Niveles/picos/loops degradan experiencia</x:v>
      </x:c>
      <x:c r="E121" s="36" t="str">
        <x:v>Sustituir placeholder, optimizar asset, documentar licencia y validar integración.</x:v>
      </x:c>
      <x:c r="F121" s="36" t="str">
        <x:v>Art / Audio / Content</x:v>
      </x:c>
      <x:c r="G121" s="36" t="str">
        <x:v>Production</x:v>
      </x:c>
      <x:c r="H121" s="36" t="str">
        <x:v>P1</x:v>
      </x:c>
      <x:c r="I121" s="36" t="str">
        <x:v>OPEN</x:v>
      </x:c>
      <x:c r="J121" s="46" t="str">
        <x:v>2026-07-01</x:v>
      </x:c>
      <x:c r="K121" s="46" t="str">
        <x:v>2026-07-08</x:v>
      </x:c>
      <x:c r="L121" s="46" t="str"/>
      <x:c r="M121" s="36" t="str">
        <x:v>Control verificable y evidencia ligada a R-CNT-005.</x:v>
      </x:c>
      <x:c r="N121" s="36" t="str">
        <x:v>17, 18, 19, 21, 22, 23, 28, 30, 31; Art/Audio/UI/Content/Localization baselines y Sprint 16</x:v>
      </x:c>
      <x:c r="O121" s="36" t="str">
        <x:v>No iniciada</x:v>
      </x:c>
      <x:c r="P121" s="47" t="n">
        <x:v>0</x:v>
      </x:c>
      <x:c r="Q121" s="36" t="str">
        <x:v>No ejecutar cierre sin evidencia.</x:v>
      </x:c>
    </x:row>
    <x:row r="122">
      <x:c r="A122" s="27" t="str">
        <x:v>TA-CNT-006</x:v>
      </x:c>
      <x:c r="B122" s="27" t="str">
        <x:v>R-CNT-006</x:v>
      </x:c>
      <x:c r="C122" s="36" t="str">
        <x:v>Art, Audio &amp; Content</x:v>
      </x:c>
      <x:c r="D122" s="36" t="str">
        <x:v>Reducir riesgo: Catálogo y assets divergen</x:v>
      </x:c>
      <x:c r="E122" s="36" t="str">
        <x:v>Sustituir placeholder, optimizar asset, documentar licencia y validar integración.</x:v>
      </x:c>
      <x:c r="F122" s="36" t="str">
        <x:v>Art / Audio / Content</x:v>
      </x:c>
      <x:c r="G122" s="36" t="str">
        <x:v>Production</x:v>
      </x:c>
      <x:c r="H122" s="36" t="str">
        <x:v>P1</x:v>
      </x:c>
      <x:c r="I122" s="36" t="str">
        <x:v>OPEN</x:v>
      </x:c>
      <x:c r="J122" s="46" t="str">
        <x:v>2026-07-01</x:v>
      </x:c>
      <x:c r="K122" s="46" t="str">
        <x:v>2026-07-31</x:v>
      </x:c>
      <x:c r="L122" s="46" t="str"/>
      <x:c r="M122" s="36" t="str">
        <x:v>Control verificable y evidencia ligada a R-CNT-006.</x:v>
      </x:c>
      <x:c r="N122" s="36" t="str">
        <x:v>17, 18, 19, 21, 22, 23, 28, 30, 31; Art/Audio/UI/Content/Localization baselines y Sprint 16</x:v>
      </x:c>
      <x:c r="O122" s="36" t="str">
        <x:v>No iniciada</x:v>
      </x:c>
      <x:c r="P122" s="47" t="n">
        <x:v>0</x:v>
      </x:c>
      <x:c r="Q122" s="36" t="str">
        <x:v>No ejecutar cierre sin evidencia.</x:v>
      </x:c>
    </x:row>
    <x:row r="123">
      <x:c r="A123" s="27" t="str">
        <x:v>TA-CNT-007</x:v>
      </x:c>
      <x:c r="B123" s="27" t="str">
        <x:v>R-CNT-007</x:v>
      </x:c>
      <x:c r="C123" s="36" t="str">
        <x:v>Art, Audio &amp; Content</x:v>
      </x:c>
      <x:c r="D123" s="36" t="str">
        <x:v>Reducir riesgo: Texto/arte no soporta ES/EN o expansión</x:v>
      </x:c>
      <x:c r="E123" s="36" t="str">
        <x:v>Sustituir placeholder, optimizar asset, documentar licencia y validar integración.</x:v>
      </x:c>
      <x:c r="F123" s="36" t="str">
        <x:v>Art / Audio / Content</x:v>
      </x:c>
      <x:c r="G123" s="36" t="str">
        <x:v>Production</x:v>
      </x:c>
      <x:c r="H123" s="36" t="str">
        <x:v>P1</x:v>
      </x:c>
      <x:c r="I123" s="36" t="str">
        <x:v>OPEN</x:v>
      </x:c>
      <x:c r="J123" s="46" t="str">
        <x:v>2026-07-01</x:v>
      </x:c>
      <x:c r="K123" s="46" t="str">
        <x:v>2026-07-08</x:v>
      </x:c>
      <x:c r="L123" s="46" t="str"/>
      <x:c r="M123" s="36" t="str">
        <x:v>Control verificable y evidencia ligada a R-CNT-007.</x:v>
      </x:c>
      <x:c r="N123" s="36" t="str">
        <x:v>17, 18, 19, 21, 22, 23, 28, 30, 31; Art/Audio/UI/Content/Localization baselines y Sprint 16</x:v>
      </x:c>
      <x:c r="O123" s="36" t="str">
        <x:v>No iniciada</x:v>
      </x:c>
      <x:c r="P123" s="47" t="n">
        <x:v>0</x:v>
      </x:c>
      <x:c r="Q123" s="36" t="str">
        <x:v>No ejecutar cierre sin evidencia.</x:v>
      </x:c>
    </x:row>
    <x:row r="124">
      <x:c r="A124" s="27" t="str">
        <x:v>TA-CNT-008</x:v>
      </x:c>
      <x:c r="B124" s="27" t="str">
        <x:v>R-CNT-008</x:v>
      </x:c>
      <x:c r="C124" s="36" t="str">
        <x:v>Art, Audio &amp; Content</x:v>
      </x:c>
      <x:c r="D124" s="36" t="str">
        <x:v>Reducir riesgo: Modelo/textura/VFX excede budget</x:v>
      </x:c>
      <x:c r="E124" s="36" t="str">
        <x:v>Sustituir placeholder, optimizar asset, documentar licencia y validar integración.</x:v>
      </x:c>
      <x:c r="F124" s="36" t="str">
        <x:v>Art / Audio / Content</x:v>
      </x:c>
      <x:c r="G124" s="36" t="str">
        <x:v>Production</x:v>
      </x:c>
      <x:c r="H124" s="36" t="str">
        <x:v>P1</x:v>
      </x:c>
      <x:c r="I124" s="36" t="str">
        <x:v>OPEN</x:v>
      </x:c>
      <x:c r="J124" s="46" t="str">
        <x:v>2026-07-01</x:v>
      </x:c>
      <x:c r="K124" s="46" t="str">
        <x:v>2026-07-08</x:v>
      </x:c>
      <x:c r="L124" s="46" t="str"/>
      <x:c r="M124" s="36" t="str">
        <x:v>Control verificable y evidencia ligada a R-CNT-008.</x:v>
      </x:c>
      <x:c r="N124" s="36" t="str">
        <x:v>17, 18, 19, 21, 22, 23, 28, 30, 31; Art/Audio/UI/Content/Localization baselines y Sprint 16</x:v>
      </x:c>
      <x:c r="O124" s="36" t="str">
        <x:v>No iniciada</x:v>
      </x:c>
      <x:c r="P124" s="47" t="n">
        <x:v>0</x:v>
      </x:c>
      <x:c r="Q124" s="36" t="str">
        <x:v>No ejecutar cierre sin evidencia.</x:v>
      </x:c>
    </x:row>
    <x:row r="125">
      <x:c r="A125" s="27" t="str">
        <x:v>TA-FIN-001</x:v>
      </x:c>
      <x:c r="B125" s="27" t="str">
        <x:v>R-FIN-001</x:v>
      </x:c>
      <x:c r="C125" s="36" t="str">
        <x:v>Financial &amp; Commercial</x:v>
      </x:c>
      <x:c r="D125" s="36" t="str">
        <x:v>Reducir riesgo: Fondos/tiempo disponibles no cubren cierre</x:v>
      </x:c>
      <x:c r="E125" s="36" t="str">
        <x:v>Reducir burn, renegociar, diferir gasto y mantener reserva de continuidad.</x:v>
      </x:c>
      <x:c r="F125" s="36" t="str">
        <x:v>Project Owner / Production</x:v>
      </x:c>
      <x:c r="G125" s="36" t="str">
        <x:v>Finance / Publishing</x:v>
      </x:c>
      <x:c r="H125" s="36" t="str">
        <x:v>P1</x:v>
      </x:c>
      <x:c r="I125" s="36" t="str">
        <x:v>OPEN</x:v>
      </x:c>
      <x:c r="J125" s="46" t="str">
        <x:v>2026-07-01</x:v>
      </x:c>
      <x:c r="K125" s="46" t="str">
        <x:v>2026-07-31</x:v>
      </x:c>
      <x:c r="L125" s="46" t="str"/>
      <x:c r="M125" s="36" t="str">
        <x:v>Control verificable y evidencia ligada a R-FIN-001.</x:v>
      </x:c>
      <x:c r="N125" s="36" t="str">
        <x:v>00, 06, 20, 24, 25, 28, 33; Roadmaps, Economy/Balance y Marketing Plans históricos</x:v>
      </x:c>
      <x:c r="O125" s="36" t="str">
        <x:v>No iniciada</x:v>
      </x:c>
      <x:c r="P125" s="47" t="n">
        <x:v>0</x:v>
      </x:c>
      <x:c r="Q125" s="36" t="str">
        <x:v>No ejecutar cierre sin evidencia.</x:v>
      </x:c>
    </x:row>
    <x:row r="126">
      <x:c r="A126" s="27" t="str">
        <x:v>TA-FIN-002</x:v>
      </x:c>
      <x:c r="B126" s="27" t="str">
        <x:v>R-FIN-002</x:v>
      </x:c>
      <x:c r="C126" s="36" t="str">
        <x:v>Financial &amp; Commercial</x:v>
      </x:c>
      <x:c r="D126" s="36" t="str">
        <x:v>Reducir riesgo: Herramientas/assets/servicios exceden presupuesto</x:v>
      </x:c>
      <x:c r="E126" s="36" t="str">
        <x:v>Reducir burn, renegociar, diferir gasto y mantener reserva de continuidad.</x:v>
      </x:c>
      <x:c r="F126" s="36" t="str">
        <x:v>Project Owner / Production</x:v>
      </x:c>
      <x:c r="G126" s="36" t="str">
        <x:v>Finance / Publishing</x:v>
      </x:c>
      <x:c r="H126" s="36" t="str">
        <x:v>P1</x:v>
      </x:c>
      <x:c r="I126" s="36" t="str">
        <x:v>OPEN</x:v>
      </x:c>
      <x:c r="J126" s="46" t="str">
        <x:v>2026-07-01</x:v>
      </x:c>
      <x:c r="K126" s="46" t="str">
        <x:v>2026-07-31</x:v>
      </x:c>
      <x:c r="L126" s="46" t="str"/>
      <x:c r="M126" s="36" t="str">
        <x:v>Control verificable y evidencia ligada a R-FIN-002.</x:v>
      </x:c>
      <x:c r="N126" s="36" t="str">
        <x:v>00, 06, 20, 24, 25, 28, 33; Roadmaps, Economy/Balance y Marketing Plans históricos</x:v>
      </x:c>
      <x:c r="O126" s="36" t="str">
        <x:v>No iniciada</x:v>
      </x:c>
      <x:c r="P126" s="47" t="n">
        <x:v>0</x:v>
      </x:c>
      <x:c r="Q126" s="36" t="str">
        <x:v>No ejecutar cierre sin evidencia.</x:v>
      </x:c>
    </x:row>
    <x:row r="127">
      <x:c r="A127" s="27" t="str">
        <x:v>TA-FIN-003</x:v>
      </x:c>
      <x:c r="B127" s="27" t="str">
        <x:v>R-FIN-003</x:v>
      </x:c>
      <x:c r="C127" s="36" t="str">
        <x:v>Financial &amp; Commercial</x:v>
      </x:c>
      <x:c r="D127" s="36" t="str">
        <x:v>Reducir riesgo: Proveedor crítico aumenta coste o cambia plan</x:v>
      </x:c>
      <x:c r="E127" s="36" t="str">
        <x:v>Reducir burn, renegociar, diferir gasto y mantener reserva de continuidad.</x:v>
      </x:c>
      <x:c r="F127" s="36" t="str">
        <x:v>Project Owner / Production</x:v>
      </x:c>
      <x:c r="G127" s="36" t="str">
        <x:v>Finance / Publishing</x:v>
      </x:c>
      <x:c r="H127" s="36" t="str">
        <x:v>P2</x:v>
      </x:c>
      <x:c r="I127" s="36" t="str">
        <x:v>OPEN</x:v>
      </x:c>
      <x:c r="J127" s="46" t="str">
        <x:v>2026-07-01</x:v>
      </x:c>
      <x:c r="K127" s="46" t="str">
        <x:v>2026-07-31</x:v>
      </x:c>
      <x:c r="L127" s="46" t="str"/>
      <x:c r="M127" s="36" t="str">
        <x:v>Control verificable y evidencia ligada a R-FIN-003.</x:v>
      </x:c>
      <x:c r="N127" s="36" t="str">
        <x:v>00, 06, 20, 24, 25, 28, 33; Roadmaps, Economy/Balance y Marketing Plans históricos</x:v>
      </x:c>
      <x:c r="O127" s="36" t="str">
        <x:v>No iniciada</x:v>
      </x:c>
      <x:c r="P127" s="47" t="n">
        <x:v>0</x:v>
      </x:c>
      <x:c r="Q127" s="36" t="str">
        <x:v>No ejecutar cierre sin evidencia.</x:v>
      </x:c>
    </x:row>
    <x:row r="128">
      <x:c r="A128" s="27" t="str">
        <x:v>TA-FIN-004</x:v>
      </x:c>
      <x:c r="B128" s="27" t="str">
        <x:v>R-FIN-004</x:v>
      </x:c>
      <x:c r="C128" s="36" t="str">
        <x:v>Financial &amp; Commercial</x:v>
      </x:c>
      <x:c r="D128" s="36" t="str">
        <x:v>Reducir riesgo: Problemas de lanzamiento elevan reembolsos</x:v>
      </x:c>
      <x:c r="E128" s="36" t="str">
        <x:v>Reducir burn, renegociar, diferir gasto y mantener reserva de continuidad.</x:v>
      </x:c>
      <x:c r="F128" s="36" t="str">
        <x:v>Project Owner / Production</x:v>
      </x:c>
      <x:c r="G128" s="36" t="str">
        <x:v>Finance / Publishing</x:v>
      </x:c>
      <x:c r="H128" s="36" t="str">
        <x:v>P2</x:v>
      </x:c>
      <x:c r="I128" s="36" t="str">
        <x:v>OPEN</x:v>
      </x:c>
      <x:c r="J128" s="46" t="str">
        <x:v>2026-07-01</x:v>
      </x:c>
      <x:c r="K128" s="46" t="str">
        <x:v>2026-07-08</x:v>
      </x:c>
      <x:c r="L128" s="46" t="str"/>
      <x:c r="M128" s="36" t="str">
        <x:v>Control verificable y evidencia ligada a R-FIN-004.</x:v>
      </x:c>
      <x:c r="N128" s="36" t="str">
        <x:v>00, 06, 20, 24, 25, 28, 33; Roadmaps, Economy/Balance y Marketing Plans históricos</x:v>
      </x:c>
      <x:c r="O128" s="36" t="str">
        <x:v>No iniciada</x:v>
      </x:c>
      <x:c r="P128" s="47" t="n">
        <x:v>0</x:v>
      </x:c>
      <x:c r="Q128" s="36" t="str">
        <x:v>No ejecutar cierre sin evidencia.</x:v>
      </x:c>
    </x:row>
    <x:row r="129">
      <x:c r="A129" s="27" t="str">
        <x:v>TA-FIN-005</x:v>
      </x:c>
      <x:c r="B129" s="27" t="str">
        <x:v>R-FIN-005</x:v>
      </x:c>
      <x:c r="C129" s="36" t="str">
        <x:v>Financial &amp; Commercial</x:v>
      </x:c>
      <x:c r="D129" s="36" t="str">
        <x:v>Reducir riesgo: Decisiones dependen de previsión no validada</x:v>
      </x:c>
      <x:c r="E129" s="36" t="str">
        <x:v>Reducir burn, renegociar, diferir gasto y mantener reserva de continuidad.</x:v>
      </x:c>
      <x:c r="F129" s="36" t="str">
        <x:v>Project Owner / Production</x:v>
      </x:c>
      <x:c r="G129" s="36" t="str">
        <x:v>Finance / Publishing</x:v>
      </x:c>
      <x:c r="H129" s="36" t="str">
        <x:v>P1</x:v>
      </x:c>
      <x:c r="I129" s="36" t="str">
        <x:v>OPEN</x:v>
      </x:c>
      <x:c r="J129" s="46" t="str">
        <x:v>2026-07-01</x:v>
      </x:c>
      <x:c r="K129" s="46" t="str">
        <x:v>2026-07-31</x:v>
      </x:c>
      <x:c r="L129" s="46" t="str"/>
      <x:c r="M129" s="36" t="str">
        <x:v>Control verificable y evidencia ligada a R-FIN-005.</x:v>
      </x:c>
      <x:c r="N129" s="36" t="str">
        <x:v>00, 06, 20, 24, 25, 28, 33; Roadmaps, Economy/Balance y Marketing Plans históricos</x:v>
      </x:c>
      <x:c r="O129" s="36" t="str">
        <x:v>No iniciada</x:v>
      </x:c>
      <x:c r="P129" s="47" t="n">
        <x:v>0</x:v>
      </x:c>
      <x:c r="Q129" s="36" t="str">
        <x:v>No ejecutar cierre sin evidencia.</x:v>
      </x:c>
    </x:row>
    <x:row r="130">
      <x:c r="A130" s="27" t="str">
        <x:v>TA-FIN-006</x:v>
      </x:c>
      <x:c r="B130" s="27" t="str">
        <x:v>R-FIN-006</x:v>
      </x:c>
      <x:c r="C130" s="36" t="str">
        <x:v>Financial &amp; Commercial</x:v>
      </x:c>
      <x:c r="D130" s="36" t="str">
        <x:v>Reducir riesgo: Ingresos/gastos no se registran correctamente</x:v>
      </x:c>
      <x:c r="E130" s="36" t="str">
        <x:v>Reducir burn, renegociar, diferir gasto y mantener reserva de continuidad.</x:v>
      </x:c>
      <x:c r="F130" s="36" t="str">
        <x:v>Project Owner / Production</x:v>
      </x:c>
      <x:c r="G130" s="36" t="str">
        <x:v>Finance / Publishing</x:v>
      </x:c>
      <x:c r="H130" s="36" t="str">
        <x:v>P2</x:v>
      </x:c>
      <x:c r="I130" s="36" t="str">
        <x:v>OPEN</x:v>
      </x:c>
      <x:c r="J130" s="46" t="str">
        <x:v>2026-07-01</x:v>
      </x:c>
      <x:c r="K130" s="46" t="str">
        <x:v>2026-07-31</x:v>
      </x:c>
      <x:c r="L130" s="46" t="str"/>
      <x:c r="M130" s="36" t="str">
        <x:v>Control verificable y evidencia ligada a R-FIN-006.</x:v>
      </x:c>
      <x:c r="N130" s="36" t="str">
        <x:v>00, 06, 20, 24, 25, 28, 33; Roadmaps, Economy/Balance y Marketing Plans históricos</x:v>
      </x:c>
      <x:c r="O130" s="36" t="str">
        <x:v>No iniciada</x:v>
      </x:c>
      <x:c r="P130" s="47" t="n">
        <x:v>0</x:v>
      </x:c>
      <x:c r="Q130" s="36" t="str">
        <x:v>No ejecutar cierre sin evidencia.</x:v>
      </x:c>
    </x:row>
    <x:row r="131">
      <x:c r="A131" s="27" t="str">
        <x:v>TA-EXT-001</x:v>
      </x:c>
      <x:c r="B131" s="27" t="str">
        <x:v>R-EXT-001</x:v>
      </x:c>
      <x:c r="C131" s="36" t="str">
        <x:v>External Services &amp; Vendors</x:v>
      </x:c>
      <x:c r="D131" s="36" t="str">
        <x:v>Reducir riesgo: Repositorio remoto no está disponible</x:v>
      </x:c>
      <x:c r="E131" s="36" t="str">
        <x:v>Eliminar dependencia innecesaria, preparar sustituto y exportar datos.</x:v>
      </x:c>
      <x:c r="F131" s="36" t="str">
        <x:v>Production / Engineering</x:v>
      </x:c>
      <x:c r="G131" s="36" t="str">
        <x:v>Project Owner</x:v>
      </x:c>
      <x:c r="H131" s="36" t="str">
        <x:v>P1</x:v>
      </x:c>
      <x:c r="I131" s="36" t="str">
        <x:v>OPEN</x:v>
      </x:c>
      <x:c r="J131" s="46" t="str">
        <x:v>2026-07-01</x:v>
      </x:c>
      <x:c r="K131" s="46" t="str">
        <x:v>2026-07-08</x:v>
      </x:c>
      <x:c r="L131" s="46" t="str"/>
      <x:c r="M131" s="36" t="str">
        <x:v>Control verificable y evidencia ligada a R-EXT-001.</x:v>
      </x:c>
      <x:c r="N131" s="36" t="str">
        <x:v>10, 11, 23, 24, 25, 27, 28, 31; Setup/build/Steam/legal y registros de herramientas</x:v>
      </x:c>
      <x:c r="O131" s="36" t="str">
        <x:v>No iniciada</x:v>
      </x:c>
      <x:c r="P131" s="47" t="n">
        <x:v>0</x:v>
      </x:c>
      <x:c r="Q131" s="36" t="str">
        <x:v>No ejecutar cierre sin evidencia.</x:v>
      </x:c>
    </x:row>
    <x:row r="132">
      <x:c r="A132" s="27" t="str">
        <x:v>TA-EXT-002</x:v>
      </x:c>
      <x:c r="B132" s="27" t="str">
        <x:v>R-EXT-002</x:v>
      </x:c>
      <x:c r="C132" s="36" t="str">
        <x:v>External Services &amp; Vendors</x:v>
      </x:c>
      <x:c r="D132" s="36" t="str">
        <x:v>Reducir riesgo: No se puede subir/publicar build</x:v>
      </x:c>
      <x:c r="E132" s="36" t="str">
        <x:v>Eliminar dependencia innecesaria, preparar sustituto y exportar datos.</x:v>
      </x:c>
      <x:c r="F132" s="36" t="str">
        <x:v>Production / Engineering</x:v>
      </x:c>
      <x:c r="G132" s="36" t="str">
        <x:v>Project Owner</x:v>
      </x:c>
      <x:c r="H132" s="36" t="str">
        <x:v>P1</x:v>
      </x:c>
      <x:c r="I132" s="36" t="str">
        <x:v>OPEN</x:v>
      </x:c>
      <x:c r="J132" s="46" t="str">
        <x:v>2026-07-01</x:v>
      </x:c>
      <x:c r="K132" s="46" t="str">
        <x:v>2026-07-08</x:v>
      </x:c>
      <x:c r="L132" s="46" t="str"/>
      <x:c r="M132" s="36" t="str">
        <x:v>Control verificable y evidencia ligada a R-EXT-002.</x:v>
      </x:c>
      <x:c r="N132" s="36" t="str">
        <x:v>10, 11, 23, 24, 25, 27, 28, 31; Setup/build/Steam/legal y registros de herramientas</x:v>
      </x:c>
      <x:c r="O132" s="36" t="str">
        <x:v>No iniciada</x:v>
      </x:c>
      <x:c r="P132" s="47" t="n">
        <x:v>0</x:v>
      </x:c>
      <x:c r="Q132" s="36" t="str">
        <x:v>No ejecutar cierre sin evidencia.</x:v>
      </x:c>
    </x:row>
    <x:row r="133">
      <x:c r="A133" s="27" t="str">
        <x:v>TA-EXT-003</x:v>
      </x:c>
      <x:c r="B133" s="27" t="str">
        <x:v>R-EXT-003</x:v>
      </x:c>
      <x:c r="C133" s="36" t="str">
        <x:v>External Services &amp; Vendors</x:v>
      </x:c>
      <x:c r="D133" s="36" t="str">
        <x:v>Reducir riesgo: Editor/licencia/servicio impide trabajar</x:v>
      </x:c>
      <x:c r="E133" s="36" t="str">
        <x:v>Eliminar dependencia innecesaria, preparar sustituto y exportar datos.</x:v>
      </x:c>
      <x:c r="F133" s="36" t="str">
        <x:v>Production / Engineering</x:v>
      </x:c>
      <x:c r="G133" s="36" t="str">
        <x:v>Project Owner</x:v>
      </x:c>
      <x:c r="H133" s="36" t="str">
        <x:v>P2</x:v>
      </x:c>
      <x:c r="I133" s="36" t="str">
        <x:v>OPEN</x:v>
      </x:c>
      <x:c r="J133" s="46" t="str">
        <x:v>2026-07-01</x:v>
      </x:c>
      <x:c r="K133" s="46" t="str">
        <x:v>2026-07-08</x:v>
      </x:c>
      <x:c r="L133" s="46" t="str"/>
      <x:c r="M133" s="36" t="str">
        <x:v>Control verificable y evidencia ligada a R-EXT-003.</x:v>
      </x:c>
      <x:c r="N133" s="36" t="str">
        <x:v>10, 11, 23, 24, 25, 27, 28, 31; Setup/build/Steam/legal y registros de herramientas</x:v>
      </x:c>
      <x:c r="O133" s="36" t="str">
        <x:v>No iniciada</x:v>
      </x:c>
      <x:c r="P133" s="47" t="n">
        <x:v>0</x:v>
      </x:c>
      <x:c r="Q133" s="36" t="str">
        <x:v>No ejecutar cierre sin evidencia.</x:v>
      </x:c>
    </x:row>
    <x:row r="134">
      <x:c r="A134" s="27" t="str">
        <x:v>TA-EXT-004</x:v>
      </x:c>
      <x:c r="B134" s="27" t="str">
        <x:v>R-EXT-004</x:v>
      </x:c>
      <x:c r="C134" s="36" t="str">
        <x:v>External Services &amp; Vendors</x:v>
      </x:c>
      <x:c r="D134" s="36" t="str">
        <x:v>Reducir riesgo: Backup remoto no es accesible</x:v>
      </x:c>
      <x:c r="E134" s="36" t="str">
        <x:v>Eliminar dependencia innecesaria, preparar sustituto y exportar datos.</x:v>
      </x:c>
      <x:c r="F134" s="36" t="str">
        <x:v>Production / Engineering</x:v>
      </x:c>
      <x:c r="G134" s="36" t="str">
        <x:v>Project Owner</x:v>
      </x:c>
      <x:c r="H134" s="36" t="str">
        <x:v>P1</x:v>
      </x:c>
      <x:c r="I134" s="36" t="str">
        <x:v>OPEN</x:v>
      </x:c>
      <x:c r="J134" s="46" t="str">
        <x:v>2026-07-01</x:v>
      </x:c>
      <x:c r="K134" s="46" t="str">
        <x:v>2026-07-08</x:v>
      </x:c>
      <x:c r="L134" s="46" t="str"/>
      <x:c r="M134" s="36" t="str">
        <x:v>Control verificable y evidencia ligada a R-EXT-004.</x:v>
      </x:c>
      <x:c r="N134" s="36" t="str">
        <x:v>10, 11, 23, 24, 25, 27, 28, 31; Setup/build/Steam/legal y registros de herramientas</x:v>
      </x:c>
      <x:c r="O134" s="36" t="str">
        <x:v>No iniciada</x:v>
      </x:c>
      <x:c r="P134" s="47" t="n">
        <x:v>0</x:v>
      </x:c>
      <x:c r="Q134" s="36" t="str">
        <x:v>No ejecutar cierre sin evidencia.</x:v>
      </x:c>
    </x:row>
    <x:row r="135">
      <x:c r="A135" s="27" t="str">
        <x:v>TA-EXT-005</x:v>
      </x:c>
      <x:c r="B135" s="27" t="str">
        <x:v>R-EXT-005</x:v>
      </x:c>
      <x:c r="C135" s="36" t="str">
        <x:v>External Services &amp; Vendors</x:v>
      </x:c>
      <x:c r="D135" s="36" t="str">
        <x:v>Reducir riesgo: Herramienta/servicio se cierra o cambia términos</x:v>
      </x:c>
      <x:c r="E135" s="36" t="str">
        <x:v>Eliminar dependencia innecesaria, preparar sustituto y exportar datos.</x:v>
      </x:c>
      <x:c r="F135" s="36" t="str">
        <x:v>Production / Engineering</x:v>
      </x:c>
      <x:c r="G135" s="36" t="str">
        <x:v>Project Owner</x:v>
      </x:c>
      <x:c r="H135" s="36" t="str">
        <x:v>P2</x:v>
      </x:c>
      <x:c r="I135" s="36" t="str">
        <x:v>OPEN</x:v>
      </x:c>
      <x:c r="J135" s="46" t="str">
        <x:v>2026-07-01</x:v>
      </x:c>
      <x:c r="K135" s="46" t="str">
        <x:v>2026-07-31</x:v>
      </x:c>
      <x:c r="L135" s="46" t="str"/>
      <x:c r="M135" s="36" t="str">
        <x:v>Control verificable y evidencia ligada a R-EXT-005.</x:v>
      </x:c>
      <x:c r="N135" s="36" t="str">
        <x:v>10, 11, 23, 24, 25, 27, 28, 31; Setup/build/Steam/legal y registros de herramientas</x:v>
      </x:c>
      <x:c r="O135" s="36" t="str">
        <x:v>No iniciada</x:v>
      </x:c>
      <x:c r="P135" s="47" t="n">
        <x:v>0</x:v>
      </x:c>
      <x:c r="Q135" s="36" t="str">
        <x:v>No ejecutar cierre sin evidencia.</x:v>
      </x:c>
    </x:row>
    <x:row r="136">
      <x:c r="A136" s="27" t="str">
        <x:v>TA-EXT-006</x:v>
      </x:c>
      <x:c r="B136" s="27" t="str">
        <x:v>R-EXT-006</x:v>
      </x:c>
      <x:c r="C136" s="36" t="str">
        <x:v>External Services &amp; Vendors</x:v>
      </x:c>
      <x:c r="D136" s="36" t="str">
        <x:v>Reducir riesgo: Dominio o email expira/se compromete</x:v>
      </x:c>
      <x:c r="E136" s="36" t="str">
        <x:v>Eliminar dependencia innecesaria, preparar sustituto y exportar datos.</x:v>
      </x:c>
      <x:c r="F136" s="36" t="str">
        <x:v>Production / Engineering</x:v>
      </x:c>
      <x:c r="G136" s="36" t="str">
        <x:v>Project Owner</x:v>
      </x:c>
      <x:c r="H136" s="36" t="str">
        <x:v>P2</x:v>
      </x:c>
      <x:c r="I136" s="36" t="str">
        <x:v>OPEN</x:v>
      </x:c>
      <x:c r="J136" s="46" t="str">
        <x:v>2026-07-01</x:v>
      </x:c>
      <x:c r="K136" s="46" t="str">
        <x:v>2026-07-08</x:v>
      </x:c>
      <x:c r="L136" s="46" t="str"/>
      <x:c r="M136" s="36" t="str">
        <x:v>Control verificable y evidencia ligada a R-EXT-006.</x:v>
      </x:c>
      <x:c r="N136" s="36" t="str">
        <x:v>10, 11, 23, 24, 25, 27, 28, 31; Setup/build/Steam/legal y registros de herramientas</x:v>
      </x:c>
      <x:c r="O136" s="36" t="str">
        <x:v>No iniciada</x:v>
      </x:c>
      <x:c r="P136" s="47" t="n">
        <x:v>0</x:v>
      </x:c>
      <x:c r="Q136" s="36" t="str">
        <x:v>No ejecutar cierre sin evidencia.</x:v>
      </x:c>
    </x:row>
    <x:row r="137">
      <x:c r="A137" s="27" t="str">
        <x:v>TA-EXT-007</x:v>
      </x:c>
      <x:c r="B137" s="27" t="str">
        <x:v>R-EXT-007</x:v>
      </x:c>
      <x:c r="C137" s="36" t="str">
        <x:v>External Services &amp; Vendors</x:v>
      </x:c>
      <x:c r="D137" s="36" t="str">
        <x:v>Reducir riesgo: Proveedor no entrega asset/servicio</x:v>
      </x:c>
      <x:c r="E137" s="36" t="str">
        <x:v>Eliminar dependencia innecesaria, preparar sustituto y exportar datos.</x:v>
      </x:c>
      <x:c r="F137" s="36" t="str">
        <x:v>Production / Engineering</x:v>
      </x:c>
      <x:c r="G137" s="36" t="str">
        <x:v>Project Owner</x:v>
      </x:c>
      <x:c r="H137" s="36" t="str">
        <x:v>P1</x:v>
      </x:c>
      <x:c r="I137" s="36" t="str">
        <x:v>OPEN</x:v>
      </x:c>
      <x:c r="J137" s="46" t="str">
        <x:v>2026-07-01</x:v>
      </x:c>
      <x:c r="K137" s="46" t="str">
        <x:v>2026-07-31</x:v>
      </x:c>
      <x:c r="L137" s="46" t="str"/>
      <x:c r="M137" s="36" t="str">
        <x:v>Control verificable y evidencia ligada a R-EXT-007.</x:v>
      </x:c>
      <x:c r="N137" s="36" t="str">
        <x:v>10, 11, 23, 24, 25, 27, 28, 31; Setup/build/Steam/legal y registros de herramientas</x:v>
      </x:c>
      <x:c r="O137" s="36" t="str">
        <x:v>No iniciada</x:v>
      </x:c>
      <x:c r="P137" s="47" t="n">
        <x:v>0</x:v>
      </x:c>
      <x:c r="Q137" s="36" t="str">
        <x:v>No ejecutar cierre sin evidencia.</x:v>
      </x:c>
    </x:row>
    <x:row r="138">
      <x:c r="A138" s="27" t="str">
        <x:v>TA-EXT-008</x:v>
      </x:c>
      <x:c r="B138" s="27" t="str">
        <x:v>R-EXT-008</x:v>
      </x:c>
      <x:c r="C138" s="36" t="str">
        <x:v>External Services &amp; Vendors</x:v>
      </x:c>
      <x:c r="D138" s="36" t="str">
        <x:v>Reducir riesgo: Datos/configuración quedan encerrados en SaaS</x:v>
      </x:c>
      <x:c r="E138" s="36" t="str">
        <x:v>Eliminar dependencia innecesaria, preparar sustituto y exportar datos.</x:v>
      </x:c>
      <x:c r="F138" s="36" t="str">
        <x:v>Production / Engineering</x:v>
      </x:c>
      <x:c r="G138" s="36" t="str">
        <x:v>Project Owner</x:v>
      </x:c>
      <x:c r="H138" s="36" t="str">
        <x:v>P2</x:v>
      </x:c>
      <x:c r="I138" s="36" t="str">
        <x:v>OPEN</x:v>
      </x:c>
      <x:c r="J138" s="46" t="str">
        <x:v>2026-07-01</x:v>
      </x:c>
      <x:c r="K138" s="46" t="str">
        <x:v>2026-07-31</x:v>
      </x:c>
      <x:c r="L138" s="46" t="str"/>
      <x:c r="M138" s="36" t="str">
        <x:v>Control verificable y evidencia ligada a R-EXT-008.</x:v>
      </x:c>
      <x:c r="N138" s="36" t="str">
        <x:v>10, 11, 23, 24, 25, 27, 28, 31; Setup/build/Steam/legal y registros de herramientas</x:v>
      </x:c>
      <x:c r="O138" s="36" t="str">
        <x:v>No iniciada</x:v>
      </x:c>
      <x:c r="P138" s="47" t="n">
        <x:v>0</x:v>
      </x:c>
      <x:c r="Q138" s="36" t="str">
        <x:v>No ejecutar cierre sin evidencia.</x:v>
      </x:c>
    </x:row>
    <x:row r="139">
      <x:c r="A139" s="27" t="str">
        <x:v>TA-ENV-001</x:v>
      </x:c>
      <x:c r="B139" s="27" t="str">
        <x:v>R-ENV-001</x:v>
      </x:c>
      <x:c r="C139" s="36" t="str">
        <x:v>Hardware, Facilities &amp; Environment</x:v>
      </x:c>
      <x:c r="D139" s="36" t="str">
        <x:v>Reducir riesgo: Disco de estación falla</x:v>
      </x:c>
      <x:c r="E139" s="36" t="str">
        <x:v>Mantener equipo alternativo, copias externas y procedimiento de rebuild.</x:v>
      </x:c>
      <x:c r="F139" s="36" t="str">
        <x:v>Project Owner / IT</x:v>
      </x:c>
      <x:c r="G139" s="36" t="str">
        <x:v>Production</x:v>
      </x:c>
      <x:c r="H139" s="36" t="str">
        <x:v>P1</x:v>
      </x:c>
      <x:c r="I139" s="36" t="str">
        <x:v>OPEN</x:v>
      </x:c>
      <x:c r="J139" s="46" t="str">
        <x:v>2026-07-01</x:v>
      </x:c>
      <x:c r="K139" s="46" t="str">
        <x:v>2026-07-08</x:v>
      </x:c>
      <x:c r="L139" s="46" t="str"/>
      <x:c r="M139" s="36" t="str">
        <x:v>Control verificable y evidencia ligada a R-ENV-001.</x:v>
      </x:c>
      <x:c r="N139" s="36" t="str">
        <x:v>10, 11, 25, 27, 30, 31, 34; Environment records, setup guides, handoffs y build records</x:v>
      </x:c>
      <x:c r="O139" s="36" t="str">
        <x:v>No iniciada</x:v>
      </x:c>
      <x:c r="P139" s="47" t="n">
        <x:v>0</x:v>
      </x:c>
      <x:c r="Q139" s="36" t="str">
        <x:v>No ejecutar cierre sin evidencia.</x:v>
      </x:c>
    </x:row>
    <x:row r="140">
      <x:c r="A140" s="27" t="str">
        <x:v>TA-ENV-002</x:v>
      </x:c>
      <x:c r="B140" s="27" t="str">
        <x:v>R-ENV-002</x:v>
      </x:c>
      <x:c r="C140" s="36" t="str">
        <x:v>Hardware, Facilities &amp; Environment</x:v>
      </x:c>
      <x:c r="D140" s="36" t="str">
        <x:v>Reducir riesgo: Equipo es robado</x:v>
      </x:c>
      <x:c r="E140" s="36" t="str">
        <x:v>Mantener equipo alternativo, copias externas y procedimiento de rebuild.</x:v>
      </x:c>
      <x:c r="F140" s="36" t="str">
        <x:v>Project Owner / IT</x:v>
      </x:c>
      <x:c r="G140" s="36" t="str">
        <x:v>Production</x:v>
      </x:c>
      <x:c r="H140" s="36" t="str">
        <x:v>P2</x:v>
      </x:c>
      <x:c r="I140" s="36" t="str">
        <x:v>OPEN</x:v>
      </x:c>
      <x:c r="J140" s="46" t="str">
        <x:v>2026-07-01</x:v>
      </x:c>
      <x:c r="K140" s="46" t="str">
        <x:v>2026-07-08</x:v>
      </x:c>
      <x:c r="L140" s="46" t="str"/>
      <x:c r="M140" s="36" t="str">
        <x:v>Control verificable y evidencia ligada a R-ENV-002.</x:v>
      </x:c>
      <x:c r="N140" s="36" t="str">
        <x:v>10, 11, 25, 27, 30, 31, 34; Environment records, setup guides, handoffs y build records</x:v>
      </x:c>
      <x:c r="O140" s="36" t="str">
        <x:v>No iniciada</x:v>
      </x:c>
      <x:c r="P140" s="47" t="n">
        <x:v>0</x:v>
      </x:c>
      <x:c r="Q140" s="36" t="str">
        <x:v>No ejecutar cierre sin evidencia.</x:v>
      </x:c>
    </x:row>
    <x:row r="141">
      <x:c r="A141" s="27" t="str">
        <x:v>TA-ENV-003</x:v>
      </x:c>
      <x:c r="B141" s="27" t="str">
        <x:v>R-ENV-003</x:v>
      </x:c>
      <x:c r="C141" s="36" t="str">
        <x:v>Hardware, Facilities &amp; Environment</x:v>
      </x:c>
      <x:c r="D141" s="36" t="str">
        <x:v>Reducir riesgo: Corte/sobretensión interrumpe escritura o daña equipo</x:v>
      </x:c>
      <x:c r="E141" s="36" t="str">
        <x:v>Mantener equipo alternativo, copias externas y procedimiento de rebuild.</x:v>
      </x:c>
      <x:c r="F141" s="36" t="str">
        <x:v>Project Owner / IT</x:v>
      </x:c>
      <x:c r="G141" s="36" t="str">
        <x:v>Production</x:v>
      </x:c>
      <x:c r="H141" s="36" t="str">
        <x:v>P1</x:v>
      </x:c>
      <x:c r="I141" s="36" t="str">
        <x:v>OPEN</x:v>
      </x:c>
      <x:c r="J141" s="46" t="str">
        <x:v>2026-07-01</x:v>
      </x:c>
      <x:c r="K141" s="46" t="str">
        <x:v>2026-07-08</x:v>
      </x:c>
      <x:c r="L141" s="46" t="str"/>
      <x:c r="M141" s="36" t="str">
        <x:v>Control verificable y evidencia ligada a R-ENV-003.</x:v>
      </x:c>
      <x:c r="N141" s="36" t="str">
        <x:v>10, 11, 25, 27, 30, 31, 34; Environment records, setup guides, handoffs y build records</x:v>
      </x:c>
      <x:c r="O141" s="36" t="str">
        <x:v>No iniciada</x:v>
      </x:c>
      <x:c r="P141" s="47" t="n">
        <x:v>0</x:v>
      </x:c>
      <x:c r="Q141" s="36" t="str">
        <x:v>No ejecutar cierre sin evidencia.</x:v>
      </x:c>
    </x:row>
    <x:row r="142">
      <x:c r="A142" s="27" t="str">
        <x:v>TA-ENV-004</x:v>
      </x:c>
      <x:c r="B142" s="27" t="str">
        <x:v>R-ENV-004</x:v>
      </x:c>
      <x:c r="C142" s="36" t="str">
        <x:v>Hardware, Facilities &amp; Environment</x:v>
      </x:c>
      <x:c r="D142" s="36" t="str">
        <x:v>Reducir riesgo: Ubicación principal queda inaccesible</x:v>
      </x:c>
      <x:c r="E142" s="36" t="str">
        <x:v>Mantener equipo alternativo, copias externas y procedimiento de rebuild.</x:v>
      </x:c>
      <x:c r="F142" s="36" t="str">
        <x:v>Project Owner / IT</x:v>
      </x:c>
      <x:c r="G142" s="36" t="str">
        <x:v>Production</x:v>
      </x:c>
      <x:c r="H142" s="36" t="str">
        <x:v>P2</x:v>
      </x:c>
      <x:c r="I142" s="36" t="str">
        <x:v>OPEN</x:v>
      </x:c>
      <x:c r="J142" s="46" t="str">
        <x:v>2026-07-01</x:v>
      </x:c>
      <x:c r="K142" s="46" t="str">
        <x:v>2026-07-08</x:v>
      </x:c>
      <x:c r="L142" s="46" t="str"/>
      <x:c r="M142" s="36" t="str">
        <x:v>Control verificable y evidencia ligada a R-ENV-004.</x:v>
      </x:c>
      <x:c r="N142" s="36" t="str">
        <x:v>10, 11, 25, 27, 30, 31, 34; Environment records, setup guides, handoffs y build records</x:v>
      </x:c>
      <x:c r="O142" s="36" t="str">
        <x:v>No iniciada</x:v>
      </x:c>
      <x:c r="P142" s="47" t="n">
        <x:v>0</x:v>
      </x:c>
      <x:c r="Q142" s="36" t="str">
        <x:v>No ejecutar cierre sin evidencia.</x:v>
      </x:c>
    </x:row>
    <x:row r="143">
      <x:c r="A143" s="27" t="str">
        <x:v>TA-ENV-005</x:v>
      </x:c>
      <x:c r="B143" s="27" t="str">
        <x:v>R-ENV-005</x:v>
      </x:c>
      <x:c r="C143" s="36" t="str">
        <x:v>Hardware, Facilities &amp; Environment</x:v>
      </x:c>
      <x:c r="D143" s="36" t="str">
        <x:v>Reducir riesgo: Conectividad impide servicios remotos</x:v>
      </x:c>
      <x:c r="E143" s="36" t="str">
        <x:v>Mantener equipo alternativo, copias externas y procedimiento de rebuild.</x:v>
      </x:c>
      <x:c r="F143" s="36" t="str">
        <x:v>Project Owner / IT</x:v>
      </x:c>
      <x:c r="G143" s="36" t="str">
        <x:v>Production</x:v>
      </x:c>
      <x:c r="H143" s="36" t="str">
        <x:v>P1</x:v>
      </x:c>
      <x:c r="I143" s="36" t="str">
        <x:v>OPEN</x:v>
      </x:c>
      <x:c r="J143" s="46" t="str">
        <x:v>2026-07-01</x:v>
      </x:c>
      <x:c r="K143" s="46" t="str">
        <x:v>2026-07-08</x:v>
      </x:c>
      <x:c r="L143" s="46" t="str"/>
      <x:c r="M143" s="36" t="str">
        <x:v>Control verificable y evidencia ligada a R-ENV-005.</x:v>
      </x:c>
      <x:c r="N143" s="36" t="str">
        <x:v>10, 11, 25, 27, 30, 31, 34; Environment records, setup guides, handoffs y build records</x:v>
      </x:c>
      <x:c r="O143" s="36" t="str">
        <x:v>No iniciada</x:v>
      </x:c>
      <x:c r="P143" s="47" t="n">
        <x:v>0</x:v>
      </x:c>
      <x:c r="Q143" s="36" t="str">
        <x:v>No ejecutar cierre sin evidencia.</x:v>
      </x:c>
    </x:row>
    <x:row r="144">
      <x:c r="A144" s="27" t="str">
        <x:v>TA-ENV-006</x:v>
      </x:c>
      <x:c r="B144" s="27" t="str">
        <x:v>R-ENV-006</x:v>
      </x:c>
      <x:c r="C144" s="36" t="str">
        <x:v>Hardware, Facilities &amp; Environment</x:v>
      </x:c>
      <x:c r="D144" s="36" t="str">
        <x:v>Reducir riesgo: Equipo se degrada/crashea bajo carga</x:v>
      </x:c>
      <x:c r="E144" s="36" t="str">
        <x:v>Mantener equipo alternativo, copias externas y procedimiento de rebuild.</x:v>
      </x:c>
      <x:c r="F144" s="36" t="str">
        <x:v>Project Owner / IT</x:v>
      </x:c>
      <x:c r="G144" s="36" t="str">
        <x:v>Production</x:v>
      </x:c>
      <x:c r="H144" s="36" t="str">
        <x:v>P1</x:v>
      </x:c>
      <x:c r="I144" s="36" t="str">
        <x:v>OPEN</x:v>
      </x:c>
      <x:c r="J144" s="46" t="str">
        <x:v>2026-07-01</x:v>
      </x:c>
      <x:c r="K144" s="46" t="str">
        <x:v>2026-07-31</x:v>
      </x:c>
      <x:c r="L144" s="46" t="str"/>
      <x:c r="M144" s="36" t="str">
        <x:v>Control verificable y evidencia ligada a R-ENV-006.</x:v>
      </x:c>
      <x:c r="N144" s="36" t="str">
        <x:v>10, 11, 25, 27, 30, 31, 34; Environment records, setup guides, handoffs y build records</x:v>
      </x:c>
      <x:c r="O144" s="36" t="str">
        <x:v>No iniciada</x:v>
      </x:c>
      <x:c r="P144" s="47" t="n">
        <x:v>0</x:v>
      </x:c>
      <x:c r="Q144" s="36" t="str">
        <x:v>No ejecutar cierre sin evidencia.</x:v>
      </x:c>
    </x:row>
    <x:row r="145">
      <x:c r="A145" s="27" t="str">
        <x:v>TA-ENV-007</x:v>
      </x:c>
      <x:c r="B145" s="27" t="str">
        <x:v>R-ENV-007</x:v>
      </x:c>
      <x:c r="C145" s="36" t="str">
        <x:v>Hardware, Facilities &amp; Environment</x:v>
      </x:c>
      <x:c r="D145" s="36" t="str">
        <x:v>Reducir riesgo: Hardware alternativo tarda demasiado</x:v>
      </x:c>
      <x:c r="E145" s="36" t="str">
        <x:v>Mantener equipo alternativo, copias externas y procedimiento de rebuild.</x:v>
      </x:c>
      <x:c r="F145" s="36" t="str">
        <x:v>Project Owner / IT</x:v>
      </x:c>
      <x:c r="G145" s="36" t="str">
        <x:v>Production</x:v>
      </x:c>
      <x:c r="H145" s="36" t="str">
        <x:v>P1</x:v>
      </x:c>
      <x:c r="I145" s="36" t="str">
        <x:v>OPEN</x:v>
      </x:c>
      <x:c r="J145" s="46" t="str">
        <x:v>2026-07-01</x:v>
      </x:c>
      <x:c r="K145" s="46" t="str">
        <x:v>2026-07-31</x:v>
      </x:c>
      <x:c r="L145" s="46" t="str"/>
      <x:c r="M145" s="36" t="str">
        <x:v>Control verificable y evidencia ligada a R-ENV-007.</x:v>
      </x:c>
      <x:c r="N145" s="36" t="str">
        <x:v>10, 11, 25, 27, 30, 31, 34; Environment records, setup guides, handoffs y build records</x:v>
      </x:c>
      <x:c r="O145" s="36" t="str">
        <x:v>No iniciada</x:v>
      </x:c>
      <x:c r="P145" s="47" t="n">
        <x:v>0</x:v>
      </x:c>
      <x:c r="Q145" s="36" t="str">
        <x:v>No ejecutar cierre sin evidencia.</x:v>
      </x:c>
    </x:row>
    <x:row r="146">
      <x:c r="A146" s="27" t="str">
        <x:v>TA-ENV-008</x:v>
      </x:c>
      <x:c r="B146" s="27" t="str">
        <x:v>R-ENV-008</x:v>
      </x:c>
      <x:c r="C146" s="36" t="str">
        <x:v>Hardware, Facilities &amp; Environment</x:v>
      </x:c>
      <x:c r="D146" s="36" t="str">
        <x:v>Reducir riesgo: Owner no puede acceder al entorno físico</x:v>
      </x:c>
      <x:c r="E146" s="36" t="str">
        <x:v>Mantener equipo alternativo, copias externas y procedimiento de rebuild.</x:v>
      </x:c>
      <x:c r="F146" s="36" t="str">
        <x:v>Project Owner / IT</x:v>
      </x:c>
      <x:c r="G146" s="36" t="str">
        <x:v>Production</x:v>
      </x:c>
      <x:c r="H146" s="36" t="str">
        <x:v>P2</x:v>
      </x:c>
      <x:c r="I146" s="36" t="str">
        <x:v>OPEN</x:v>
      </x:c>
      <x:c r="J146" s="46" t="str">
        <x:v>2026-07-01</x:v>
      </x:c>
      <x:c r="K146" s="46" t="str">
        <x:v>2026-07-08</x:v>
      </x:c>
      <x:c r="L146" s="46" t="str"/>
      <x:c r="M146" s="36" t="str">
        <x:v>Control verificable y evidencia ligada a R-ENV-008.</x:v>
      </x:c>
      <x:c r="N146" s="36" t="str">
        <x:v>10, 11, 25, 27, 30, 31, 34; Environment records, setup guides, handoffs y build records</x:v>
      </x:c>
      <x:c r="O146" s="36" t="str">
        <x:v>No iniciada</x:v>
      </x:c>
      <x:c r="P146" s="47" t="n">
        <x:v>0</x:v>
      </x:c>
      <x:c r="Q146" s="36" t="str">
        <x:v>No ejecutar cierre sin evidencia.</x:v>
      </x:c>
    </x:row>
    <x:row r="147">
      <x:c r="A147" s="27" t="str">
        <x:v>TA-DOC-001</x:v>
      </x:c>
      <x:c r="B147" s="27" t="str">
        <x:v>R-DOC-001</x:v>
      </x:c>
      <x:c r="C147" s="36" t="str">
        <x:v>Documentation &amp; Knowledge</x:v>
      </x:c>
      <x:c r="D147" s="36" t="str">
        <x:v>Reducir riesgo: Documentos 12–16/34 o referencias quedan sin cerrar</x:v>
      </x:c>
      <x:c r="E147" s="36" t="str">
        <x:v>Regenerar documentos afectados, preservar historia y cerrar referencias.</x:v>
      </x:c>
      <x:c r="F147" s="36" t="str">
        <x:v>Documentation / Production</x:v>
      </x:c>
      <x:c r="G147" s="36" t="str">
        <x:v>Project Owner</x:v>
      </x:c>
      <x:c r="H147" s="36" t="str">
        <x:v>P0</x:v>
      </x:c>
      <x:c r="I147" s="36" t="str">
        <x:v>OPEN</x:v>
      </x:c>
      <x:c r="J147" s="46" t="str">
        <x:v>2026-07-01</x:v>
      </x:c>
      <x:c r="K147" s="46" t="str">
        <x:v>2026-07-08</x:v>
      </x:c>
      <x:c r="L147" s="46" t="str"/>
      <x:c r="M147" s="36" t="str">
        <x:v>Control verificable y evidencia ligada a R-DOC-001.</x:v>
      </x:c>
      <x:c r="N147" s="36" t="str">
        <x:v>12, 13, 14, 15, 16, 31, 32, 33, 34, 33, 34; Baselines v0.3–v0.6, README, manifests, checksums, ADR y handoffs</x:v>
      </x:c>
      <x:c r="O147" s="36" t="str">
        <x:v>No iniciada</x:v>
      </x:c>
      <x:c r="P147" s="47" t="n">
        <x:v>0</x:v>
      </x:c>
      <x:c r="Q147" s="36" t="str">
        <x:v>No ejecutar cierre sin evidencia.</x:v>
      </x:c>
    </x:row>
    <x:row r="148">
      <x:c r="A148" s="27" t="str">
        <x:v>TA-DOC-002</x:v>
      </x:c>
      <x:c r="B148" s="27" t="str">
        <x:v>R-DOC-002</x:v>
      </x:c>
      <x:c r="C148" s="36" t="str">
        <x:v>Documentation &amp; Knowledge</x:v>
      </x:c>
      <x:c r="D148" s="36" t="str">
        <x:v>Reducir riesgo: Archivo no coincide con checksum publicado</x:v>
      </x:c>
      <x:c r="E148" s="36" t="str">
        <x:v>Regenerar documentos afectados, preservar historia y cerrar referencias.</x:v>
      </x:c>
      <x:c r="F148" s="36" t="str">
        <x:v>Documentation / Production</x:v>
      </x:c>
      <x:c r="G148" s="36" t="str">
        <x:v>Project Owner</x:v>
      </x:c>
      <x:c r="H148" s="36" t="str">
        <x:v>P1</x:v>
      </x:c>
      <x:c r="I148" s="36" t="str">
        <x:v>OPEN</x:v>
      </x:c>
      <x:c r="J148" s="46" t="str">
        <x:v>2026-07-01</x:v>
      </x:c>
      <x:c r="K148" s="46" t="str">
        <x:v>2026-07-08</x:v>
      </x:c>
      <x:c r="L148" s="46" t="str"/>
      <x:c r="M148" s="36" t="str">
        <x:v>Control verificable y evidencia ligada a R-DOC-002.</x:v>
      </x:c>
      <x:c r="N148" s="36" t="str">
        <x:v>12, 13, 14, 15, 16, 31, 32, 33, 34, 33, 34; Baselines v0.3–v0.6, README, manifests, checksums, ADR y handoffs</x:v>
      </x:c>
      <x:c r="O148" s="36" t="str">
        <x:v>No iniciada</x:v>
      </x:c>
      <x:c r="P148" s="47" t="n">
        <x:v>0</x:v>
      </x:c>
      <x:c r="Q148" s="36" t="str">
        <x:v>No ejecutar cierre sin evidencia.</x:v>
      </x:c>
    </x:row>
    <x:row r="149">
      <x:c r="A149" s="27" t="str">
        <x:v>TA-DOC-003</x:v>
      </x:c>
      <x:c r="B149" s="27" t="str">
        <x:v>R-DOC-003</x:v>
      </x:c>
      <x:c r="C149" s="36" t="str">
        <x:v>Documentation &amp; Knowledge</x:v>
      </x:c>
      <x:c r="D149" s="36" t="str">
        <x:v>Reducir riesgo: Baseline antigua o evidencia se borra por consolidación</x:v>
      </x:c>
      <x:c r="E149" s="36" t="str">
        <x:v>Regenerar documentos afectados, preservar historia y cerrar referencias.</x:v>
      </x:c>
      <x:c r="F149" s="36" t="str">
        <x:v>Documentation / Production</x:v>
      </x:c>
      <x:c r="G149" s="36" t="str">
        <x:v>Project Owner</x:v>
      </x:c>
      <x:c r="H149" s="36" t="str">
        <x:v>P2</x:v>
      </x:c>
      <x:c r="I149" s="36" t="str">
        <x:v>OPEN</x:v>
      </x:c>
      <x:c r="J149" s="46" t="str">
        <x:v>2026-07-01</x:v>
      </x:c>
      <x:c r="K149" s="46" t="str">
        <x:v>2026-07-08</x:v>
      </x:c>
      <x:c r="L149" s="46" t="str"/>
      <x:c r="M149" s="36" t="str">
        <x:v>Control verificable y evidencia ligada a R-DOC-003.</x:v>
      </x:c>
      <x:c r="N149" s="36" t="str">
        <x:v>12, 13, 14, 15, 16, 31, 32, 33, 34, 33, 34; Baselines v0.3–v0.6, README, manifests, checksums, ADR y handoffs</x:v>
      </x:c>
      <x:c r="O149" s="36" t="str">
        <x:v>No iniciada</x:v>
      </x:c>
      <x:c r="P149" s="47" t="n">
        <x:v>0</x:v>
      </x:c>
      <x:c r="Q149" s="36" t="str">
        <x:v>No ejecutar cierre sin evidencia.</x:v>
      </x:c>
    </x:row>
    <x:row r="150">
      <x:c r="A150" s="27" t="str">
        <x:v>TA-DOC-004</x:v>
      </x:c>
      <x:c r="B150" s="27" t="str">
        <x:v>R-DOC-004</x:v>
      </x:c>
      <x:c r="C150" s="36" t="str">
        <x:v>Documentation &amp; Knowledge</x:v>
      </x:c>
      <x:c r="D150" s="36" t="str">
        <x:v>Reducir riesgo: Se intenta embebir hash del XLSX dentro de sí mismo</x:v>
      </x:c>
      <x:c r="E150" s="36" t="str">
        <x:v>Regenerar documentos afectados, preservar historia y cerrar referencias.</x:v>
      </x:c>
      <x:c r="F150" s="36" t="str">
        <x:v>Documentation / Production</x:v>
      </x:c>
      <x:c r="G150" s="36" t="str">
        <x:v>Project Owner</x:v>
      </x:c>
      <x:c r="H150" s="36" t="str">
        <x:v>P2</x:v>
      </x:c>
      <x:c r="I150" s="36" t="str">
        <x:v>OPEN</x:v>
      </x:c>
      <x:c r="J150" s="46" t="str">
        <x:v>2026-07-01</x:v>
      </x:c>
      <x:c r="K150" s="46" t="str">
        <x:v>2026-07-08</x:v>
      </x:c>
      <x:c r="L150" s="46" t="str"/>
      <x:c r="M150" s="36" t="str">
        <x:v>Control verificable y evidencia ligada a R-DOC-004.</x:v>
      </x:c>
      <x:c r="N150" s="36" t="str">
        <x:v>12, 13, 14, 15, 16, 31, 32, 33, 34, 33, 34; Baselines v0.3–v0.6, README, manifests, checksums, ADR y handoffs</x:v>
      </x:c>
      <x:c r="O150" s="36" t="str">
        <x:v>No iniciada</x:v>
      </x:c>
      <x:c r="P150" s="47" t="n">
        <x:v>0</x:v>
      </x:c>
      <x:c r="Q150" s="36" t="str">
        <x:v>No ejecutar cierre sin evidencia.</x:v>
      </x:c>
    </x:row>
    <x:row r="151">
      <x:c r="A151" s="27" t="str">
        <x:v>TA-DOC-005</x:v>
      </x:c>
      <x:c r="B151" s="27" t="str">
        <x:v>R-DOC-005</x:v>
      </x:c>
      <x:c r="C151" s="36" t="str">
        <x:v>Documentation &amp; Knowledge</x:v>
      </x:c>
      <x:c r="D151" s="36" t="str">
        <x:v>Reducir riesgo: Guía/Binder describe estado anterior</x:v>
      </x:c>
      <x:c r="E151" s="36" t="str">
        <x:v>Regenerar documentos afectados, preservar historia y cerrar referencias.</x:v>
      </x:c>
      <x:c r="F151" s="36" t="str">
        <x:v>Documentation / Production</x:v>
      </x:c>
      <x:c r="G151" s="36" t="str">
        <x:v>Project Owner</x:v>
      </x:c>
      <x:c r="H151" s="36" t="str">
        <x:v>P0</x:v>
      </x:c>
      <x:c r="I151" s="36" t="str">
        <x:v>OPEN</x:v>
      </x:c>
      <x:c r="J151" s="46" t="str">
        <x:v>2026-07-01</x:v>
      </x:c>
      <x:c r="K151" s="46" t="str">
        <x:v>2026-07-08</x:v>
      </x:c>
      <x:c r="L151" s="46" t="str"/>
      <x:c r="M151" s="36" t="str">
        <x:v>Control verificable y evidencia ligada a R-DOC-005.</x:v>
      </x:c>
      <x:c r="N151" s="36" t="str">
        <x:v>12, 13, 14, 15, 16, 31, 32, 33, 34, 33, 34; Baselines v0.3–v0.6, README, manifests, checksums, ADR y handoffs</x:v>
      </x:c>
      <x:c r="O151" s="36" t="str">
        <x:v>No iniciada</x:v>
      </x:c>
      <x:c r="P151" s="47" t="n">
        <x:v>0</x:v>
      </x:c>
      <x:c r="Q151" s="36" t="str">
        <x:v>No ejecutar cierre sin evidencia.</x:v>
      </x:c>
    </x:row>
    <x:row r="152">
      <x:c r="A152" s="27" t="str">
        <x:v>TA-DOC-006</x:v>
      </x:c>
      <x:c r="B152" s="27" t="str">
        <x:v>R-DOC-006</x:v>
      </x:c>
      <x:c r="C152" s="36" t="str">
        <x:v>Documentation &amp; Knowledge</x:v>
      </x:c>
      <x:c r="D152" s="36" t="str">
        <x:v>Reducir riesgo: Decisión esencial solo existe en conversación</x:v>
      </x:c>
      <x:c r="E152" s="36" t="str">
        <x:v>Regenerar documentos afectados, preservar historia y cerrar referencias.</x:v>
      </x:c>
      <x:c r="F152" s="36" t="str">
        <x:v>Documentation / Production</x:v>
      </x:c>
      <x:c r="G152" s="36" t="str">
        <x:v>Project Owner</x:v>
      </x:c>
      <x:c r="H152" s="36" t="str">
        <x:v>P0</x:v>
      </x:c>
      <x:c r="I152" s="36" t="str">
        <x:v>OPEN</x:v>
      </x:c>
      <x:c r="J152" s="46" t="str">
        <x:v>2026-07-01</x:v>
      </x:c>
      <x:c r="K152" s="46" t="str">
        <x:v>2026-07-08</x:v>
      </x:c>
      <x:c r="L152" s="46" t="str"/>
      <x:c r="M152" s="36" t="str">
        <x:v>Control verificable y evidencia ligada a R-DOC-006.</x:v>
      </x:c>
      <x:c r="N152" s="36" t="str">
        <x:v>12, 13, 14, 15, 16, 31, 32, 33, 34, 33, 34; Baselines v0.3–v0.6, README, manifests, checksums, ADR y handoffs</x:v>
      </x:c>
      <x:c r="O152" s="36" t="str">
        <x:v>No iniciada</x:v>
      </x:c>
      <x:c r="P152" s="47" t="n">
        <x:v>0</x:v>
      </x:c>
      <x:c r="Q152" s="36" t="str">
        <x:v>No ejecutar cierre sin evidencia.</x:v>
      </x:c>
    </x:row>
    <x:row r="153">
      <x:c r="A153" s="27" t="str">
        <x:v>TA-DOC-007</x:v>
      </x:c>
      <x:c r="B153" s="27" t="str">
        <x:v>R-DOC-007</x:v>
      </x:c>
      <x:c r="C153" s="36" t="str">
        <x:v>Documentation &amp; Knowledge</x:v>
      </x:c>
      <x:c r="D153" s="36" t="str">
        <x:v>Reducir riesgo: Nombres/rutas/versiones divergen entre documentos</x:v>
      </x:c>
      <x:c r="E153" s="36" t="str">
        <x:v>Regenerar documentos afectados, preservar historia y cerrar referencias.</x:v>
      </x:c>
      <x:c r="F153" s="36" t="str">
        <x:v>Documentation / Production</x:v>
      </x:c>
      <x:c r="G153" s="36" t="str">
        <x:v>Project Owner</x:v>
      </x:c>
      <x:c r="H153" s="36" t="str">
        <x:v>P1</x:v>
      </x:c>
      <x:c r="I153" s="36" t="str">
        <x:v>OPEN</x:v>
      </x:c>
      <x:c r="J153" s="46" t="str">
        <x:v>2026-07-01</x:v>
      </x:c>
      <x:c r="K153" s="46" t="str">
        <x:v>2026-07-31</x:v>
      </x:c>
      <x:c r="L153" s="46" t="str"/>
      <x:c r="M153" s="36" t="str">
        <x:v>Control verificable y evidencia ligada a R-DOC-007.</x:v>
      </x:c>
      <x:c r="N153" s="36" t="str">
        <x:v>12, 13, 14, 15, 16, 31, 32, 33, 34, 33, 34; Baselines v0.3–v0.6, README, manifests, checksums, ADR y handoffs</x:v>
      </x:c>
      <x:c r="O153" s="36" t="str">
        <x:v>No iniciada</x:v>
      </x:c>
      <x:c r="P153" s="47" t="n">
        <x:v>0</x:v>
      </x:c>
      <x:c r="Q153" s="36" t="str">
        <x:v>No ejecutar cierre sin evidencia.</x:v>
      </x:c>
    </x:row>
    <x:row r="154">
      <x:c r="A154" s="27" t="str">
        <x:v>TA-DOC-008</x:v>
      </x:c>
      <x:c r="B154" s="27" t="str">
        <x:v>R-DOC-008</x:v>
      </x:c>
      <x:c r="C154" s="36" t="str">
        <x:v>Documentation &amp; Knowledge</x:v>
      </x:c>
      <x:c r="D154" s="36" t="str">
        <x:v>Reducir riesgo: ZIP final no se restaura en entorno limpio</x:v>
      </x:c>
      <x:c r="E154" s="36" t="str">
        <x:v>Regenerar documentos afectados, preservar historia y cerrar referencias.</x:v>
      </x:c>
      <x:c r="F154" s="36" t="str">
        <x:v>Documentation / Production</x:v>
      </x:c>
      <x:c r="G154" s="36" t="str">
        <x:v>Project Owner</x:v>
      </x:c>
      <x:c r="H154" s="36" t="str">
        <x:v>P0</x:v>
      </x:c>
      <x:c r="I154" s="36" t="str">
        <x:v>OPEN</x:v>
      </x:c>
      <x:c r="J154" s="46" t="str">
        <x:v>2026-07-01</x:v>
      </x:c>
      <x:c r="K154" s="46" t="str">
        <x:v>2026-07-08</x:v>
      </x:c>
      <x:c r="L154" s="46" t="str"/>
      <x:c r="M154" s="36" t="str">
        <x:v>Control verificable y evidencia ligada a R-DOC-008.</x:v>
      </x:c>
      <x:c r="N154" s="36" t="str">
        <x:v>12, 13, 14, 15, 16, 31, 32, 33, 34, 33, 34; Baselines v0.3–v0.6, README, manifests, checksums, ADR y handoffs</x:v>
      </x:c>
      <x:c r="O154" s="36" t="str">
        <x:v>No iniciada</x:v>
      </x:c>
      <x:c r="P154" s="47" t="n">
        <x:v>0</x:v>
      </x:c>
      <x:c r="Q154" s="36" t="str">
        <x:v>No ejecutar cierre sin evidencia.</x:v>
      </x:c>
    </x:row>
    <x:row r="155">
      <x:c r="A155" s="27" t="str">
        <x:v>TA-BCP-001</x:v>
      </x:c>
      <x:c r="B155" s="27" t="str">
        <x:v>R-BCP-001</x:v>
      </x:c>
      <x:c r="C155" s="36" t="str">
        <x:v>Business Continuity</x:v>
      </x:c>
      <x:c r="D155" s="36" t="str">
        <x:v>Asegurar continuidad de Repository and Git history</x:v>
      </x:c>
      <x:c r="E155" s="36" t="str">
        <x:v>Documentar ubicación primaria/secundaria, cifrado, retención, RPO/RTO y ejecutar restore test de Repository and Git history.</x:v>
      </x:c>
      <x:c r="F155" s="36" t="str">
        <x:v>Engineering</x:v>
      </x:c>
      <x:c r="G155" s="36" t="str">
        <x:v>Project Owner</x:v>
      </x:c>
      <x:c r="H155" s="36" t="str">
        <x:v>P0</x:v>
      </x:c>
      <x:c r="I155" s="36" t="str">
        <x:v>OPEN</x:v>
      </x:c>
      <x:c r="J155" s="46" t="str">
        <x:v>2026-07-01</x:v>
      </x:c>
      <x:c r="K155" s="46" t="str">
        <x:v>2026-07-31</x:v>
      </x:c>
      <x:c r="L155" s="46" t="str"/>
      <x:c r="M155" s="36" t="str">
        <x:v>Restore verificado dentro de RPO 4h / RTO 24h con hash/log.</x:v>
      </x:c>
      <x:c r="N155" s="36" t="str">
        <x:v>25, 27, 31, 32, 33, 34; historical manifests/checksums</x:v>
      </x:c>
      <x:c r="O155" s="36" t="str">
        <x:v>No iniciada</x:v>
      </x:c>
      <x:c r="P155" s="47" t="n">
        <x:v>0</x:v>
      </x:c>
      <x:c r="Q155" s="36" t="str">
        <x:v>La existencia de una copia no equivale a recuperación probada.</x:v>
      </x:c>
    </x:row>
    <x:row r="156">
      <x:c r="A156" s="27" t="str">
        <x:v>TA-BCP-002</x:v>
      </x:c>
      <x:c r="B156" s="27" t="str">
        <x:v>R-BCP-002</x:v>
      </x:c>
      <x:c r="C156" s="36" t="str">
        <x:v>Business Continuity</x:v>
      </x:c>
      <x:c r="D156" s="36" t="str">
        <x:v>Asegurar continuidad de Repository and Git history</x:v>
      </x:c>
      <x:c r="E156" s="36" t="str">
        <x:v>Documentar ubicación primaria/secundaria, cifrado, retención, RPO/RTO y ejecutar restore test de Repository and Git history.</x:v>
      </x:c>
      <x:c r="F156" s="36" t="str">
        <x:v>Engineering</x:v>
      </x:c>
      <x:c r="G156" s="36" t="str">
        <x:v>Project Owner</x:v>
      </x:c>
      <x:c r="H156" s="36" t="str">
        <x:v>P1</x:v>
      </x:c>
      <x:c r="I156" s="36" t="str">
        <x:v>OPEN</x:v>
      </x:c>
      <x:c r="J156" s="46" t="str">
        <x:v>2026-07-01</x:v>
      </x:c>
      <x:c r="K156" s="46" t="str">
        <x:v>2026-07-31</x:v>
      </x:c>
      <x:c r="L156" s="46" t="str"/>
      <x:c r="M156" s="36" t="str">
        <x:v>Restore verificado dentro de RPO 4h / RTO 24h con hash/log.</x:v>
      </x:c>
      <x:c r="N156" s="36" t="str">
        <x:v>25, 27, 31, 32, 33, 34; historical manifests/checksums</x:v>
      </x:c>
      <x:c r="O156" s="36" t="str">
        <x:v>No iniciada</x:v>
      </x:c>
      <x:c r="P156" s="47" t="n">
        <x:v>0</x:v>
      </x:c>
      <x:c r="Q156" s="36" t="str">
        <x:v>La existencia de una copia no equivale a recuperación probada.</x:v>
      </x:c>
    </x:row>
    <x:row r="157">
      <x:c r="A157" s="27" t="str">
        <x:v>TA-BCP-003</x:v>
      </x:c>
      <x:c r="B157" s="27" t="str">
        <x:v>R-BCP-003</x:v>
      </x:c>
      <x:c r="C157" s="36" t="str">
        <x:v>Business Continuity</x:v>
      </x:c>
      <x:c r="D157" s="36" t="str">
        <x:v>Asegurar continuidad de Unity project and ProjectSettings</x:v>
      </x:c>
      <x:c r="E157" s="36" t="str">
        <x:v>Documentar ubicación primaria/secundaria, cifrado, retención, RPO/RTO y ejecutar restore test de Unity project and ProjectSettings.</x:v>
      </x:c>
      <x:c r="F157" s="36" t="str">
        <x:v>Engineering</x:v>
      </x:c>
      <x:c r="G157" s="36" t="str">
        <x:v>Project Owner</x:v>
      </x:c>
      <x:c r="H157" s="36" t="str">
        <x:v>P0</x:v>
      </x:c>
      <x:c r="I157" s="36" t="str">
        <x:v>OPEN</x:v>
      </x:c>
      <x:c r="J157" s="46" t="str">
        <x:v>2026-07-01</x:v>
      </x:c>
      <x:c r="K157" s="46" t="str">
        <x:v>2026-07-31</x:v>
      </x:c>
      <x:c r="L157" s="46" t="str"/>
      <x:c r="M157" s="36" t="str">
        <x:v>Restore verificado dentro de RPO 4h / RTO 24h con hash/log.</x:v>
      </x:c>
      <x:c r="N157" s="36" t="str">
        <x:v>25, 27, 31, 32, 33, 34; historical manifests/checksums</x:v>
      </x:c>
      <x:c r="O157" s="36" t="str">
        <x:v>No iniciada</x:v>
      </x:c>
      <x:c r="P157" s="47" t="n">
        <x:v>0</x:v>
      </x:c>
      <x:c r="Q157" s="36" t="str">
        <x:v>La existencia de una copia no equivale a recuperación probada.</x:v>
      </x:c>
    </x:row>
    <x:row r="158">
      <x:c r="A158" s="27" t="str">
        <x:v>TA-BCP-004</x:v>
      </x:c>
      <x:c r="B158" s="27" t="str">
        <x:v>R-BCP-004</x:v>
      </x:c>
      <x:c r="C158" s="36" t="str">
        <x:v>Business Continuity</x:v>
      </x:c>
      <x:c r="D158" s="36" t="str">
        <x:v>Asegurar continuidad de Unity project and ProjectSettings</x:v>
      </x:c>
      <x:c r="E158" s="36" t="str">
        <x:v>Documentar ubicación primaria/secundaria, cifrado, retención, RPO/RTO y ejecutar restore test de Unity project and ProjectSettings.</x:v>
      </x:c>
      <x:c r="F158" s="36" t="str">
        <x:v>Engineering</x:v>
      </x:c>
      <x:c r="G158" s="36" t="str">
        <x:v>Project Owner</x:v>
      </x:c>
      <x:c r="H158" s="36" t="str">
        <x:v>P1</x:v>
      </x:c>
      <x:c r="I158" s="36" t="str">
        <x:v>OPEN</x:v>
      </x:c>
      <x:c r="J158" s="46" t="str">
        <x:v>2026-07-01</x:v>
      </x:c>
      <x:c r="K158" s="46" t="str">
        <x:v>2026-07-31</x:v>
      </x:c>
      <x:c r="L158" s="46" t="str"/>
      <x:c r="M158" s="36" t="str">
        <x:v>Restore verificado dentro de RPO 4h / RTO 24h con hash/log.</x:v>
      </x:c>
      <x:c r="N158" s="36" t="str">
        <x:v>25, 27, 31, 32, 33, 34; historical manifests/checksums</x:v>
      </x:c>
      <x:c r="O158" s="36" t="str">
        <x:v>No iniciada</x:v>
      </x:c>
      <x:c r="P158" s="47" t="n">
        <x:v>0</x:v>
      </x:c>
      <x:c r="Q158" s="36" t="str">
        <x:v>La existencia de una copia no equivale a recuperación probada.</x:v>
      </x:c>
    </x:row>
    <x:row r="159">
      <x:c r="A159" s="27" t="str">
        <x:v>TA-BCP-005</x:v>
      </x:c>
      <x:c r="B159" s="27" t="str">
        <x:v>R-BCP-005</x:v>
      </x:c>
      <x:c r="C159" s="36" t="str">
        <x:v>Business Continuity</x:v>
      </x:c>
      <x:c r="D159" s="36" t="str">
        <x:v>Asegurar continuidad de Source art files</x:v>
      </x:c>
      <x:c r="E159" s="36" t="str">
        <x:v>Documentar ubicación primaria/secundaria, cifrado, retención, RPO/RTO y ejecutar restore test de Source art files.</x:v>
      </x:c>
      <x:c r="F159" s="36" t="str">
        <x:v>Art</x:v>
      </x:c>
      <x:c r="G159" s="36" t="str">
        <x:v>Project Owner</x:v>
      </x:c>
      <x:c r="H159" s="36" t="str">
        <x:v>P0</x:v>
      </x:c>
      <x:c r="I159" s="36" t="str">
        <x:v>OPEN</x:v>
      </x:c>
      <x:c r="J159" s="46" t="str">
        <x:v>2026-07-01</x:v>
      </x:c>
      <x:c r="K159" s="46" t="str">
        <x:v>2026-07-31</x:v>
      </x:c>
      <x:c r="L159" s="46" t="str"/>
      <x:c r="M159" s="36" t="str">
        <x:v>Restore verificado dentro de RPO 24h / RTO 72h con hash/log.</x:v>
      </x:c>
      <x:c r="N159" s="36" t="str">
        <x:v>25, 27, 31, 32, 33, 34; historical manifests/checksums</x:v>
      </x:c>
      <x:c r="O159" s="36" t="str">
        <x:v>No iniciada</x:v>
      </x:c>
      <x:c r="P159" s="47" t="n">
        <x:v>0</x:v>
      </x:c>
      <x:c r="Q159" s="36" t="str">
        <x:v>La existencia de una copia no equivale a recuperación probada.</x:v>
      </x:c>
    </x:row>
    <x:row r="160">
      <x:c r="A160" s="27" t="str">
        <x:v>TA-BCP-006</x:v>
      </x:c>
      <x:c r="B160" s="27" t="str">
        <x:v>R-BCP-006</x:v>
      </x:c>
      <x:c r="C160" s="36" t="str">
        <x:v>Business Continuity</x:v>
      </x:c>
      <x:c r="D160" s="36" t="str">
        <x:v>Asegurar continuidad de Source art files</x:v>
      </x:c>
      <x:c r="E160" s="36" t="str">
        <x:v>Documentar ubicación primaria/secundaria, cifrado, retención, RPO/RTO y ejecutar restore test de Source art files.</x:v>
      </x:c>
      <x:c r="F160" s="36" t="str">
        <x:v>Art</x:v>
      </x:c>
      <x:c r="G160" s="36" t="str">
        <x:v>Project Owner</x:v>
      </x:c>
      <x:c r="H160" s="36" t="str">
        <x:v>P1</x:v>
      </x:c>
      <x:c r="I160" s="36" t="str">
        <x:v>OPEN</x:v>
      </x:c>
      <x:c r="J160" s="46" t="str">
        <x:v>2026-07-01</x:v>
      </x:c>
      <x:c r="K160" s="46" t="str">
        <x:v>2026-07-31</x:v>
      </x:c>
      <x:c r="L160" s="46" t="str"/>
      <x:c r="M160" s="36" t="str">
        <x:v>Restore verificado dentro de RPO 24h / RTO 72h con hash/log.</x:v>
      </x:c>
      <x:c r="N160" s="36" t="str">
        <x:v>25, 27, 31, 32, 33, 34; historical manifests/checksums</x:v>
      </x:c>
      <x:c r="O160" s="36" t="str">
        <x:v>No iniciada</x:v>
      </x:c>
      <x:c r="P160" s="47" t="n">
        <x:v>0</x:v>
      </x:c>
      <x:c r="Q160" s="36" t="str">
        <x:v>La existencia de una copia no equivale a recuperación probada.</x:v>
      </x:c>
    </x:row>
    <x:row r="161">
      <x:c r="A161" s="27" t="str">
        <x:v>TA-BCP-007</x:v>
      </x:c>
      <x:c r="B161" s="27" t="str">
        <x:v>R-BCP-007</x:v>
      </x:c>
      <x:c r="C161" s="36" t="str">
        <x:v>Business Continuity</x:v>
      </x:c>
      <x:c r="D161" s="36" t="str">
        <x:v>Asegurar continuidad de Source audio files</x:v>
      </x:c>
      <x:c r="E161" s="36" t="str">
        <x:v>Documentar ubicación primaria/secundaria, cifrado, retención, RPO/RTO y ejecutar restore test de Source audio files.</x:v>
      </x:c>
      <x:c r="F161" s="36" t="str">
        <x:v>Audio</x:v>
      </x:c>
      <x:c r="G161" s="36" t="str">
        <x:v>Project Owner</x:v>
      </x:c>
      <x:c r="H161" s="36" t="str">
        <x:v>P0</x:v>
      </x:c>
      <x:c r="I161" s="36" t="str">
        <x:v>OPEN</x:v>
      </x:c>
      <x:c r="J161" s="46" t="str">
        <x:v>2026-07-01</x:v>
      </x:c>
      <x:c r="K161" s="46" t="str">
        <x:v>2026-07-31</x:v>
      </x:c>
      <x:c r="L161" s="46" t="str"/>
      <x:c r="M161" s="36" t="str">
        <x:v>Restore verificado dentro de RPO 24h / RTO 72h con hash/log.</x:v>
      </x:c>
      <x:c r="N161" s="36" t="str">
        <x:v>25, 27, 31, 32, 33, 34; historical manifests/checksums</x:v>
      </x:c>
      <x:c r="O161" s="36" t="str">
        <x:v>No iniciada</x:v>
      </x:c>
      <x:c r="P161" s="47" t="n">
        <x:v>0</x:v>
      </x:c>
      <x:c r="Q161" s="36" t="str">
        <x:v>La existencia de una copia no equivale a recuperación probada.</x:v>
      </x:c>
    </x:row>
    <x:row r="162">
      <x:c r="A162" s="27" t="str">
        <x:v>TA-BCP-008</x:v>
      </x:c>
      <x:c r="B162" s="27" t="str">
        <x:v>R-BCP-008</x:v>
      </x:c>
      <x:c r="C162" s="36" t="str">
        <x:v>Business Continuity</x:v>
      </x:c>
      <x:c r="D162" s="36" t="str">
        <x:v>Asegurar continuidad de Source audio files</x:v>
      </x:c>
      <x:c r="E162" s="36" t="str">
        <x:v>Documentar ubicación primaria/secundaria, cifrado, retención, RPO/RTO y ejecutar restore test de Source audio files.</x:v>
      </x:c>
      <x:c r="F162" s="36" t="str">
        <x:v>Audio</x:v>
      </x:c>
      <x:c r="G162" s="36" t="str">
        <x:v>Project Owner</x:v>
      </x:c>
      <x:c r="H162" s="36" t="str">
        <x:v>P1</x:v>
      </x:c>
      <x:c r="I162" s="36" t="str">
        <x:v>OPEN</x:v>
      </x:c>
      <x:c r="J162" s="46" t="str">
        <x:v>2026-07-01</x:v>
      </x:c>
      <x:c r="K162" s="46" t="str">
        <x:v>2026-07-31</x:v>
      </x:c>
      <x:c r="L162" s="46" t="str"/>
      <x:c r="M162" s="36" t="str">
        <x:v>Restore verificado dentro de RPO 24h / RTO 72h con hash/log.</x:v>
      </x:c>
      <x:c r="N162" s="36" t="str">
        <x:v>25, 27, 31, 32, 33, 34; historical manifests/checksums</x:v>
      </x:c>
      <x:c r="O162" s="36" t="str">
        <x:v>No iniciada</x:v>
      </x:c>
      <x:c r="P162" s="47" t="n">
        <x:v>0</x:v>
      </x:c>
      <x:c r="Q162" s="36" t="str">
        <x:v>La existencia de una copia no equivale a recuperación probada.</x:v>
      </x:c>
    </x:row>
    <x:row r="163">
      <x:c r="A163" s="27" t="str">
        <x:v>TA-BCP-009</x:v>
      </x:c>
      <x:c r="B163" s="27" t="str">
        <x:v>R-BCP-009</x:v>
      </x:c>
      <x:c r="C163" s="36" t="str">
        <x:v>Business Continuity</x:v>
      </x:c>
      <x:c r="D163" s="36" t="str">
        <x:v>Asegurar continuidad de Documentation baseline</x:v>
      </x:c>
      <x:c r="E163" s="36" t="str">
        <x:v>Documentar ubicación primaria/secundaria, cifrado, retención, RPO/RTO y ejecutar restore test de Documentation baseline.</x:v>
      </x:c>
      <x:c r="F163" s="36" t="str">
        <x:v>Documentation</x:v>
      </x:c>
      <x:c r="G163" s="36" t="str">
        <x:v>Project Owner</x:v>
      </x:c>
      <x:c r="H163" s="36" t="str">
        <x:v>P0</x:v>
      </x:c>
      <x:c r="I163" s="36" t="str">
        <x:v>OPEN</x:v>
      </x:c>
      <x:c r="J163" s="46" t="str">
        <x:v>2026-07-01</x:v>
      </x:c>
      <x:c r="K163" s="46" t="str">
        <x:v>2026-07-31</x:v>
      </x:c>
      <x:c r="L163" s="46" t="str"/>
      <x:c r="M163" s="36" t="str">
        <x:v>Restore verificado dentro de RPO 24h / RTO 24h con hash/log.</x:v>
      </x:c>
      <x:c r="N163" s="36" t="str">
        <x:v>25, 27, 31, 32, 33, 34; historical manifests/checksums</x:v>
      </x:c>
      <x:c r="O163" s="36" t="str">
        <x:v>No iniciada</x:v>
      </x:c>
      <x:c r="P163" s="47" t="n">
        <x:v>0</x:v>
      </x:c>
      <x:c r="Q163" s="36" t="str">
        <x:v>La existencia de una copia no equivale a recuperación probada.</x:v>
      </x:c>
    </x:row>
    <x:row r="164">
      <x:c r="A164" s="27" t="str">
        <x:v>TA-BCP-010</x:v>
      </x:c>
      <x:c r="B164" s="27" t="str">
        <x:v>R-BCP-010</x:v>
      </x:c>
      <x:c r="C164" s="36" t="str">
        <x:v>Business Continuity</x:v>
      </x:c>
      <x:c r="D164" s="36" t="str">
        <x:v>Asegurar continuidad de Documentation baseline</x:v>
      </x:c>
      <x:c r="E164" s="36" t="str">
        <x:v>Documentar ubicación primaria/secundaria, cifrado, retención, RPO/RTO y ejecutar restore test de Documentation baseline.</x:v>
      </x:c>
      <x:c r="F164" s="36" t="str">
        <x:v>Documentation</x:v>
      </x:c>
      <x:c r="G164" s="36" t="str">
        <x:v>Project Owner</x:v>
      </x:c>
      <x:c r="H164" s="36" t="str">
        <x:v>P1</x:v>
      </x:c>
      <x:c r="I164" s="36" t="str">
        <x:v>OPEN</x:v>
      </x:c>
      <x:c r="J164" s="46" t="str">
        <x:v>2026-07-01</x:v>
      </x:c>
      <x:c r="K164" s="46" t="str">
        <x:v>2026-07-31</x:v>
      </x:c>
      <x:c r="L164" s="46" t="str"/>
      <x:c r="M164" s="36" t="str">
        <x:v>Restore verificado dentro de RPO 24h / RTO 24h con hash/log.</x:v>
      </x:c>
      <x:c r="N164" s="36" t="str">
        <x:v>25, 27, 31, 32, 33, 34; historical manifests/checksums</x:v>
      </x:c>
      <x:c r="O164" s="36" t="str">
        <x:v>No iniciada</x:v>
      </x:c>
      <x:c r="P164" s="47" t="n">
        <x:v>0</x:v>
      </x:c>
      <x:c r="Q164" s="36" t="str">
        <x:v>La existencia de una copia no equivale a recuperación probada.</x:v>
      </x:c>
    </x:row>
    <x:row r="165">
      <x:c r="A165" s="27" t="str">
        <x:v>TA-BCP-011</x:v>
      </x:c>
      <x:c r="B165" s="27" t="str">
        <x:v>R-BCP-011</x:v>
      </x:c>
      <x:c r="C165" s="36" t="str">
        <x:v>Business Continuity</x:v>
      </x:c>
      <x:c r="D165" s="36" t="str">
        <x:v>Asegurar continuidad de Historical documentation</x:v>
      </x:c>
      <x:c r="E165" s="36" t="str">
        <x:v>Documentar ubicación primaria/secundaria, cifrado, retención, RPO/RTO y ejecutar restore test de Historical documentation.</x:v>
      </x:c>
      <x:c r="F165" s="36" t="str">
        <x:v>Documentation</x:v>
      </x:c>
      <x:c r="G165" s="36" t="str">
        <x:v>Project Owner</x:v>
      </x:c>
      <x:c r="H165" s="36" t="str">
        <x:v>P0</x:v>
      </x:c>
      <x:c r="I165" s="36" t="str">
        <x:v>OPEN</x:v>
      </x:c>
      <x:c r="J165" s="46" t="str">
        <x:v>2026-07-01</x:v>
      </x:c>
      <x:c r="K165" s="46" t="str">
        <x:v>2026-07-31</x:v>
      </x:c>
      <x:c r="L165" s="46" t="str"/>
      <x:c r="M165" s="36" t="str">
        <x:v>Restore verificado dentro de RPO 24h / RTO 72h con hash/log.</x:v>
      </x:c>
      <x:c r="N165" s="36" t="str">
        <x:v>25, 27, 31, 32, 33, 34; historical manifests/checksums</x:v>
      </x:c>
      <x:c r="O165" s="36" t="str">
        <x:v>No iniciada</x:v>
      </x:c>
      <x:c r="P165" s="47" t="n">
        <x:v>0</x:v>
      </x:c>
      <x:c r="Q165" s="36" t="str">
        <x:v>La existencia de una copia no equivale a recuperación probada.</x:v>
      </x:c>
    </x:row>
    <x:row r="166">
      <x:c r="A166" s="27" t="str">
        <x:v>TA-BCP-012</x:v>
      </x:c>
      <x:c r="B166" s="27" t="str">
        <x:v>R-BCP-012</x:v>
      </x:c>
      <x:c r="C166" s="36" t="str">
        <x:v>Business Continuity</x:v>
      </x:c>
      <x:c r="D166" s="36" t="str">
        <x:v>Asegurar continuidad de Historical documentation</x:v>
      </x:c>
      <x:c r="E166" s="36" t="str">
        <x:v>Documentar ubicación primaria/secundaria, cifrado, retención, RPO/RTO y ejecutar restore test de Historical documentation.</x:v>
      </x:c>
      <x:c r="F166" s="36" t="str">
        <x:v>Documentation</x:v>
      </x:c>
      <x:c r="G166" s="36" t="str">
        <x:v>Project Owner</x:v>
      </x:c>
      <x:c r="H166" s="36" t="str">
        <x:v>P1</x:v>
      </x:c>
      <x:c r="I166" s="36" t="str">
        <x:v>OPEN</x:v>
      </x:c>
      <x:c r="J166" s="46" t="str">
        <x:v>2026-07-01</x:v>
      </x:c>
      <x:c r="K166" s="46" t="str">
        <x:v>2026-07-31</x:v>
      </x:c>
      <x:c r="L166" s="46" t="str"/>
      <x:c r="M166" s="36" t="str">
        <x:v>Restore verificado dentro de RPO 24h / RTO 72h con hash/log.</x:v>
      </x:c>
      <x:c r="N166" s="36" t="str">
        <x:v>25, 27, 31, 32, 33, 34; historical manifests/checksums</x:v>
      </x:c>
      <x:c r="O166" s="36" t="str">
        <x:v>No iniciada</x:v>
      </x:c>
      <x:c r="P166" s="47" t="n">
        <x:v>0</x:v>
      </x:c>
      <x:c r="Q166" s="36" t="str">
        <x:v>La existencia de una copia no equivale a recuperación probada.</x:v>
      </x:c>
    </x:row>
    <x:row r="167">
      <x:c r="A167" s="27" t="str">
        <x:v>TA-BCP-013</x:v>
      </x:c>
      <x:c r="B167" s="27" t="str">
        <x:v>R-BCP-013</x:v>
      </x:c>
      <x:c r="C167" s="36" t="str">
        <x:v>Business Continuity</x:v>
      </x:c>
      <x:c r="D167" s="36" t="str">
        <x:v>Asegurar continuidad de Build artifacts</x:v>
      </x:c>
      <x:c r="E167" s="36" t="str">
        <x:v>Documentar ubicación primaria/secundaria, cifrado, retención, RPO/RTO y ejecutar restore test de Build artifacts.</x:v>
      </x:c>
      <x:c r="F167" s="36" t="str">
        <x:v>Build</x:v>
      </x:c>
      <x:c r="G167" s="36" t="str">
        <x:v>Project Owner</x:v>
      </x:c>
      <x:c r="H167" s="36" t="str">
        <x:v>P0</x:v>
      </x:c>
      <x:c r="I167" s="36" t="str">
        <x:v>OPEN</x:v>
      </x:c>
      <x:c r="J167" s="46" t="str">
        <x:v>2026-07-01</x:v>
      </x:c>
      <x:c r="K167" s="46" t="str">
        <x:v>2026-07-31</x:v>
      </x:c>
      <x:c r="L167" s="46" t="str"/>
      <x:c r="M167" s="36" t="str">
        <x:v>Restore verificado dentro de RPO per candidate / RTO 8h con hash/log.</x:v>
      </x:c>
      <x:c r="N167" s="36" t="str">
        <x:v>25, 27, 31, 32, 33, 34; historical manifests/checksums</x:v>
      </x:c>
      <x:c r="O167" s="36" t="str">
        <x:v>No iniciada</x:v>
      </x:c>
      <x:c r="P167" s="47" t="n">
        <x:v>0</x:v>
      </x:c>
      <x:c r="Q167" s="36" t="str">
        <x:v>La existencia de una copia no equivale a recuperación probada.</x:v>
      </x:c>
    </x:row>
    <x:row r="168">
      <x:c r="A168" s="27" t="str">
        <x:v>TA-BCP-014</x:v>
      </x:c>
      <x:c r="B168" s="27" t="str">
        <x:v>R-BCP-014</x:v>
      </x:c>
      <x:c r="C168" s="36" t="str">
        <x:v>Business Continuity</x:v>
      </x:c>
      <x:c r="D168" s="36" t="str">
        <x:v>Asegurar continuidad de Build artifacts</x:v>
      </x:c>
      <x:c r="E168" s="36" t="str">
        <x:v>Documentar ubicación primaria/secundaria, cifrado, retención, RPO/RTO y ejecutar restore test de Build artifacts.</x:v>
      </x:c>
      <x:c r="F168" s="36" t="str">
        <x:v>Build</x:v>
      </x:c>
      <x:c r="G168" s="36" t="str">
        <x:v>Project Owner</x:v>
      </x:c>
      <x:c r="H168" s="36" t="str">
        <x:v>P1</x:v>
      </x:c>
      <x:c r="I168" s="36" t="str">
        <x:v>OPEN</x:v>
      </x:c>
      <x:c r="J168" s="46" t="str">
        <x:v>2026-07-01</x:v>
      </x:c>
      <x:c r="K168" s="46" t="str">
        <x:v>2026-07-31</x:v>
      </x:c>
      <x:c r="L168" s="46" t="str"/>
      <x:c r="M168" s="36" t="str">
        <x:v>Restore verificado dentro de RPO per candidate / RTO 8h con hash/log.</x:v>
      </x:c>
      <x:c r="N168" s="36" t="str">
        <x:v>25, 27, 31, 32, 33, 34; historical manifests/checksums</x:v>
      </x:c>
      <x:c r="O168" s="36" t="str">
        <x:v>No iniciada</x:v>
      </x:c>
      <x:c r="P168" s="47" t="n">
        <x:v>0</x:v>
      </x:c>
      <x:c r="Q168" s="36" t="str">
        <x:v>La existencia de una copia no equivale a recuperación probada.</x:v>
      </x:c>
    </x:row>
    <x:row r="169">
      <x:c r="A169" s="27" t="str">
        <x:v>TA-BCP-015</x:v>
      </x:c>
      <x:c r="B169" s="27" t="str">
        <x:v>R-BCP-015</x:v>
      </x:c>
      <x:c r="C169" s="36" t="str">
        <x:v>Business Continuity</x:v>
      </x:c>
      <x:c r="D169" s="36" t="str">
        <x:v>Asegurar continuidad de Save/recovery test corpus</x:v>
      </x:c>
      <x:c r="E169" s="36" t="str">
        <x:v>Documentar ubicación primaria/secundaria, cifrado, retención, RPO/RTO y ejecutar restore test de Save/recovery test corpus.</x:v>
      </x:c>
      <x:c r="F169" s="36" t="str">
        <x:v>QA/Data</x:v>
      </x:c>
      <x:c r="G169" s="36" t="str">
        <x:v>Project Owner</x:v>
      </x:c>
      <x:c r="H169" s="36" t="str">
        <x:v>P0</x:v>
      </x:c>
      <x:c r="I169" s="36" t="str">
        <x:v>OPEN</x:v>
      </x:c>
      <x:c r="J169" s="46" t="str">
        <x:v>2026-07-01</x:v>
      </x:c>
      <x:c r="K169" s="46" t="str">
        <x:v>2026-07-31</x:v>
      </x:c>
      <x:c r="L169" s="46" t="str"/>
      <x:c r="M169" s="36" t="str">
        <x:v>Restore verificado dentro de RPO per release / RTO 8h con hash/log.</x:v>
      </x:c>
      <x:c r="N169" s="36" t="str">
        <x:v>25, 27, 31, 32, 33, 34; historical manifests/checksums</x:v>
      </x:c>
      <x:c r="O169" s="36" t="str">
        <x:v>No iniciada</x:v>
      </x:c>
      <x:c r="P169" s="47" t="n">
        <x:v>0</x:v>
      </x:c>
      <x:c r="Q169" s="36" t="str">
        <x:v>La existencia de una copia no equivale a recuperación probada.</x:v>
      </x:c>
    </x:row>
    <x:row r="170">
      <x:c r="A170" s="27" t="str">
        <x:v>TA-BCP-016</x:v>
      </x:c>
      <x:c r="B170" s="27" t="str">
        <x:v>R-BCP-016</x:v>
      </x:c>
      <x:c r="C170" s="36" t="str">
        <x:v>Business Continuity</x:v>
      </x:c>
      <x:c r="D170" s="36" t="str">
        <x:v>Asegurar continuidad de Save/recovery test corpus</x:v>
      </x:c>
      <x:c r="E170" s="36" t="str">
        <x:v>Documentar ubicación primaria/secundaria, cifrado, retención, RPO/RTO y ejecutar restore test de Save/recovery test corpus.</x:v>
      </x:c>
      <x:c r="F170" s="36" t="str">
        <x:v>QA/Data</x:v>
      </x:c>
      <x:c r="G170" s="36" t="str">
        <x:v>Project Owner</x:v>
      </x:c>
      <x:c r="H170" s="36" t="str">
        <x:v>P1</x:v>
      </x:c>
      <x:c r="I170" s="36" t="str">
        <x:v>OPEN</x:v>
      </x:c>
      <x:c r="J170" s="46" t="str">
        <x:v>2026-07-01</x:v>
      </x:c>
      <x:c r="K170" s="46" t="str">
        <x:v>2026-07-31</x:v>
      </x:c>
      <x:c r="L170" s="46" t="str"/>
      <x:c r="M170" s="36" t="str">
        <x:v>Restore verificado dentro de RPO per release / RTO 8h con hash/log.</x:v>
      </x:c>
      <x:c r="N170" s="36" t="str">
        <x:v>25, 27, 31, 32, 33, 34; historical manifests/checksums</x:v>
      </x:c>
      <x:c r="O170" s="36" t="str">
        <x:v>No iniciada</x:v>
      </x:c>
      <x:c r="P170" s="47" t="n">
        <x:v>0</x:v>
      </x:c>
      <x:c r="Q170" s="36" t="str">
        <x:v>La existencia de una copia no equivale a recuperación probada.</x:v>
      </x:c>
    </x:row>
    <x:row r="171">
      <x:c r="A171" s="27" t="str">
        <x:v>TA-BCP-017</x:v>
      </x:c>
      <x:c r="B171" s="27" t="str">
        <x:v>R-BCP-017</x:v>
      </x:c>
      <x:c r="C171" s="36" t="str">
        <x:v>Business Continuity</x:v>
      </x:c>
      <x:c r="D171" s="36" t="str">
        <x:v>Asegurar continuidad de Steamworks configuration</x:v>
      </x:c>
      <x:c r="E171" s="36" t="str">
        <x:v>Documentar ubicación primaria/secundaria, cifrado, retención, RPO/RTO y ejecutar restore test de Steamworks configuration.</x:v>
      </x:c>
      <x:c r="F171" s="36" t="str">
        <x:v>Publishing</x:v>
      </x:c>
      <x:c r="G171" s="36" t="str">
        <x:v>Project Owner</x:v>
      </x:c>
      <x:c r="H171" s="36" t="str">
        <x:v>P0</x:v>
      </x:c>
      <x:c r="I171" s="36" t="str">
        <x:v>OPEN</x:v>
      </x:c>
      <x:c r="J171" s="46" t="str">
        <x:v>2026-07-01</x:v>
      </x:c>
      <x:c r="K171" s="46" t="str">
        <x:v>2026-07-31</x:v>
      </x:c>
      <x:c r="L171" s="46" t="str"/>
      <x:c r="M171" s="36" t="str">
        <x:v>Restore verificado dentro de RPO 24h / RTO 24h con hash/log.</x:v>
      </x:c>
      <x:c r="N171" s="36" t="str">
        <x:v>25, 27, 31, 32, 33, 34; historical manifests/checksums</x:v>
      </x:c>
      <x:c r="O171" s="36" t="str">
        <x:v>No iniciada</x:v>
      </x:c>
      <x:c r="P171" s="47" t="n">
        <x:v>0</x:v>
      </x:c>
      <x:c r="Q171" s="36" t="str">
        <x:v>La existencia de una copia no equivale a recuperación probada.</x:v>
      </x:c>
    </x:row>
    <x:row r="172">
      <x:c r="A172" s="27" t="str">
        <x:v>TA-BCP-018</x:v>
      </x:c>
      <x:c r="B172" s="27" t="str">
        <x:v>R-BCP-018</x:v>
      </x:c>
      <x:c r="C172" s="36" t="str">
        <x:v>Business Continuity</x:v>
      </x:c>
      <x:c r="D172" s="36" t="str">
        <x:v>Asegurar continuidad de Steamworks configuration</x:v>
      </x:c>
      <x:c r="E172" s="36" t="str">
        <x:v>Documentar ubicación primaria/secundaria, cifrado, retención, RPO/RTO y ejecutar restore test de Steamworks configuration.</x:v>
      </x:c>
      <x:c r="F172" s="36" t="str">
        <x:v>Publishing</x:v>
      </x:c>
      <x:c r="G172" s="36" t="str">
        <x:v>Project Owner</x:v>
      </x:c>
      <x:c r="H172" s="36" t="str">
        <x:v>P1</x:v>
      </x:c>
      <x:c r="I172" s="36" t="str">
        <x:v>OPEN</x:v>
      </x:c>
      <x:c r="J172" s="46" t="str">
        <x:v>2026-07-01</x:v>
      </x:c>
      <x:c r="K172" s="46" t="str">
        <x:v>2026-07-31</x:v>
      </x:c>
      <x:c r="L172" s="46" t="str"/>
      <x:c r="M172" s="36" t="str">
        <x:v>Restore verificado dentro de RPO 24h / RTO 24h con hash/log.</x:v>
      </x:c>
      <x:c r="N172" s="36" t="str">
        <x:v>25, 27, 31, 32, 33, 34; historical manifests/checksums</x:v>
      </x:c>
      <x:c r="O172" s="36" t="str">
        <x:v>No iniciada</x:v>
      </x:c>
      <x:c r="P172" s="47" t="n">
        <x:v>0</x:v>
      </x:c>
      <x:c r="Q172" s="36" t="str">
        <x:v>La existencia de una copia no equivale a recuperación probada.</x:v>
      </x:c>
    </x:row>
    <x:row r="173">
      <x:c r="A173" s="27" t="str">
        <x:v>TA-BCP-019</x:v>
      </x:c>
      <x:c r="B173" s="27" t="str">
        <x:v>R-BCP-019</x:v>
      </x:c>
      <x:c r="C173" s="36" t="str">
        <x:v>Business Continuity</x:v>
      </x:c>
      <x:c r="D173" s="36" t="str">
        <x:v>Asegurar continuidad de Domains, email and social identities</x:v>
      </x:c>
      <x:c r="E173" s="36" t="str">
        <x:v>Documentar ubicación primaria/secundaria, cifrado, retención, RPO/RTO y ejecutar restore test de Domains, email and social identities.</x:v>
      </x:c>
      <x:c r="F173" s="36" t="str">
        <x:v>Marketing</x:v>
      </x:c>
      <x:c r="G173" s="36" t="str">
        <x:v>Project Owner</x:v>
      </x:c>
      <x:c r="H173" s="36" t="str">
        <x:v>P0</x:v>
      </x:c>
      <x:c r="I173" s="36" t="str">
        <x:v>OPEN</x:v>
      </x:c>
      <x:c r="J173" s="46" t="str">
        <x:v>2026-07-01</x:v>
      </x:c>
      <x:c r="K173" s="46" t="str">
        <x:v>2026-07-31</x:v>
      </x:c>
      <x:c r="L173" s="46" t="str"/>
      <x:c r="M173" s="36" t="str">
        <x:v>Restore verificado dentro de RPO 24h / RTO 8h con hash/log.</x:v>
      </x:c>
      <x:c r="N173" s="36" t="str">
        <x:v>25, 27, 31, 32, 33, 34; historical manifests/checksums</x:v>
      </x:c>
      <x:c r="O173" s="36" t="str">
        <x:v>No iniciada</x:v>
      </x:c>
      <x:c r="P173" s="47" t="n">
        <x:v>0</x:v>
      </x:c>
      <x:c r="Q173" s="36" t="str">
        <x:v>La existencia de una copia no equivale a recuperación probada.</x:v>
      </x:c>
    </x:row>
    <x:row r="174">
      <x:c r="A174" s="27" t="str">
        <x:v>TA-BCP-020</x:v>
      </x:c>
      <x:c r="B174" s="27" t="str">
        <x:v>R-BCP-020</x:v>
      </x:c>
      <x:c r="C174" s="36" t="str">
        <x:v>Business Continuity</x:v>
      </x:c>
      <x:c r="D174" s="36" t="str">
        <x:v>Asegurar continuidad de Domains, email and social identities</x:v>
      </x:c>
      <x:c r="E174" s="36" t="str">
        <x:v>Documentar ubicación primaria/secundaria, cifrado, retención, RPO/RTO y ejecutar restore test de Domains, email and social identities.</x:v>
      </x:c>
      <x:c r="F174" s="36" t="str">
        <x:v>Marketing</x:v>
      </x:c>
      <x:c r="G174" s="36" t="str">
        <x:v>Project Owner</x:v>
      </x:c>
      <x:c r="H174" s="36" t="str">
        <x:v>P1</x:v>
      </x:c>
      <x:c r="I174" s="36" t="str">
        <x:v>OPEN</x:v>
      </x:c>
      <x:c r="J174" s="46" t="str">
        <x:v>2026-07-01</x:v>
      </x:c>
      <x:c r="K174" s="46" t="str">
        <x:v>2026-07-31</x:v>
      </x:c>
      <x:c r="L174" s="46" t="str"/>
      <x:c r="M174" s="36" t="str">
        <x:v>Restore verificado dentro de RPO 24h / RTO 8h con hash/log.</x:v>
      </x:c>
      <x:c r="N174" s="36" t="str">
        <x:v>25, 27, 31, 32, 33, 34; historical manifests/checksums</x:v>
      </x:c>
      <x:c r="O174" s="36" t="str">
        <x:v>No iniciada</x:v>
      </x:c>
      <x:c r="P174" s="47" t="n">
        <x:v>0</x:v>
      </x:c>
      <x:c r="Q174" s="36" t="str">
        <x:v>La existencia de una copia no equivale a recuperación probada.</x:v>
      </x:c>
    </x:row>
    <x:row r="175">
      <x:c r="A175" s="27" t="str">
        <x:v>TA-BCP-021</x:v>
      </x:c>
      <x:c r="B175" s="27" t="str">
        <x:v>R-BCP-021</x:v>
      </x:c>
      <x:c r="C175" s="36" t="str">
        <x:v>Business Continuity</x:v>
      </x:c>
      <x:c r="D175" s="36" t="str">
        <x:v>Asegurar continuidad de Passwords and recovery codes</x:v>
      </x:c>
      <x:c r="E175" s="36" t="str">
        <x:v>Documentar ubicación primaria/secundaria, cifrado, retención, RPO/RTO y ejecutar restore test de Passwords and recovery codes.</x:v>
      </x:c>
      <x:c r="F175" s="36" t="str">
        <x:v>Security</x:v>
      </x:c>
      <x:c r="G175" s="36" t="str">
        <x:v>Project Owner</x:v>
      </x:c>
      <x:c r="H175" s="36" t="str">
        <x:v>P0</x:v>
      </x:c>
      <x:c r="I175" s="36" t="str">
        <x:v>OPEN</x:v>
      </x:c>
      <x:c r="J175" s="46" t="str">
        <x:v>2026-07-01</x:v>
      </x:c>
      <x:c r="K175" s="46" t="str">
        <x:v>2026-07-31</x:v>
      </x:c>
      <x:c r="L175" s="46" t="str"/>
      <x:c r="M175" s="36" t="str">
        <x:v>Restore verificado dentro de RPO immediate / RTO 4h con hash/log.</x:v>
      </x:c>
      <x:c r="N175" s="36" t="str">
        <x:v>25, 27, 31, 32, 33, 34; historical manifests/checksums</x:v>
      </x:c>
      <x:c r="O175" s="36" t="str">
        <x:v>No iniciada</x:v>
      </x:c>
      <x:c r="P175" s="47" t="n">
        <x:v>0</x:v>
      </x:c>
      <x:c r="Q175" s="36" t="str">
        <x:v>La existencia de una copia no equivale a recuperación probada.</x:v>
      </x:c>
    </x:row>
    <x:row r="176">
      <x:c r="A176" s="27" t="str">
        <x:v>TA-BCP-022</x:v>
      </x:c>
      <x:c r="B176" s="27" t="str">
        <x:v>R-BCP-022</x:v>
      </x:c>
      <x:c r="C176" s="36" t="str">
        <x:v>Business Continuity</x:v>
      </x:c>
      <x:c r="D176" s="36" t="str">
        <x:v>Asegurar continuidad de Passwords and recovery codes</x:v>
      </x:c>
      <x:c r="E176" s="36" t="str">
        <x:v>Documentar ubicación primaria/secundaria, cifrado, retención, RPO/RTO y ejecutar restore test de Passwords and recovery codes.</x:v>
      </x:c>
      <x:c r="F176" s="36" t="str">
        <x:v>Security</x:v>
      </x:c>
      <x:c r="G176" s="36" t="str">
        <x:v>Project Owner</x:v>
      </x:c>
      <x:c r="H176" s="36" t="str">
        <x:v>P1</x:v>
      </x:c>
      <x:c r="I176" s="36" t="str">
        <x:v>OPEN</x:v>
      </x:c>
      <x:c r="J176" s="46" t="str">
        <x:v>2026-07-01</x:v>
      </x:c>
      <x:c r="K176" s="46" t="str">
        <x:v>2026-07-31</x:v>
      </x:c>
      <x:c r="L176" s="46" t="str"/>
      <x:c r="M176" s="36" t="str">
        <x:v>Restore verificado dentro de RPO immediate / RTO 4h con hash/log.</x:v>
      </x:c>
      <x:c r="N176" s="36" t="str">
        <x:v>25, 27, 31, 32, 33, 34; historical manifests/checksums</x:v>
      </x:c>
      <x:c r="O176" s="36" t="str">
        <x:v>No iniciada</x:v>
      </x:c>
      <x:c r="P176" s="47" t="n">
        <x:v>0</x:v>
      </x:c>
      <x:c r="Q176" s="36" t="str">
        <x:v>La existencia de una copia no equivale a recuperación probada.</x:v>
      </x:c>
    </x:row>
    <x:row r="177">
      <x:c r="A177" s="27" t="str">
        <x:v>TA-BCP-023</x:v>
      </x:c>
      <x:c r="B177" s="27" t="str">
        <x:v>R-BCP-023</x:v>
      </x:c>
      <x:c r="C177" s="36" t="str">
        <x:v>Business Continuity</x:v>
      </x:c>
      <x:c r="D177" s="36" t="str">
        <x:v>Asegurar continuidad de Legal and license evidence</x:v>
      </x:c>
      <x:c r="E177" s="36" t="str">
        <x:v>Documentar ubicación primaria/secundaria, cifrado, retención, RPO/RTO y ejecutar restore test de Legal and license evidence.</x:v>
      </x:c>
      <x:c r="F177" s="36" t="str">
        <x:v>Legal</x:v>
      </x:c>
      <x:c r="G177" s="36" t="str">
        <x:v>Project Owner</x:v>
      </x:c>
      <x:c r="H177" s="36" t="str">
        <x:v>P0</x:v>
      </x:c>
      <x:c r="I177" s="36" t="str">
        <x:v>OPEN</x:v>
      </x:c>
      <x:c r="J177" s="46" t="str">
        <x:v>2026-07-01</x:v>
      </x:c>
      <x:c r="K177" s="46" t="str">
        <x:v>2026-07-31</x:v>
      </x:c>
      <x:c r="L177" s="46" t="str"/>
      <x:c r="M177" s="36" t="str">
        <x:v>Restore verificado dentro de RPO per change / RTO 24h con hash/log.</x:v>
      </x:c>
      <x:c r="N177" s="36" t="str">
        <x:v>25, 27, 31, 32, 33, 34; historical manifests/checksums</x:v>
      </x:c>
      <x:c r="O177" s="36" t="str">
        <x:v>No iniciada</x:v>
      </x:c>
      <x:c r="P177" s="47" t="n">
        <x:v>0</x:v>
      </x:c>
      <x:c r="Q177" s="36" t="str">
        <x:v>La existencia de una copia no equivale a recuperación probada.</x:v>
      </x:c>
    </x:row>
    <x:row r="178">
      <x:c r="A178" s="27" t="str">
        <x:v>TA-BCP-024</x:v>
      </x:c>
      <x:c r="B178" s="27" t="str">
        <x:v>R-BCP-024</x:v>
      </x:c>
      <x:c r="C178" s="36" t="str">
        <x:v>Business Continuity</x:v>
      </x:c>
      <x:c r="D178" s="36" t="str">
        <x:v>Asegurar continuidad de Legal and license evidence</x:v>
      </x:c>
      <x:c r="E178" s="36" t="str">
        <x:v>Documentar ubicación primaria/secundaria, cifrado, retención, RPO/RTO y ejecutar restore test de Legal and license evidence.</x:v>
      </x:c>
      <x:c r="F178" s="36" t="str">
        <x:v>Legal</x:v>
      </x:c>
      <x:c r="G178" s="36" t="str">
        <x:v>Project Owner</x:v>
      </x:c>
      <x:c r="H178" s="36" t="str">
        <x:v>P1</x:v>
      </x:c>
      <x:c r="I178" s="36" t="str">
        <x:v>OPEN</x:v>
      </x:c>
      <x:c r="J178" s="46" t="str">
        <x:v>2026-07-01</x:v>
      </x:c>
      <x:c r="K178" s="46" t="str">
        <x:v>2026-07-31</x:v>
      </x:c>
      <x:c r="L178" s="46" t="str"/>
      <x:c r="M178" s="36" t="str">
        <x:v>Restore verificado dentro de RPO per change / RTO 24h con hash/log.</x:v>
      </x:c>
      <x:c r="N178" s="36" t="str">
        <x:v>25, 27, 31, 32, 33, 34; historical manifests/checksums</x:v>
      </x:c>
      <x:c r="O178" s="36" t="str">
        <x:v>No iniciada</x:v>
      </x:c>
      <x:c r="P178" s="47" t="n">
        <x:v>0</x:v>
      </x:c>
      <x:c r="Q178" s="36" t="str">
        <x:v>La existencia de una copia no equivale a recuperación probada.</x:v>
      </x:c>
    </x:row>
    <x:row r="179">
      <x:c r="A179" s="27" t="str">
        <x:v>TA-BCP-025</x:v>
      </x:c>
      <x:c r="B179" s="27" t="str">
        <x:v>R-BCP-025</x:v>
      </x:c>
      <x:c r="C179" s="36" t="str">
        <x:v>Business Continuity</x:v>
      </x:c>
      <x:c r="D179" s="36" t="str">
        <x:v>Asegurar continuidad de Production tracking and risk register</x:v>
      </x:c>
      <x:c r="E179" s="36" t="str">
        <x:v>Documentar ubicación primaria/secundaria, cifrado, retención, RPO/RTO y ejecutar restore test de Production tracking and risk register.</x:v>
      </x:c>
      <x:c r="F179" s="36" t="str">
        <x:v>Production</x:v>
      </x:c>
      <x:c r="G179" s="36" t="str">
        <x:v>Project Owner</x:v>
      </x:c>
      <x:c r="H179" s="36" t="str">
        <x:v>P0</x:v>
      </x:c>
      <x:c r="I179" s="36" t="str">
        <x:v>OPEN</x:v>
      </x:c>
      <x:c r="J179" s="46" t="str">
        <x:v>2026-07-01</x:v>
      </x:c>
      <x:c r="K179" s="46" t="str">
        <x:v>2026-07-31</x:v>
      </x:c>
      <x:c r="L179" s="46" t="str"/>
      <x:c r="M179" s="36" t="str">
        <x:v>Restore verificado dentro de RPO 24h / RTO 8h con hash/log.</x:v>
      </x:c>
      <x:c r="N179" s="36" t="str">
        <x:v>25, 27, 31, 32, 33, 34; historical manifests/checksums</x:v>
      </x:c>
      <x:c r="O179" s="36" t="str">
        <x:v>No iniciada</x:v>
      </x:c>
      <x:c r="P179" s="47" t="n">
        <x:v>0</x:v>
      </x:c>
      <x:c r="Q179" s="36" t="str">
        <x:v>La existencia de una copia no equivale a recuperación probada.</x:v>
      </x:c>
    </x:row>
    <x:row r="180">
      <x:c r="A180" s="27" t="str">
        <x:v>TA-BCP-026</x:v>
      </x:c>
      <x:c r="B180" s="27" t="str">
        <x:v>R-BCP-026</x:v>
      </x:c>
      <x:c r="C180" s="36" t="str">
        <x:v>Business Continuity</x:v>
      </x:c>
      <x:c r="D180" s="36" t="str">
        <x:v>Asegurar continuidad de Production tracking and risk register</x:v>
      </x:c>
      <x:c r="E180" s="36" t="str">
        <x:v>Documentar ubicación primaria/secundaria, cifrado, retención, RPO/RTO y ejecutar restore test de Production tracking and risk register.</x:v>
      </x:c>
      <x:c r="F180" s="36" t="str">
        <x:v>Production</x:v>
      </x:c>
      <x:c r="G180" s="36" t="str">
        <x:v>Project Owner</x:v>
      </x:c>
      <x:c r="H180" s="36" t="str">
        <x:v>P1</x:v>
      </x:c>
      <x:c r="I180" s="36" t="str">
        <x:v>OPEN</x:v>
      </x:c>
      <x:c r="J180" s="46" t="str">
        <x:v>2026-07-01</x:v>
      </x:c>
      <x:c r="K180" s="46" t="str">
        <x:v>2026-07-31</x:v>
      </x:c>
      <x:c r="L180" s="46" t="str"/>
      <x:c r="M180" s="36" t="str">
        <x:v>Restore verificado dentro de RPO 24h / RTO 8h con hash/log.</x:v>
      </x:c>
      <x:c r="N180" s="36" t="str">
        <x:v>25, 27, 31, 32, 33, 34; historical manifests/checksums</x:v>
      </x:c>
      <x:c r="O180" s="36" t="str">
        <x:v>No iniciada</x:v>
      </x:c>
      <x:c r="P180" s="47" t="n">
        <x:v>0</x:v>
      </x:c>
      <x:c r="Q180" s="36" t="str">
        <x:v>La existencia de una copia no equivale a recuperación probada.</x:v>
      </x:c>
    </x:row>
    <x:row r="181">
      <x:c r="A181" s="27" t="str">
        <x:v>TA-BCP-027</x:v>
      </x:c>
      <x:c r="B181" s="27" t="str">
        <x:v>R-BCP-027</x:v>
      </x:c>
      <x:c r="C181" s="36" t="str">
        <x:v>Business Continuity</x:v>
      </x:c>
      <x:c r="D181" s="36" t="str">
        <x:v>Asegurar continuidad de QA evidence and defect records</x:v>
      </x:c>
      <x:c r="E181" s="36" t="str">
        <x:v>Documentar ubicación primaria/secundaria, cifrado, retención, RPO/RTO y ejecutar restore test de QA evidence and defect records.</x:v>
      </x:c>
      <x:c r="F181" s="36" t="str">
        <x:v>QA</x:v>
      </x:c>
      <x:c r="G181" s="36" t="str">
        <x:v>Project Owner</x:v>
      </x:c>
      <x:c r="H181" s="36" t="str">
        <x:v>P0</x:v>
      </x:c>
      <x:c r="I181" s="36" t="str">
        <x:v>OPEN</x:v>
      </x:c>
      <x:c r="J181" s="46" t="str">
        <x:v>2026-07-01</x:v>
      </x:c>
      <x:c r="K181" s="46" t="str">
        <x:v>2026-07-31</x:v>
      </x:c>
      <x:c r="L181" s="46" t="str"/>
      <x:c r="M181" s="36" t="str">
        <x:v>Restore verificado dentro de RPO 24h / RTO 8h con hash/log.</x:v>
      </x:c>
      <x:c r="N181" s="36" t="str">
        <x:v>25, 27, 31, 32, 33, 34; historical manifests/checksums</x:v>
      </x:c>
      <x:c r="O181" s="36" t="str">
        <x:v>No iniciada</x:v>
      </x:c>
      <x:c r="P181" s="47" t="n">
        <x:v>0</x:v>
      </x:c>
      <x:c r="Q181" s="36" t="str">
        <x:v>La existencia de una copia no equivale a recuperación probada.</x:v>
      </x:c>
    </x:row>
    <x:row r="182">
      <x:c r="A182" s="27" t="str">
        <x:v>TA-BCP-028</x:v>
      </x:c>
      <x:c r="B182" s="27" t="str">
        <x:v>R-BCP-028</x:v>
      </x:c>
      <x:c r="C182" s="36" t="str">
        <x:v>Business Continuity</x:v>
      </x:c>
      <x:c r="D182" s="36" t="str">
        <x:v>Asegurar continuidad de QA evidence and defect records</x:v>
      </x:c>
      <x:c r="E182" s="36" t="str">
        <x:v>Documentar ubicación primaria/secundaria, cifrado, retención, RPO/RTO y ejecutar restore test de QA evidence and defect records.</x:v>
      </x:c>
      <x:c r="F182" s="36" t="str">
        <x:v>QA</x:v>
      </x:c>
      <x:c r="G182" s="36" t="str">
        <x:v>Project Owner</x:v>
      </x:c>
      <x:c r="H182" s="36" t="str">
        <x:v>P1</x:v>
      </x:c>
      <x:c r="I182" s="36" t="str">
        <x:v>OPEN</x:v>
      </x:c>
      <x:c r="J182" s="46" t="str">
        <x:v>2026-07-01</x:v>
      </x:c>
      <x:c r="K182" s="46" t="str">
        <x:v>2026-07-31</x:v>
      </x:c>
      <x:c r="L182" s="46" t="str"/>
      <x:c r="M182" s="36" t="str">
        <x:v>Restore verificado dentro de RPO 24h / RTO 8h con hash/log.</x:v>
      </x:c>
      <x:c r="N182" s="36" t="str">
        <x:v>25, 27, 31, 32, 33, 34; historical manifests/checksums</x:v>
      </x:c>
      <x:c r="O182" s="36" t="str">
        <x:v>No iniciada</x:v>
      </x:c>
      <x:c r="P182" s="47" t="n">
        <x:v>0</x:v>
      </x:c>
      <x:c r="Q182" s="36" t="str">
        <x:v>La existencia de una copia no equivale a recuperación probada.</x:v>
      </x:c>
    </x:row>
    <x:row r="183">
      <x:c r="A183" s="27" t="str">
        <x:v>TA-BCP-029</x:v>
      </x:c>
      <x:c r="B183" s="27" t="str">
        <x:v>R-BCP-029</x:v>
      </x:c>
      <x:c r="C183" s="36" t="str">
        <x:v>Business Continuity</x:v>
      </x:c>
      <x:c r="D183" s="36" t="str">
        <x:v>Asegurar continuidad de Development workstation image/config</x:v>
      </x:c>
      <x:c r="E183" s="36" t="str">
        <x:v>Documentar ubicación primaria/secundaria, cifrado, retención, RPO/RTO y ejecutar restore test de Development workstation image/config.</x:v>
      </x:c>
      <x:c r="F183" s="36" t="str">
        <x:v>IT/Engineering</x:v>
      </x:c>
      <x:c r="G183" s="36" t="str">
        <x:v>Project Owner</x:v>
      </x:c>
      <x:c r="H183" s="36" t="str">
        <x:v>P0</x:v>
      </x:c>
      <x:c r="I183" s="36" t="str">
        <x:v>OPEN</x:v>
      </x:c>
      <x:c r="J183" s="46" t="str">
        <x:v>2026-07-01</x:v>
      </x:c>
      <x:c r="K183" s="46" t="str">
        <x:v>2026-07-31</x:v>
      </x:c>
      <x:c r="L183" s="46" t="str"/>
      <x:c r="M183" s="36" t="str">
        <x:v>Restore verificado dentro de RPO 7d / RTO 48h con hash/log.</x:v>
      </x:c>
      <x:c r="N183" s="36" t="str">
        <x:v>25, 27, 31, 32, 33, 34; historical manifests/checksums</x:v>
      </x:c>
      <x:c r="O183" s="36" t="str">
        <x:v>No iniciada</x:v>
      </x:c>
      <x:c r="P183" s="47" t="n">
        <x:v>0</x:v>
      </x:c>
      <x:c r="Q183" s="36" t="str">
        <x:v>La existencia de una copia no equivale a recuperación probada.</x:v>
      </x:c>
    </x:row>
    <x:row r="184">
      <x:c r="A184" s="27" t="str">
        <x:v>TA-BCP-030</x:v>
      </x:c>
      <x:c r="B184" s="27" t="str">
        <x:v>R-BCP-030</x:v>
      </x:c>
      <x:c r="C184" s="36" t="str">
        <x:v>Business Continuity</x:v>
      </x:c>
      <x:c r="D184" s="36" t="str">
        <x:v>Asegurar continuidad de Development workstation image/config</x:v>
      </x:c>
      <x:c r="E184" s="36" t="str">
        <x:v>Documentar ubicación primaria/secundaria, cifrado, retención, RPO/RTO y ejecutar restore test de Development workstation image/config.</x:v>
      </x:c>
      <x:c r="F184" s="36" t="str">
        <x:v>IT/Engineering</x:v>
      </x:c>
      <x:c r="G184" s="36" t="str">
        <x:v>Project Owner</x:v>
      </x:c>
      <x:c r="H184" s="36" t="str">
        <x:v>P1</x:v>
      </x:c>
      <x:c r="I184" s="36" t="str">
        <x:v>OPEN</x:v>
      </x:c>
      <x:c r="J184" s="46" t="str">
        <x:v>2026-07-01</x:v>
      </x:c>
      <x:c r="K184" s="46" t="str">
        <x:v>2026-07-31</x:v>
      </x:c>
      <x:c r="L184" s="46" t="str"/>
      <x:c r="M184" s="36" t="str">
        <x:v>Restore verificado dentro de RPO 7d / RTO 48h con hash/log.</x:v>
      </x:c>
      <x:c r="N184" s="36" t="str">
        <x:v>25, 27, 31, 32, 33, 34; historical manifests/checksums</x:v>
      </x:c>
      <x:c r="O184" s="36" t="str">
        <x:v>No iniciada</x:v>
      </x:c>
      <x:c r="P184" s="47" t="n">
        <x:v>0</x:v>
      </x:c>
      <x:c r="Q184" s="36" t="str">
        <x:v>La existencia de una copia no equivale a recuperación probada.</x:v>
      </x:c>
    </x:row>
    <x:row r="185">
      <x:c r="A185" t="str">
        <x:v>TA-DOC-009</x:v>
      </x:c>
      <x:c r="B185" t="str">
        <x:v>R-DOC-009</x:v>
      </x:c>
      <x:c r="C185" t="str">
        <x:v>Documentation &amp; Knowledge</x:v>
      </x:c>
      <x:c r="D185" t="str">
        <x:v>Tratar R-DOC-009: Candidate manifest authority</x:v>
      </x:c>
      <x:c r="E185" t="str">
        <x:v>Marcar 32 como CANDIDATE; prohibir uso como autoridad final hasta cerrar 16, correcciones, hashes y freeze.</x:v>
      </x:c>
      <x:c r="F185" t="str">
        <x:v>Documentation</x:v>
      </x:c>
      <x:c r="G185" t="str">
        <x:v>QA</x:v>
      </x:c>
      <x:c r="H185" t="str">
        <x:v>P0</x:v>
      </x:c>
      <x:c r="I185" t="str">
        <x:v>OPEN</x:v>
      </x:c>
      <x:c r="J185" t="str">
        <x:v>2026-07-01</x:v>
      </x:c>
      <x:c r="K185" t="str">
        <x:v>2026-07-08</x:v>
      </x:c>
      <x:c r="L185"/>
      <x:c r="M185" t="str">
        <x:v>32 definitivo generado después de 16 final, con estado FINAL aprobado y sin referencias candidatas.</x:v>
      </x:c>
      <x:c r="N185" t="str">
        <x:v>13, 14, 15, 16, 31, 32, 33, 34</x:v>
      </x:c>
      <x:c r="O185" t="str">
        <x:v>No iniciada; evidencia requerida.</x:v>
      </x:c>
      <x:c r="P185" t="n">
        <x:v>0</x:v>
      </x:c>
      <x:c r="Q185" t="str">
        <x:v>No cerrar por existencia documental; exigir ejecución, verificación y signoff.</x:v>
      </x:c>
    </x:row>
    <x:row r="186">
      <x:c r="A186" t="str">
        <x:v>TA-DOC-010</x:v>
      </x:c>
      <x:c r="B186" t="str">
        <x:v>R-DOC-010</x:v>
      </x:c>
      <x:c r="C186" t="str">
        <x:v>Documentation &amp; Knowledge</x:v>
      </x:c>
      <x:c r="D186" t="str">
        <x:v>Tratar R-DOC-010: Stale hashes</x:v>
      </x:c>
      <x:c r="E186" t="str">
        <x:v>Recalcular tamaños y SHA-256 únicamente tras el último cambio; invalidar automáticamente hashes anteriores.</x:v>
      </x:c>
      <x:c r="F186" t="str">
        <x:v>Documentation</x:v>
      </x:c>
      <x:c r="G186" t="str">
        <x:v>QA</x:v>
      </x:c>
      <x:c r="H186" t="str">
        <x:v>P0</x:v>
      </x:c>
      <x:c r="I186" t="str">
        <x:v>OPEN</x:v>
      </x:c>
      <x:c r="J186" t="str">
        <x:v>2026-07-01</x:v>
      </x:c>
      <x:c r="K186" t="str">
        <x:v>2026-07-02</x:v>
      </x:c>
      <x:c r="L186"/>
      <x:c r="M186" t="str">
        <x:v>Inventario y hashes recalculados tras el último cambio; 13, 32 y checksums coinciden.</x:v>
      </x:c>
      <x:c r="N186" t="str">
        <x:v>13, 16, 31, 32, 33, 34</x:v>
      </x:c>
      <x:c r="O186" t="str">
        <x:v>No iniciada; evidencia requerida.</x:v>
      </x:c>
      <x:c r="P186" t="n">
        <x:v>0</x:v>
      </x:c>
      <x:c r="Q186" t="str">
        <x:v>No cerrar por existencia documental; exigir ejecución, verificación y signoff.</x:v>
      </x:c>
    </x:row>
    <x:row r="187">
      <x:c r="A187" t="str">
        <x:v>TA-DOC-011</x:v>
      </x:c>
      <x:c r="B187" t="str">
        <x:v>R-DOC-011</x:v>
      </x:c>
      <x:c r="C187" t="str">
        <x:v>Documentation &amp; Knowledge</x:v>
      </x:c>
      <x:c r="D187" t="str">
        <x:v>Tratar R-DOC-011: Package allowlist</x:v>
      </x:c>
      <x:c r="E187" t="str">
        <x:v>Construir el paquete desde una carpeta limpia y una allowlist exacta; separar historia y evidencia.</x:v>
      </x:c>
      <x:c r="F187" t="str">
        <x:v>Documentation</x:v>
      </x:c>
      <x:c r="G187" t="str">
        <x:v>Project Owner</x:v>
      </x:c>
      <x:c r="H187" t="str">
        <x:v>P0</x:v>
      </x:c>
      <x:c r="I187" t="str">
        <x:v>OPEN</x:v>
      </x:c>
      <x:c r="J187" t="str">
        <x:v>2026-07-01</x:v>
      </x:c>
      <x:c r="K187" t="str">
        <x:v>2026-07-31</x:v>
      </x:c>
      <x:c r="L187"/>
      <x:c r="M187" t="str">
        <x:v>Paquete construido desde allowlist limpia; Current_Baseline no contiene borradores ni duplicados.</x:v>
      </x:c>
      <x:c r="N187" t="str">
        <x:v>14, 15, 31, 32, 33, 34</x:v>
      </x:c>
      <x:c r="O187" t="str">
        <x:v>No iniciada; evidencia requerida.</x:v>
      </x:c>
      <x:c r="P187" t="n">
        <x:v>0</x:v>
      </x:c>
      <x:c r="Q187" t="str">
        <x:v>No cerrar por existencia documental; exigir ejecución, verificación y signoff.</x:v>
      </x:c>
    </x:row>
    <x:row r="188">
      <x:c r="A188" t="str">
        <x:v>TA-DOC-012</x:v>
      </x:c>
      <x:c r="B188" t="str">
        <x:v>R-DOC-012</x:v>
      </x:c>
      <x:c r="C188" t="str">
        <x:v>Documentation &amp; Knowledge</x:v>
      </x:c>
      <x:c r="D188" t="str">
        <x:v>Tratar R-DOC-012: External checksums</x:v>
      </x:c>
      <x:c r="E188" t="str">
        <x:v>Generar checksums finales después del freeze, incluido hash externo de 32/33 y checksum separado del ZIP.</x:v>
      </x:c>
      <x:c r="F188" t="str">
        <x:v>Documentation</x:v>
      </x:c>
      <x:c r="G188" t="str">
        <x:v>Security / QA</x:v>
      </x:c>
      <x:c r="H188" t="str">
        <x:v>P0</x:v>
      </x:c>
      <x:c r="I188" t="str">
        <x:v>OPEN</x:v>
      </x:c>
      <x:c r="J188" t="str">
        <x:v>2026-07-01</x:v>
      </x:c>
      <x:c r="K188" t="str">
        <x:v>2026-07-31</x:v>
      </x:c>
      <x:c r="L188"/>
      <x:c r="M188" t="str">
        <x:v>Checksums de 00–34, 32/33 externos y ZIP verifican en extracción independiente.</x:v>
      </x:c>
      <x:c r="N188" t="str">
        <x:v>16, 31, 32, 33, 34</x:v>
      </x:c>
      <x:c r="O188" t="str">
        <x:v>No iniciada; evidencia requerida.</x:v>
      </x:c>
      <x:c r="P188" t="n">
        <x:v>0</x:v>
      </x:c>
      <x:c r="Q188" t="str">
        <x:v>No cerrar por existencia documental; exigir ejecución, verificación y signoff.</x:v>
      </x:c>
    </x:row>
    <x:row r="189">
      <x:c r="A189" t="str">
        <x:v>TA-BCP-031</x:v>
      </x:c>
      <x:c r="B189" t="str">
        <x:v>R-BCP-031</x:v>
      </x:c>
      <x:c r="C189" t="str">
        <x:v>Business Continuity</x:v>
      </x:c>
      <x:c r="D189" t="str">
        <x:v>Tratar R-BCP-031: Clean-room restoration</x:v>
      </x:c>
      <x:c r="E189" t="str">
        <x:v>Extraer en entorno limpio, verificar todos los hashes, abrir Excel/Markdown y registrar tiempos/defectos.</x:v>
      </x:c>
      <x:c r="F189" t="str">
        <x:v>Continuity</x:v>
      </x:c>
      <x:c r="G189" t="str">
        <x:v>Independent Reviewer</x:v>
      </x:c>
      <x:c r="H189" t="str">
        <x:v>P0</x:v>
      </x:c>
      <x:c r="I189" t="str">
        <x:v>OPEN</x:v>
      </x:c>
      <x:c r="J189" t="str">
        <x:v>2026-07-01</x:v>
      </x:c>
      <x:c r="K189" t="str">
        <x:v>2026-07-31</x:v>
      </x:c>
      <x:c r="L189"/>
      <x:c r="M189" t="str">
        <x:v>Clean-room restore completa dentro del RTO; todos los archivos abren y hashes coinciden.</x:v>
      </x:c>
      <x:c r="N189" t="str">
        <x:v>15, 16, 31, 32, 33, 34</x:v>
      </x:c>
      <x:c r="O189" t="str">
        <x:v>No iniciada; evidencia requerida.</x:v>
      </x:c>
      <x:c r="P189" t="n">
        <x:v>0</x:v>
      </x:c>
      <x:c r="Q189" t="str">
        <x:v>No cerrar por existencia documental; exigir ejecución, verificación y signoff.</x:v>
      </x:c>
    </x:row>
    <x:row r="190">
      <x:c r="A190" t="str">
        <x:v>TA-BCP-032</x:v>
      </x:c>
      <x:c r="B190" t="str">
        <x:v>R-BCP-032</x:v>
      </x:c>
      <x:c r="C190" t="str">
        <x:v>Business Continuity</x:v>
      </x:c>
      <x:c r="D190" t="str">
        <x:v>Tratar R-BCP-032: Independent handoff</x:v>
      </x:c>
      <x:c r="E190" t="str">
        <x:v>Ejecutar un handoff independiente: localizar baseline, validar estado, abrir proyecto y producir un plan de siguiente acción.</x:v>
      </x:c>
      <x:c r="F190" t="str">
        <x:v>Project Owner</x:v>
      </x:c>
      <x:c r="G190" t="str">
        <x:v>Designated Alternate</x:v>
      </x:c>
      <x:c r="H190" t="str">
        <x:v>P0</x:v>
      </x:c>
      <x:c r="I190" t="str">
        <x:v>OPEN</x:v>
      </x:c>
      <x:c r="J190" t="str">
        <x:v>2026-07-01</x:v>
      </x:c>
      <x:c r="K190" t="str">
        <x:v>2026-12-31</x:v>
      </x:c>
      <x:c r="L190"/>
      <x:c r="M190" t="str">
        <x:v>Operador alternativo retoma el proyecto sin asistencia y completa el checklist de 34.</x:v>
      </x:c>
      <x:c r="N190" t="str">
        <x:v>14, 15, 27, 31, 32, 33, 34</x:v>
      </x:c>
      <x:c r="O190" t="str">
        <x:v>No iniciada; evidencia requerida.</x:v>
      </x:c>
      <x:c r="P190" t="n">
        <x:v>0</x:v>
      </x:c>
      <x:c r="Q190" t="str">
        <x:v>No cerrar por existencia documental; exigir ejecución, verificación y signoff.</x:v>
      </x:c>
    </x:row>
    <x:row r="191">
      <x:c r="A191" t="str">
        <x:v>TA-GOV-011</x:v>
      </x:c>
      <x:c r="B191" t="str">
        <x:v>R-GOV-011</x:v>
      </x:c>
      <x:c r="C191" t="str">
        <x:v>Governance &amp; Scope</x:v>
      </x:c>
      <x:c r="D191" t="str">
        <x:v>Tratar R-GOV-011: Audit exception governance</x:v>
      </x:c>
      <x:c r="E191" t="str">
        <x:v>Impedir freeze mientras existan BLOCKER/HIGH, salvo excepción escrita con owner, alcance, expiración y compensaciones.</x:v>
      </x:c>
      <x:c r="F191" t="str">
        <x:v>Project Owner / QA</x:v>
      </x:c>
      <x:c r="G191" t="str">
        <x:v>Documentation</x:v>
      </x:c>
      <x:c r="H191" t="str">
        <x:v>P0</x:v>
      </x:c>
      <x:c r="I191" t="str">
        <x:v>OPEN</x:v>
      </x:c>
      <x:c r="J191" t="str">
        <x:v>2026-07-01</x:v>
      </x:c>
      <x:c r="K191" t="str">
        <x:v>2026-07-31</x:v>
      </x:c>
      <x:c r="L191"/>
      <x:c r="M191" t="str">
        <x:v>No existen BLOCKER/HIGH abiertos o cada excepción está aprobada, limitada y registrada.</x:v>
      </x:c>
      <x:c r="N191" t="str">
        <x:v>13, 16, 31, 32, 33</x:v>
      </x:c>
      <x:c r="O191" t="str">
        <x:v>No iniciada; evidencia requerida.</x:v>
      </x:c>
      <x:c r="P191" t="n">
        <x:v>0</x:v>
      </x:c>
      <x:c r="Q191" t="str">
        <x:v>No cerrar por existencia documental; exigir ejecución, verificación y signoff.</x:v>
      </x:c>
    </x:row>
    <x:row r="192">
      <x:c r="A192" t="str">
        <x:v>TA-PRD-011</x:v>
      </x:c>
      <x:c r="B192" t="str">
        <x:v>R-PRD-011</x:v>
      </x:c>
      <x:c r="C192" t="str">
        <x:v>Production &amp; Schedule</x:v>
      </x:c>
      <x:c r="D192" t="str">
        <x:v>Tratar R-PRD-011: Consolidation sequence</x:v>
      </x:c>
      <x:c r="E192" t="str">
        <x:v>Aplicar dependencia Finish-to-Start y registrar cada regeneración en 13/17_Change_Log.</x:v>
      </x:c>
      <x:c r="F192" t="str">
        <x:v>Production / Documentation</x:v>
      </x:c>
      <x:c r="G192" t="str">
        <x:v>Project Owner</x:v>
      </x:c>
      <x:c r="H192" t="str">
        <x:v>P1</x:v>
      </x:c>
      <x:c r="I192" t="str">
        <x:v>OPEN</x:v>
      </x:c>
      <x:c r="J192" t="str">
        <x:v>2026-07-01</x:v>
      </x:c>
      <x:c r="K192" t="str">
        <x:v>2026-07-02</x:v>
      </x:c>
      <x:c r="L192"/>
      <x:c r="M192" t="str">
        <x:v>Cadena de regeneración aplicada en orden y todos los documentos dependientes están actualizados.</x:v>
      </x:c>
      <x:c r="N192" t="str">
        <x:v>12, 13, 14, 15, 16, 31, 32, 33, 34</x:v>
      </x:c>
      <x:c r="O192" t="str">
        <x:v>No iniciada; evidencia requerida.</x:v>
      </x:c>
      <x:c r="P192" t="n">
        <x:v>0</x:v>
      </x:c>
      <x:c r="Q192" t="str">
        <x:v>No cerrar por existencia documental; exigir ejecución, verificación y signoff.</x:v>
      </x:c>
    </x:row>
    <x:row r="193">
      <x:c r="A193" t="str">
        <x:v>TA-SEC-013</x:v>
      </x:c>
      <x:c r="B193" t="str">
        <x:v>R-SEC-013</x:v>
      </x:c>
      <x:c r="C193" t="str">
        <x:v>Security &amp; Secrets</x:v>
      </x:c>
      <x:c r="D193" t="str">
        <x:v>Tratar R-SEC-013: Package redaction</x:v>
      </x:c>
      <x:c r="E193" t="str">
        <x:v>Ejecutar escaneo de secretos y revisión de PII; excluir credenciales y almacenar evidencia restringida por separado.</x:v>
      </x:c>
      <x:c r="F193" t="str">
        <x:v>Security</x:v>
      </x:c>
      <x:c r="G193" t="str">
        <x:v>Privacy/Legal</x:v>
      </x:c>
      <x:c r="H193" t="str">
        <x:v>P0</x:v>
      </x:c>
      <x:c r="I193" t="str">
        <x:v>OPEN</x:v>
      </x:c>
      <x:c r="J193" t="str">
        <x:v>2026-07-01</x:v>
      </x:c>
      <x:c r="K193" t="str">
        <x:v>2026-07-31</x:v>
      </x:c>
      <x:c r="L193"/>
      <x:c r="M193" t="str">
        <x:v>Secret/PII scan y revisión manual PASS; cualquier evidencia sensible queda segregada.</x:v>
      </x:c>
      <x:c r="N193" t="str">
        <x:v>23, 26, 27, 31, 32, 33, 34</x:v>
      </x:c>
      <x:c r="O193" t="str">
        <x:v>No iniciada; evidencia requerida.</x:v>
      </x:c>
      <x:c r="P193" t="n">
        <x:v>0</x:v>
      </x:c>
      <x:c r="Q193" t="str">
        <x:v>No cerrar por existencia documental; exigir ejecución, verificación y signoff.</x:v>
      </x:c>
    </x:row>
    <x:row r="194">
      <x:c r="A194" t="str">
        <x:v>TA-LEG-009</x:v>
      </x:c>
      <x:c r="B194" t="str">
        <x:v>R-LEG-009</x:v>
      </x:c>
      <x:c r="C194" t="str">
        <x:v>Legal, IP &amp; Compliance</x:v>
      </x:c>
      <x:c r="D194" t="str">
        <x:v>Tratar R-LEG-009: Handoff legal evidence</x:v>
      </x:c>
      <x:c r="E194" t="str">
        <x:v>Verificar muestra y cobertura total de activos de release; asegurar créditos/licencias y evidencia recuperable.</x:v>
      </x:c>
      <x:c r="F194" t="str">
        <x:v>Legal</x:v>
      </x:c>
      <x:c r="G194" t="str">
        <x:v>Project Owner</x:v>
      </x:c>
      <x:c r="H194" t="str">
        <x:v>P0</x:v>
      </x:c>
      <x:c r="I194" t="str">
        <x:v>OPEN</x:v>
      </x:c>
      <x:c r="J194" t="str">
        <x:v>2026-07-01</x:v>
      </x:c>
      <x:c r="K194" t="str">
        <x:v>2026-07-31</x:v>
      </x:c>
      <x:c r="L194"/>
      <x:c r="M194" t="str">
        <x:v>Licencias/créditos/contratos del contenido distribuible tienen evidencia localizable y signoff.</x:v>
      </x:c>
      <x:c r="N194" t="str">
        <x:v>17, 18, 19, 21, 22, 23, 24, 31, 33, 34</x:v>
      </x:c>
      <x:c r="O194" t="str">
        <x:v>No iniciada; evidencia requerida.</x:v>
      </x:c>
      <x:c r="P194" t="n">
        <x:v>0</x:v>
      </x:c>
      <x:c r="Q194" t="str">
        <x:v>No cerrar por existencia documental; exigir ejecución, verificación y signoff.</x:v>
      </x:c>
    </x:row>
    <x:row r="195">
      <x:c r="A195" t="str">
        <x:v>TA-PUB-009</x:v>
      </x:c>
      <x:c r="B195" t="str">
        <x:v>R-PUB-009</x:v>
      </x:c>
      <x:c r="C195" t="str">
        <x:v>Publishing, Marketing &amp; Reputation</x:v>
      </x:c>
      <x:c r="D195" t="str">
        <x:v>Tratar R-PUB-009: Unsupported readiness claims</x:v>
      </x:c>
      <x:c r="E195" t="str">
        <x:v>Permitir claims únicamente desde evidencia enlazada y estados PASS firmados; usar lenguaje provisional mientras tanto.</x:v>
      </x:c>
      <x:c r="F195" t="str">
        <x:v>Publishing / Marketing</x:v>
      </x:c>
      <x:c r="G195" t="str">
        <x:v>QA / Legal</x:v>
      </x:c>
      <x:c r="H195" t="str">
        <x:v>P1</x:v>
      </x:c>
      <x:c r="I195" t="str">
        <x:v>OPEN</x:v>
      </x:c>
      <x:c r="J195" t="str">
        <x:v>2026-07-01</x:v>
      </x:c>
      <x:c r="K195" t="str">
        <x:v>2026-07-31</x:v>
      </x:c>
      <x:c r="L195"/>
      <x:c r="M195" t="str">
        <x:v>Cada claim de readiness/accesibilidad/rendimiento enlaza a evidencia y aprobación.</x:v>
      </x:c>
      <x:c r="N195" t="str">
        <x:v>23, 24, 28, 29, 30, 31, 33, 34</x:v>
      </x:c>
      <x:c r="O195" t="str">
        <x:v>No iniciada; evidencia requerida.</x:v>
      </x:c>
      <x:c r="P195" t="n">
        <x:v>0</x:v>
      </x:c>
      <x:c r="Q195" t="str">
        <x:v>No cerrar por existencia documental; exigir ejecución, verificación y signoff.</x:v>
      </x:c>
    </x:row>
    <x:row r="196">
      <x:c r="A196" t="str">
        <x:v>TA-EXT-009</x:v>
      </x:c>
      <x:c r="B196" t="str">
        <x:v>R-EXT-009</x:v>
      </x:c>
      <x:c r="C196" t="str">
        <x:v>External Services &amp; Vendors</x:v>
      </x:c>
      <x:c r="D196" t="str">
        <x:v>Tratar R-EXT-009: Git/environment binding</x:v>
      </x:c>
      <x:c r="E196" t="str">
        <x:v>Vincular baseline a commit/tag, Unity y package manifest; probar checkout/import/build desde copia independiente.</x:v>
      </x:c>
      <x:c r="F196" t="str">
        <x:v>Engineering / Documentation</x:v>
      </x:c>
      <x:c r="G196" t="str">
        <x:v>Build / Continuity</x:v>
      </x:c>
      <x:c r="H196" t="str">
        <x:v>P0</x:v>
      </x:c>
      <x:c r="I196" t="str">
        <x:v>OPEN</x:v>
      </x:c>
      <x:c r="J196" t="str">
        <x:v>2026-07-01</x:v>
      </x:c>
      <x:c r="K196" t="str">
        <x:v>2026-07-31</x:v>
      </x:c>
      <x:c r="L196"/>
      <x:c r="M196" t="str">
        <x:v>Commit/tag/Unity/packages restaurados desde copia independiente y clean build reproducible.</x:v>
      </x:c>
      <x:c r="N196" t="str">
        <x:v>10, 11, 13, 27, 31, 32, 33, 34</x:v>
      </x:c>
      <x:c r="O196" t="str">
        <x:v>No iniciada; evidencia requerida.</x:v>
      </x:c>
      <x:c r="P196" t="n">
        <x:v>0</x:v>
      </x:c>
      <x:c r="Q196" t="str">
        <x:v>No cerrar por existencia documental; exigir ejecución, verificación y signoff.</x:v>
      </x:c>
    </x:row>
  </x:sheetData>
  <x:mergeCells>
    <x:mergeCell ref="A1:Q1"/>
    <x:mergeCell ref="A2:Q2"/>
  </x:mergeCells>
  <x:conditionalFormatting sqref="I5:I184">
    <x:cfRule type="expression" dxfId="10" priority="1">
      <x:formula>I5="DONE"</x:formula>
    </x:cfRule>
    <x:cfRule type="expression" dxfId="11" priority="2">
      <x:formula>OR(I5="BLOCKED",H5="P0")</x:formula>
    </x:cfRule>
  </x:conditionalFormatting>
  <x:conditionalFormatting sqref="P5:P184">
    <x:cfRule type="dataBar" priority="3">
      <x:dataBar>
        <x:cfvo type="min"/>
        <x:cfvo type="max"/>
        <x:color rgb="FF15803D"/>
      </x:dataBar>
      <x:extLst>
        <x:ext xmlns:x14="http://schemas.microsoft.com/office/spreadsheetml/2009/9/main" uri="{B025F937-C7B1-47D3-B67F-A62EFF666E3E}">
          <x14:id>{2F5041C0-728F-9511-CF82-48F5536A121A}</x14:id>
        </x:ext>
      </x:extLst>
    </x:cfRule>
  </x:conditionalFormatting>
  <x:dataValidations count="3">
    <x:dataValidation type="list" sqref="H5:H184">
      <x:formula1>"P0,P1,P2,P3"</x:formula1>
    </x:dataValidation>
    <x:dataValidation type="list" sqref="I5:I184">
      <x:formula1>"OPEN,IN PROGRESS,BLOCKED,DONE,CANCELLED"</x:formula1>
    </x:dataValidation>
    <x:dataValidation operator="between" sqref="P5:P184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34a0165ce4941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2F5041C0-728F-9511-CF82-48F5536A121A}">
            <x14:dataBar gradient="0">
              <x14:cfvo type="min"/>
              <x14:cfvo type="max"/>
              <x14:fillColor rgb="FF15803D"/>
            </x14:dataBar>
          </x14:cfRule>
          <xm:sqref>P5:P184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4" hidden="0" customWidth="1"/>
    <x:col min="5" max="5" width="48" hidden="0" customWidth="1"/>
    <x:col min="6" max="6" width="48" hidden="0" customWidth="1"/>
    <x:col min="7" max="7" width="12" hidden="0" customWidth="1"/>
    <x:col min="8" max="8" width="12" hidden="0" customWidth="1"/>
    <x:col min="9" max="9" width="16" hidden="0" customWidth="1"/>
    <x:col min="10" max="10" width="2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8" hidden="0" customWidth="1"/>
    <x:col min="18" max="18" width="52" hidden="0" customWidth="1"/>
    <x:col min="19" max="19" width="13" hidden="0" customWidth="1"/>
    <x:col min="20" max="20" width="16" hidden="0" customWidth="1"/>
  </x:cols>
  <x:sheetData>
    <x:row r="1" ht="36" customHeight="1">
      <x:c r="A1" s="5" t="str">
        <x:v>04 — Business Impact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42" customHeight="1">
      <x:c r="A2" s="13" t="str">
        <x:v>Prioritizes critical capabilities and defines tolerable disruption, recovery objectives and minimum operating modes. Times are initial targets pending exercise validation.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s="21" t="str">
        <x:v>BIA ID</x:v>
      </x:c>
      <x:c r="B4" s="21" t="str">
        <x:v>Critical Capability</x:v>
      </x:c>
      <x:c r="C4" s="21" t="str">
        <x:v>Domain</x:v>
      </x:c>
      <x:c r="D4" s="21" t="str">
        <x:v>Criticality</x:v>
      </x:c>
      <x:c r="E4" s="21" t="str">
        <x:v>Impact if Unavailable</x:v>
      </x:c>
      <x:c r="F4" s="21" t="str">
        <x:v>Dependencies</x:v>
      </x:c>
      <x:c r="G4" s="21" t="str">
        <x:v>MTPD</x:v>
      </x:c>
      <x:c r="H4" s="21" t="str">
        <x:v>RTO</x:v>
      </x:c>
      <x:c r="I4" s="21" t="str">
        <x:v>RPO</x:v>
      </x:c>
      <x:c r="J4" s="21" t="str">
        <x:v>Maximum Data Loss</x:v>
      </x:c>
      <x:c r="K4" s="21" t="str">
        <x:v>Impact 1h</x:v>
      </x:c>
      <x:c r="L4" s="21" t="str">
        <x:v>Impact 4h</x:v>
      </x:c>
      <x:c r="M4" s="21" t="str">
        <x:v>Impact 24h</x:v>
      </x:c>
      <x:c r="N4" s="21" t="str">
        <x:v>Impact 3d</x:v>
      </x:c>
      <x:c r="O4" s="21" t="str">
        <x:v>Impact 7d</x:v>
      </x:c>
      <x:c r="P4" s="21" t="str">
        <x:v>Impact 30d</x:v>
      </x:c>
      <x:c r="Q4" s="21" t="str">
        <x:v>Owner</x:v>
      </x:c>
      <x:c r="R4" s="21" t="str">
        <x:v>Minimum Continuity Mode</x:v>
      </x:c>
      <x:c r="S4" s="21" t="str">
        <x:v>Playbook</x:v>
      </x:c>
      <x:c r="T4" s="21" t="str">
        <x:v>Test State</x:v>
      </x:c>
    </x:row>
    <x:row r="5">
      <x:c r="A5" s="27" t="str">
        <x:v>BIA-01</x:v>
      </x:c>
      <x:c r="B5" s="36" t="str">
        <x:v>Product governance and scope decisions</x:v>
      </x:c>
      <x:c r="C5" s="36" t="str">
        <x:v>Production</x:v>
      </x:c>
      <x:c r="D5" s="36" t="str">
        <x:v>Critical</x:v>
      </x:c>
      <x:c r="E5" s="36" t="str">
        <x:v>Wrong scope or unauthorized decision</x:v>
      </x:c>
      <x:c r="F5" s="36" t="str">
        <x:v>Decision log, baseline, owner</x:v>
      </x:c>
      <x:c r="G5" s="36" t="str">
        <x:v>4 h</x:v>
      </x:c>
      <x:c r="H5" s="36" t="str">
        <x:v>8 h</x:v>
      </x:c>
      <x:c r="I5" s="36" t="str">
        <x:v>4 h</x:v>
      </x:c>
      <x:c r="J5" s="36" t="str">
        <x:v>None</x:v>
      </x:c>
      <x:c r="K5" s="36" t="str">
        <x:v>High</x:v>
      </x:c>
      <x:c r="L5" s="36" t="str">
        <x:v>Critical</x:v>
      </x:c>
      <x:c r="M5" s="36" t="str">
        <x:v>Critical</x:v>
      </x:c>
      <x:c r="N5" s="36" t="str">
        <x:v>Critical</x:v>
      </x:c>
      <x:c r="O5" s="36" t="str">
        <x:v>Critical</x:v>
      </x:c>
      <x:c r="P5" s="36" t="str">
        <x:v>Critical</x:v>
      </x:c>
      <x:c r="Q5" s="36" t="str">
        <x:v>Project Owner</x:v>
      </x:c>
      <x:c r="R5" s="36" t="str">
        <x:v>Alternate reviewer and offline baseline</x:v>
      </x:c>
      <x:c r="S5" s="36" t="str">
        <x:v>PB-01</x:v>
      </x:c>
      <x:c r="T5" s="36" t="str">
        <x:v>NOT TESTED</x:v>
      </x:c>
    </x:row>
    <x:row r="6">
      <x:c r="A6" s="27" t="str">
        <x:v>BIA-02</x:v>
      </x:c>
      <x:c r="B6" s="36" t="str">
        <x:v>Project leadership and knowledge continuity</x:v>
      </x:c>
      <x:c r="C6" s="36" t="str">
        <x:v>Production</x:v>
      </x:c>
      <x:c r="D6" s="36" t="str">
        <x:v>Critical</x:v>
      </x:c>
      <x:c r="E6" s="36" t="str">
        <x:v>Work cannot be prioritized or resumed</x:v>
      </x:c>
      <x:c r="F6" s="36" t="str">
        <x:v>Handoff, manual 34, repository, credentials</x:v>
      </x:c>
      <x:c r="G6" s="36" t="str">
        <x:v>8 h</x:v>
      </x:c>
      <x:c r="H6" s="36" t="str">
        <x:v>24 h</x:v>
      </x:c>
      <x:c r="I6" s="36" t="str">
        <x:v>4 h</x:v>
      </x:c>
      <x:c r="J6" s="36" t="str">
        <x:v>&lt;4 h decisions/notes</x:v>
      </x:c>
      <x:c r="K6" s="36" t="str">
        <x:v>Medium</x:v>
      </x:c>
      <x:c r="L6" s="36" t="str">
        <x:v>High</x:v>
      </x:c>
      <x:c r="M6" s="36" t="str">
        <x:v>Critical</x:v>
      </x:c>
      <x:c r="N6" s="36" t="str">
        <x:v>Critical</x:v>
      </x:c>
      <x:c r="O6" s="36" t="str">
        <x:v>Critical</x:v>
      </x:c>
      <x:c r="P6" s="36" t="str">
        <x:v>Critical</x:v>
      </x:c>
      <x:c r="Q6" s="36" t="str">
        <x:v>Project Owner</x:v>
      </x:c>
      <x:c r="R6" s="36" t="str">
        <x:v>Designated alternate with read access</x:v>
      </x:c>
      <x:c r="S6" s="36" t="str">
        <x:v>PB-02</x:v>
      </x:c>
      <x:c r="T6" s="36" t="str">
        <x:v>NOT TESTED</x:v>
      </x:c>
    </x:row>
    <x:row r="7">
      <x:c r="A7" s="27" t="str">
        <x:v>BIA-03</x:v>
      </x:c>
      <x:c r="B7" s="36" t="str">
        <x:v>Sprint planning and execution</x:v>
      </x:c>
      <x:c r="C7" s="36" t="str">
        <x:v>Production</x:v>
      </x:c>
      <x:c r="D7" s="36" t="str">
        <x:v>High</x:v>
      </x:c>
      <x:c r="E7" s="36" t="str">
        <x:v>Milestone delay and hidden blockers</x:v>
      </x:c>
      <x:c r="F7" s="36" t="str">
        <x:v>Roadmap, tracking, risk/issue registers</x:v>
      </x:c>
      <x:c r="G7" s="36" t="str">
        <x:v>24 h</x:v>
      </x:c>
      <x:c r="H7" s="36" t="str">
        <x:v>48 h</x:v>
      </x:c>
      <x:c r="I7" s="36" t="str">
        <x:v>24 h</x:v>
      </x:c>
      <x:c r="J7" s="36" t="str">
        <x:v>1 business day</x:v>
      </x:c>
      <x:c r="K7" s="36" t="str">
        <x:v>Low</x:v>
      </x:c>
      <x:c r="L7" s="36" t="str">
        <x:v>Medium</x:v>
      </x:c>
      <x:c r="M7" s="36" t="str">
        <x:v>High</x:v>
      </x:c>
      <x:c r="N7" s="36" t="str">
        <x:v>High</x:v>
      </x:c>
      <x:c r="O7" s="36" t="str">
        <x:v>Critical</x:v>
      </x:c>
      <x:c r="P7" s="36" t="str">
        <x:v>Critical</x:v>
      </x:c>
      <x:c r="Q7" s="36" t="str">
        <x:v>Production</x:v>
      </x:c>
      <x:c r="R7" s="36" t="str">
        <x:v>Reduced WIP / manual board</x:v>
      </x:c>
      <x:c r="S7" s="36" t="str">
        <x:v>PB-03</x:v>
      </x:c>
      <x:c r="T7" s="36" t="str">
        <x:v>NOT TESTED</x:v>
      </x:c>
    </x:row>
    <x:row r="8">
      <x:c r="A8" s="27" t="str">
        <x:v>BIA-04</x:v>
      </x:c>
      <x:c r="B8" s="36" t="str">
        <x:v>Unity development and source control</x:v>
      </x:c>
      <x:c r="C8" s="36" t="str">
        <x:v>Engineering</x:v>
      </x:c>
      <x:c r="D8" s="36" t="str">
        <x:v>Critical</x:v>
      </x:c>
      <x:c r="E8" s="36" t="str">
        <x:v>No code/asset integration or build</x:v>
      </x:c>
      <x:c r="F8" s="36" t="str">
        <x:v>Repository, Unity version, packages, workstation</x:v>
      </x:c>
      <x:c r="G8" s="36" t="str">
        <x:v>4 h</x:v>
      </x:c>
      <x:c r="H8" s="36" t="str">
        <x:v>24 h</x:v>
      </x:c>
      <x:c r="I8" s="36" t="str">
        <x:v>4 h</x:v>
      </x:c>
      <x:c r="J8" s="36" t="str">
        <x:v>4 h local work</x:v>
      </x:c>
      <x:c r="K8" s="36" t="str">
        <x:v>Medium</x:v>
      </x:c>
      <x:c r="L8" s="36" t="str">
        <x:v>High</x:v>
      </x:c>
      <x:c r="M8" s="36" t="str">
        <x:v>Critical</x:v>
      </x:c>
      <x:c r="N8" s="36" t="str">
        <x:v>Critical</x:v>
      </x:c>
      <x:c r="O8" s="36" t="str">
        <x:v>Critical</x:v>
      </x:c>
      <x:c r="P8" s="36" t="str">
        <x:v>Critical</x:v>
      </x:c>
      <x:c r="Q8" s="36" t="str">
        <x:v>Engineering</x:v>
      </x:c>
      <x:c r="R8" s="36" t="str">
        <x:v>Verified clone and alternate workstation</x:v>
      </x:c>
      <x:c r="S8" s="36" t="str">
        <x:v>PB-04</x:v>
      </x:c>
      <x:c r="T8" s="36" t="str">
        <x:v>NOT TESTED</x:v>
      </x:c>
    </x:row>
    <x:row r="9">
      <x:c r="A9" s="27" t="str">
        <x:v>BIA-05</x:v>
      </x:c>
      <x:c r="B9" s="36" t="str">
        <x:v>Save/load and player data integrity</x:v>
      </x:c>
      <x:c r="C9" s="36" t="str">
        <x:v>Engineering/Data</x:v>
      </x:c>
      <x:c r="D9" s="36" t="str">
        <x:v>Critical</x:v>
      </x:c>
      <x:c r="E9" s="36" t="str">
        <x:v>Player progress lost or corrupted</x:v>
      </x:c>
      <x:c r="F9" s="36" t="str">
        <x:v>Code, schema, backups, test corpus</x:v>
      </x:c>
      <x:c r="G9" s="36" t="str">
        <x:v>Immediate</x:v>
      </x:c>
      <x:c r="H9" s="36" t="str">
        <x:v>4 h</x:v>
      </x:c>
      <x:c r="I9" s="36" t="str">
        <x:v>Per transaction</x:v>
      </x:c>
      <x:c r="J9" s="36" t="str">
        <x:v>0 confirmed data loss</x:v>
      </x:c>
      <x:c r="K9" s="36" t="str">
        <x:v>Critical</x:v>
      </x:c>
      <x:c r="L9" s="36" t="str">
        <x:v>Critical</x:v>
      </x:c>
      <x:c r="M9" s="36" t="str">
        <x:v>Critical</x:v>
      </x:c>
      <x:c r="N9" s="36" t="str">
        <x:v>Critical</x:v>
      </x:c>
      <x:c r="O9" s="36" t="str">
        <x:v>Critical</x:v>
      </x:c>
      <x:c r="P9" s="36" t="str">
        <x:v>Critical</x:v>
      </x:c>
      <x:c r="Q9" s="36" t="str">
        <x:v>Engineering/Data</x:v>
      </x:c>
      <x:c r="R9" s="36" t="str">
        <x:v>Read-only preservation and recovery tool</x:v>
      </x:c>
      <x:c r="S9" s="36" t="str">
        <x:v>PB-05</x:v>
      </x:c>
      <x:c r="T9" s="36" t="str">
        <x:v>NOT TESTED</x:v>
      </x:c>
    </x:row>
    <x:row r="10">
      <x:c r="A10" s="27" t="str">
        <x:v>BIA-06</x:v>
      </x:c>
      <x:c r="B10" s="36" t="str">
        <x:v>QA and acceptance evidence</x:v>
      </x:c>
      <x:c r="C10" s="36" t="str">
        <x:v>QA</x:v>
      </x:c>
      <x:c r="D10" s="36" t="str">
        <x:v>Critical</x:v>
      </x:c>
      <x:c r="E10" s="36" t="str">
        <x:v>Gate cannot be trusted or signed</x:v>
      </x:c>
      <x:c r="F10" s="36" t="str">
        <x:v>Test plans, matrix, builds, logs, defects</x:v>
      </x:c>
      <x:c r="G10" s="36" t="str">
        <x:v>8 h</x:v>
      </x:c>
      <x:c r="H10" s="36" t="str">
        <x:v>24 h</x:v>
      </x:c>
      <x:c r="I10" s="36" t="str">
        <x:v>24 h</x:v>
      </x:c>
      <x:c r="J10" s="36" t="str">
        <x:v>1 execution cycle</x:v>
      </x:c>
      <x:c r="K10" s="36" t="str">
        <x:v>Low</x:v>
      </x:c>
      <x:c r="L10" s="36" t="str">
        <x:v>High</x:v>
      </x:c>
      <x:c r="M10" s="36" t="str">
        <x:v>Critical</x:v>
      </x:c>
      <x:c r="N10" s="36" t="str">
        <x:v>Critical</x:v>
      </x:c>
      <x:c r="O10" s="36" t="str">
        <x:v>Critical</x:v>
      </x:c>
      <x:c r="P10" s="36" t="str">
        <x:v>Critical</x:v>
      </x:c>
      <x:c r="Q10" s="36" t="str">
        <x:v>QA</x:v>
      </x:c>
      <x:c r="R10" s="36" t="str">
        <x:v>Manual smoke suite and last evidence export</x:v>
      </x:c>
      <x:c r="S10" s="36" t="str">
        <x:v>PB-06</x:v>
      </x:c>
      <x:c r="T10" s="36" t="str">
        <x:v>NOT TESTED</x:v>
      </x:c>
    </x:row>
    <x:row r="11">
      <x:c r="A11" s="27" t="str">
        <x:v>BIA-07</x:v>
      </x:c>
      <x:c r="B11" s="36" t="str">
        <x:v>Performance profiling and stability validation</x:v>
      </x:c>
      <x:c r="C11" s="36" t="str">
        <x:v>Engineering/QA</x:v>
      </x:c>
      <x:c r="D11" s="36" t="str">
        <x:v>High</x:v>
      </x:c>
      <x:c r="E11" s="36" t="str">
        <x:v>Performance gate or diagnosis blocked</x:v>
      </x:c>
      <x:c r="F11" s="36" t="str">
        <x:v>Target hardware, profiler, scenarios, baseline</x:v>
      </x:c>
      <x:c r="G11" s="36" t="str">
        <x:v>24 h</x:v>
      </x:c>
      <x:c r="H11" s="36" t="str">
        <x:v>72 h</x:v>
      </x:c>
      <x:c r="I11" s="36" t="str">
        <x:v>Per benchmark</x:v>
      </x:c>
      <x:c r="J11" s="36" t="str">
        <x:v>1 benchmark cycle</x:v>
      </x:c>
      <x:c r="K11" s="36" t="str">
        <x:v>Low</x:v>
      </x:c>
      <x:c r="L11" s="36" t="str">
        <x:v>Medium</x:v>
      </x:c>
      <x:c r="M11" s="36" t="str">
        <x:v>High</x:v>
      </x:c>
      <x:c r="N11" s="36" t="str">
        <x:v>High</x:v>
      </x:c>
      <x:c r="O11" s="36" t="str">
        <x:v>High</x:v>
      </x:c>
      <x:c r="P11" s="36" t="str">
        <x:v>Critical</x:v>
      </x:c>
      <x:c r="Q11" s="36" t="str">
        <x:v>Engineering/QA</x:v>
      </x:c>
      <x:c r="R11" s="36" t="str">
        <x:v>Safe preset and baseline build</x:v>
      </x:c>
      <x:c r="S11" s="36" t="str">
        <x:v>PB-07</x:v>
      </x:c>
      <x:c r="T11" s="36" t="str">
        <x:v>NOT TESTED</x:v>
      </x:c>
    </x:row>
    <x:row r="12">
      <x:c r="A12" s="27" t="str">
        <x:v>BIA-08</x:v>
      </x:c>
      <x:c r="B12" s="36" t="str">
        <x:v>Security and critical account access</x:v>
      </x:c>
      <x:c r="C12" s="36" t="str">
        <x:v>Security</x:v>
      </x:c>
      <x:c r="D12" s="36" t="str">
        <x:v>Critical</x:v>
      </x:c>
      <x:c r="E12" s="36" t="str">
        <x:v>Source/build/store compromise or lockout</x:v>
      </x:c>
      <x:c r="F12" s="36" t="str">
        <x:v>MFA, password manager, recovery codes, logs</x:v>
      </x:c>
      <x:c r="G12" s="36" t="str">
        <x:v>Immediate</x:v>
      </x:c>
      <x:c r="H12" s="36" t="str">
        <x:v>4 h</x:v>
      </x:c>
      <x:c r="I12" s="36" t="str">
        <x:v>Immediate</x:v>
      </x:c>
      <x:c r="J12" s="36" t="str">
        <x:v>0 exposed secret</x:v>
      </x:c>
      <x:c r="K12" s="36" t="str">
        <x:v>Critical</x:v>
      </x:c>
      <x:c r="L12" s="36" t="str">
        <x:v>Critical</x:v>
      </x:c>
      <x:c r="M12" s="36" t="str">
        <x:v>Critical</x:v>
      </x:c>
      <x:c r="N12" s="36" t="str">
        <x:v>Critical</x:v>
      </x:c>
      <x:c r="O12" s="36" t="str">
        <x:v>Critical</x:v>
      </x:c>
      <x:c r="P12" s="36" t="str">
        <x:v>Critical</x:v>
      </x:c>
      <x:c r="Q12" s="36" t="str">
        <x:v>Security/Owner</x:v>
      </x:c>
      <x:c r="R12" s="36" t="str">
        <x:v>Offline recovery and alternate admin</x:v>
      </x:c>
      <x:c r="S12" s="36" t="str">
        <x:v>PB-08</x:v>
      </x:c>
      <x:c r="T12" s="36" t="str">
        <x:v>NOT TESTED</x:v>
      </x:c>
    </x:row>
    <x:row r="13">
      <x:c r="A13" s="27" t="str">
        <x:v>BIA-09</x:v>
      </x:c>
      <x:c r="B13" s="36" t="str">
        <x:v>Privacy and user data handling</x:v>
      </x:c>
      <x:c r="C13" s="36" t="str">
        <x:v>Privacy</x:v>
      </x:c>
      <x:c r="D13" s="36" t="str">
        <x:v>Critical</x:v>
      </x:c>
      <x:c r="E13" s="36" t="str">
        <x:v>Unlawful processing or inability to respond</x:v>
      </x:c>
      <x:c r="F13" s="36" t="str">
        <x:v>Data map, notices, vendor records, deletion process</x:v>
      </x:c>
      <x:c r="G13" s="36" t="str">
        <x:v>4 h</x:v>
      </x:c>
      <x:c r="H13" s="36" t="str">
        <x:v>24 h</x:v>
      </x:c>
      <x:c r="I13" s="36" t="str">
        <x:v>Per event</x:v>
      </x:c>
      <x:c r="J13" s="36" t="str">
        <x:v>0 unreported personal-data loss</x:v>
      </x:c>
      <x:c r="K13" s="36" t="str">
        <x:v>High</x:v>
      </x:c>
      <x:c r="L13" s="36" t="str">
        <x:v>Critical</x:v>
      </x:c>
      <x:c r="M13" s="36" t="str">
        <x:v>Critical</x:v>
      </x:c>
      <x:c r="N13" s="36" t="str">
        <x:v>Critical</x:v>
      </x:c>
      <x:c r="O13" s="36" t="str">
        <x:v>Critical</x:v>
      </x:c>
      <x:c r="P13" s="36" t="str">
        <x:v>Critical</x:v>
      </x:c>
      <x:c r="Q13" s="36" t="str">
        <x:v>Privacy</x:v>
      </x:c>
      <x:c r="R13" s="36" t="str">
        <x:v>Suspend collection / manual response</x:v>
      </x:c>
      <x:c r="S13" s="36" t="str">
        <x:v>PB-09</x:v>
      </x:c>
      <x:c r="T13" s="36" t="str">
        <x:v>NOT TESTED</x:v>
      </x:c>
    </x:row>
    <x:row r="14">
      <x:c r="A14" s="27" t="str">
        <x:v>BIA-10</x:v>
      </x:c>
      <x:c r="B14" s="36" t="str">
        <x:v>Legal rights and license evidence</x:v>
      </x:c>
      <x:c r="C14" s="36" t="str">
        <x:v>Legal</x:v>
      </x:c>
      <x:c r="D14" s="36" t="str">
        <x:v>Critical</x:v>
      </x:c>
      <x:c r="E14" s="36" t="str">
        <x:v>Distribution must stop</x:v>
      </x:c>
      <x:c r="F14" s="36" t="str">
        <x:v>License register, receipts, source URLs, notices</x:v>
      </x:c>
      <x:c r="G14" s="36" t="str">
        <x:v>8 h</x:v>
      </x:c>
      <x:c r="H14" s="36" t="str">
        <x:v>24 h</x:v>
      </x:c>
      <x:c r="I14" s="36" t="str">
        <x:v>Per change</x:v>
      </x:c>
      <x:c r="J14" s="36" t="str">
        <x:v>No loss of proof</x:v>
      </x:c>
      <x:c r="K14" s="36" t="str">
        <x:v>Medium</x:v>
      </x:c>
      <x:c r="L14" s="36" t="str">
        <x:v>High</x:v>
      </x:c>
      <x:c r="M14" s="36" t="str">
        <x:v>Critical</x:v>
      </x:c>
      <x:c r="N14" s="36" t="str">
        <x:v>Critical</x:v>
      </x:c>
      <x:c r="O14" s="36" t="str">
        <x:v>Critical</x:v>
      </x:c>
      <x:c r="P14" s="36" t="str">
        <x:v>Critical</x:v>
      </x:c>
      <x:c r="Q14" s="36" t="str">
        <x:v>Project Owner/Legal</x:v>
      </x:c>
      <x:c r="R14" s="36" t="str">
        <x:v>Remove affected asset and rebuild</x:v>
      </x:c>
      <x:c r="S14" s="36" t="str">
        <x:v>PB-10</x:v>
      </x:c>
      <x:c r="T14" s="36" t="str">
        <x:v>NOT TESTED</x:v>
      </x:c>
    </x:row>
    <x:row r="15">
      <x:c r="A15" s="27" t="str">
        <x:v>BIA-11</x:v>
      </x:c>
      <x:c r="B15" s="36" t="str">
        <x:v>Steam publishing and public communication</x:v>
      </x:c>
      <x:c r="C15" s="36" t="str">
        <x:v>Publishing</x:v>
      </x:c>
      <x:c r="D15" s="36" t="str">
        <x:v>Critical</x:v>
      </x:c>
      <x:c r="E15" s="36" t="str">
        <x:v>Wrong build/store statement or inability to publish</x:v>
      </x:c>
      <x:c r="F15" s="36" t="str">
        <x:v>Steamworks, store assets, credentials, release checklist</x:v>
      </x:c>
      <x:c r="G15" s="36" t="str">
        <x:v>2 h</x:v>
      </x:c>
      <x:c r="H15" s="36" t="str">
        <x:v>8 h</x:v>
      </x:c>
      <x:c r="I15" s="36" t="str">
        <x:v>Per approved change</x:v>
      </x:c>
      <x:c r="J15" s="36" t="str">
        <x:v>2 h campaign data</x:v>
      </x:c>
      <x:c r="K15" s="36" t="str">
        <x:v>Medium</x:v>
      </x:c>
      <x:c r="L15" s="36" t="str">
        <x:v>High</x:v>
      </x:c>
      <x:c r="M15" s="36" t="str">
        <x:v>Critical</x:v>
      </x:c>
      <x:c r="N15" s="36" t="str">
        <x:v>Critical</x:v>
      </x:c>
      <x:c r="O15" s="36" t="str">
        <x:v>Critical</x:v>
      </x:c>
      <x:c r="P15" s="36" t="str">
        <x:v>Critical</x:v>
      </x:c>
      <x:c r="Q15" s="36" t="str">
        <x:v>Publishing</x:v>
      </x:c>
      <x:c r="R15" s="36" t="str">
        <x:v>Pause release and use status message</x:v>
      </x:c>
      <x:c r="S15" s="36" t="str">
        <x:v>PB-11</x:v>
      </x:c>
      <x:c r="T15" s="36" t="str">
        <x:v>NOT TESTED</x:v>
      </x:c>
    </x:row>
    <x:row r="16">
      <x:c r="A16" s="27" t="str">
        <x:v>BIA-12</x:v>
      </x:c>
      <x:c r="B16" s="36" t="str">
        <x:v>Accessible and inclusive player journey</x:v>
      </x:c>
      <x:c r="C16" s="36" t="str">
        <x:v>UX/QA</x:v>
      </x:c>
      <x:c r="D16" s="36" t="str">
        <x:v>High</x:v>
      </x:c>
      <x:c r="E16" s="36" t="str">
        <x:v>Players cannot complete critical flow</x:v>
      </x:c>
      <x:c r="F16" s="36" t="str">
        <x:v>Settings, input, UI, captions, test evidence</x:v>
      </x:c>
      <x:c r="G16" s="36" t="str">
        <x:v>24 h</x:v>
      </x:c>
      <x:c r="H16" s="36" t="str">
        <x:v>72 h</x:v>
      </x:c>
      <x:c r="I16" s="36" t="str">
        <x:v>Per release</x:v>
      </x:c>
      <x:c r="J16" s="36" t="str">
        <x:v>1 release candidate</x:v>
      </x:c>
      <x:c r="K16" s="36" t="str">
        <x:v>Low</x:v>
      </x:c>
      <x:c r="L16" s="36" t="str">
        <x:v>Medium</x:v>
      </x:c>
      <x:c r="M16" s="36" t="str">
        <x:v>High</x:v>
      </x:c>
      <x:c r="N16" s="36" t="str">
        <x:v>High</x:v>
      </x:c>
      <x:c r="O16" s="36" t="str">
        <x:v>Critical</x:v>
      </x:c>
      <x:c r="P16" s="36" t="str">
        <x:v>Critical</x:v>
      </x:c>
      <x:c r="Q16" s="36" t="str">
        <x:v>Accessibility/QA</x:v>
      </x:c>
      <x:c r="R16" s="36" t="str">
        <x:v>Withdraw claim and supply workaround</x:v>
      </x:c>
      <x:c r="S16" s="36" t="str">
        <x:v>PB-12</x:v>
      </x:c>
      <x:c r="T16" s="36" t="str">
        <x:v>NOT TESTED</x:v>
      </x:c>
    </x:row>
    <x:row r="17">
      <x:c r="A17" s="27" t="str">
        <x:v>BIA-13</x:v>
      </x:c>
      <x:c r="B17" s="36" t="str">
        <x:v>Art/audio/content production assets</x:v>
      </x:c>
      <x:c r="C17" s="36" t="str">
        <x:v>Content</x:v>
      </x:c>
      <x:c r="D17" s="36" t="str">
        <x:v>High</x:v>
      </x:c>
      <x:c r="E17" s="36" t="str">
        <x:v>Cannot edit, repair or rebuild content</x:v>
      </x:c>
      <x:c r="F17" s="36" t="str">
        <x:v>DCC sources, exports, catalog, licenses</x:v>
      </x:c>
      <x:c r="G17" s="36" t="str">
        <x:v>24 h</x:v>
      </x:c>
      <x:c r="H17" s="36" t="str">
        <x:v>72 h</x:v>
      </x:c>
      <x:c r="I17" s="36" t="str">
        <x:v>24 h</x:v>
      </x:c>
      <x:c r="J17" s="36" t="str">
        <x:v>1 day of source work</x:v>
      </x:c>
      <x:c r="K17" s="36" t="str">
        <x:v>Low</x:v>
      </x:c>
      <x:c r="L17" s="36" t="str">
        <x:v>Medium</x:v>
      </x:c>
      <x:c r="M17" s="36" t="str">
        <x:v>High</x:v>
      </x:c>
      <x:c r="N17" s="36" t="str">
        <x:v>High</x:v>
      </x:c>
      <x:c r="O17" s="36" t="str">
        <x:v>Critical</x:v>
      </x:c>
      <x:c r="P17" s="36" t="str">
        <x:v>Critical</x:v>
      </x:c>
      <x:c r="Q17" s="36" t="str">
        <x:v>Art/Audio</x:v>
      </x:c>
      <x:c r="R17" s="36" t="str">
        <x:v>Use last approved derived assets</x:v>
      </x:c>
      <x:c r="S17" s="36" t="str">
        <x:v>PB-13</x:v>
      </x:c>
      <x:c r="T17" s="36" t="str">
        <x:v>NOT TESTED</x:v>
      </x:c>
    </x:row>
    <x:row r="18">
      <x:c r="A18" s="27" t="str">
        <x:v>BIA-14</x:v>
      </x:c>
      <x:c r="B18" s="36" t="str">
        <x:v>Financial and vendor payment capability</x:v>
      </x:c>
      <x:c r="C18" s="36" t="str">
        <x:v>Operations</x:v>
      </x:c>
      <x:c r="D18" s="36" t="str">
        <x:v>High</x:v>
      </x:c>
      <x:c r="E18" s="36" t="str">
        <x:v>Critical tools or services lapse</x:v>
      </x:c>
      <x:c r="F18" s="36" t="str">
        <x:v>Budget, payment method, invoices, renewal calendar</x:v>
      </x:c>
      <x:c r="G18" s="36" t="str">
        <x:v>24 h</x:v>
      </x:c>
      <x:c r="H18" s="36" t="str">
        <x:v>72 h</x:v>
      </x:c>
      <x:c r="I18" s="36" t="str">
        <x:v>7 days</x:v>
      </x:c>
      <x:c r="J18" s="36" t="str">
        <x:v>1 week</x:v>
      </x:c>
      <x:c r="K18" s="36" t="str">
        <x:v>Low</x:v>
      </x:c>
      <x:c r="L18" s="36" t="str">
        <x:v>Medium</x:v>
      </x:c>
      <x:c r="M18" s="36" t="str">
        <x:v>High</x:v>
      </x:c>
      <x:c r="N18" s="36" t="str">
        <x:v>High</x:v>
      </x:c>
      <x:c r="O18" s="36" t="str">
        <x:v>Critical</x:v>
      </x:c>
      <x:c r="P18" s="36" t="str">
        <x:v>Critical</x:v>
      </x:c>
      <x:c r="Q18" s="36" t="str">
        <x:v>Project Owner</x:v>
      </x:c>
      <x:c r="R18" s="36" t="str">
        <x:v>Reserve payment method and local operation</x:v>
      </x:c>
      <x:c r="S18" s="36" t="str">
        <x:v>PB-14</x:v>
      </x:c>
      <x:c r="T18" s="36" t="str">
        <x:v>NOT TESTED</x:v>
      </x:c>
    </x:row>
    <x:row r="19">
      <x:c r="A19" s="27" t="str">
        <x:v>BIA-15</x:v>
      </x:c>
      <x:c r="B19" s="36" t="str">
        <x:v>External development and distribution services</x:v>
      </x:c>
      <x:c r="C19" s="36" t="str">
        <x:v>Operations</x:v>
      </x:c>
      <x:c r="D19" s="36" t="str">
        <x:v>High</x:v>
      </x:c>
      <x:c r="E19" s="36" t="str">
        <x:v>Remote collaboration/publishing unavailable</x:v>
      </x:c>
      <x:c r="F19" s="36" t="str">
        <x:v>GitHub, Steam, cloud, domain/email</x:v>
      </x:c>
      <x:c r="G19" s="36" t="str">
        <x:v>4 h</x:v>
      </x:c>
      <x:c r="H19" s="36" t="str">
        <x:v>24 h</x:v>
      </x:c>
      <x:c r="I19" s="36" t="str">
        <x:v>4 h</x:v>
      </x:c>
      <x:c r="J19" s="36" t="str">
        <x:v>4 h</x:v>
      </x:c>
      <x:c r="K19" s="36" t="str">
        <x:v>Medium</x:v>
      </x:c>
      <x:c r="L19" s="36" t="str">
        <x:v>High</x:v>
      </x:c>
      <x:c r="M19" s="36" t="str">
        <x:v>High</x:v>
      </x:c>
      <x:c r="N19" s="36" t="str">
        <x:v>Critical</x:v>
      </x:c>
      <x:c r="O19" s="36" t="str">
        <x:v>Critical</x:v>
      </x:c>
      <x:c r="P19" s="36" t="str">
        <x:v>Critical</x:v>
      </x:c>
      <x:c r="Q19" s="36" t="str">
        <x:v>Production</x:v>
      </x:c>
      <x:c r="R19" s="36" t="str">
        <x:v>Offline/local work and queued publication</x:v>
      </x:c>
      <x:c r="S19" s="36" t="str">
        <x:v>PB-15</x:v>
      </x:c>
      <x:c r="T19" s="36" t="str">
        <x:v>NOT TESTED</x:v>
      </x:c>
    </x:row>
    <x:row r="20">
      <x:c r="A20" s="27" t="str">
        <x:v>BIA-16</x:v>
      </x:c>
      <x:c r="B20" s="36" t="str">
        <x:v>Workstation, internet and physical workspace</x:v>
      </x:c>
      <x:c r="C20" s="36" t="str">
        <x:v>IT/Owner</x:v>
      </x:c>
      <x:c r="D20" s="36" t="str">
        <x:v>Critical</x:v>
      </x:c>
      <x:c r="E20" s="36" t="str">
        <x:v>No productive environment</x:v>
      </x:c>
      <x:c r="F20" s="36" t="str">
        <x:v>Hardware, power, network, encrypted backup</x:v>
      </x:c>
      <x:c r="G20" s="36" t="str">
        <x:v>4 h</x:v>
      </x:c>
      <x:c r="H20" s="36" t="str">
        <x:v>48 h</x:v>
      </x:c>
      <x:c r="I20" s="36" t="str">
        <x:v>24 h</x:v>
      </x:c>
      <x:c r="J20" s="36" t="str">
        <x:v>1 day</x:v>
      </x:c>
      <x:c r="K20" s="36" t="str">
        <x:v>Medium</x:v>
      </x:c>
      <x:c r="L20" s="36" t="str">
        <x:v>High</x:v>
      </x:c>
      <x:c r="M20" s="36" t="str">
        <x:v>Critical</x:v>
      </x:c>
      <x:c r="N20" s="36" t="str">
        <x:v>Critical</x:v>
      </x:c>
      <x:c r="O20" s="36" t="str">
        <x:v>Critical</x:v>
      </x:c>
      <x:c r="P20" s="36" t="str">
        <x:v>Critical</x:v>
      </x:c>
      <x:c r="Q20" s="36" t="str">
        <x:v>Project Owner</x:v>
      </x:c>
      <x:c r="R20" s="36" t="str">
        <x:v>Alternate hardware/location/connectivity</x:v>
      </x:c>
      <x:c r="S20" s="36" t="str">
        <x:v>PB-16</x:v>
      </x:c>
      <x:c r="T20" s="36" t="str">
        <x:v>NOT TESTED</x:v>
      </x:c>
    </x:row>
    <x:row r="21">
      <x:c r="A21" s="27" t="str">
        <x:v>BIA-17</x:v>
      </x:c>
      <x:c r="B21" s="36" t="str">
        <x:v>Documentation baseline and institutional knowledge</x:v>
      </x:c>
      <x:c r="C21" s="36" t="str">
        <x:v>Documentation</x:v>
      </x:c>
      <x:c r="D21" s="36" t="str">
        <x:v>Critical</x:v>
      </x:c>
      <x:c r="E21" s="36" t="str">
        <x:v>Project cannot be audited, handed off or resumed</x:v>
      </x:c>
      <x:c r="F21" s="36" t="str">
        <x:v>00–34, history, final manifest, external checksums, immutable ZIP</x:v>
      </x:c>
      <x:c r="G21" s="36" t="str">
        <x:v>8 h</x:v>
      </x:c>
      <x:c r="H21" s="36" t="str">
        <x:v>24 h</x:v>
      </x:c>
      <x:c r="I21" s="36" t="str">
        <x:v>24 h</x:v>
      </x:c>
      <x:c r="J21" s="36" t="str">
        <x:v>1 day</x:v>
      </x:c>
      <x:c r="K21" s="36" t="str">
        <x:v>Low</x:v>
      </x:c>
      <x:c r="L21" s="36" t="str">
        <x:v>High</x:v>
      </x:c>
      <x:c r="M21" s="36" t="str">
        <x:v>Critical</x:v>
      </x:c>
      <x:c r="N21" s="36" t="str">
        <x:v>Critical</x:v>
      </x:c>
      <x:c r="O21" s="36" t="str">
        <x:v>Critical</x:v>
      </x:c>
      <x:c r="P21" s="36" t="str">
        <x:v>Critical</x:v>
      </x:c>
      <x:c r="Q21" s="36" t="str">
        <x:v>Documentation</x:v>
      </x:c>
      <x:c r="R21" s="36" t="str">
        <x:v>Last verified read-only package; no unverified freeze</x:v>
      </x:c>
      <x:c r="S21" s="36" t="str">
        <x:v>PB-17</x:v>
      </x:c>
      <x:c r="T21" s="36" t="str">
        <x:v>NOT TESTED</x:v>
      </x:c>
    </x:row>
    <x:row r="22">
      <x:c r="A22" s="27" t="str">
        <x:v>BIA-18</x:v>
      </x:c>
      <x:c r="B22" s="36" t="str">
        <x:v>Backup, restore and total-loss recovery</x:v>
      </x:c>
      <x:c r="C22" s="36" t="str">
        <x:v>Continuity</x:v>
      </x:c>
      <x:c r="D22" s="36" t="str">
        <x:v>Critical</x:v>
      </x:c>
      <x:c r="E22" s="36" t="str">
        <x:v>All other recoveries fail</x:v>
      </x:c>
      <x:c r="F22" s="36" t="str">
        <x:v>3-2-1 copies, keys, runbooks, final package, clean-room tests</x:v>
      </x:c>
      <x:c r="G22" s="36" t="str">
        <x:v>Immediate</x:v>
      </x:c>
      <x:c r="H22" s="36" t="str">
        <x:v>72 h</x:v>
      </x:c>
      <x:c r="I22" s="36" t="str">
        <x:v>4 h code / 24 h assets/docs</x:v>
      </x:c>
      <x:c r="J22" s="36" t="str">
        <x:v>As defined per asset</x:v>
      </x:c>
      <x:c r="K22" s="36" t="str">
        <x:v>Critical</x:v>
      </x:c>
      <x:c r="L22" s="36" t="str">
        <x:v>Critical</x:v>
      </x:c>
      <x:c r="M22" s="36" t="str">
        <x:v>Critical</x:v>
      </x:c>
      <x:c r="N22" s="36" t="str">
        <x:v>Critical</x:v>
      </x:c>
      <x:c r="O22" s="36" t="str">
        <x:v>Critical</x:v>
      </x:c>
      <x:c r="P22" s="36" t="str">
        <x:v>Critical</x:v>
      </x:c>
      <x:c r="Q22" s="36" t="str">
        <x:v>Project Owner</x:v>
      </x:c>
      <x:c r="R22" s="36" t="str">
        <x:v>Offline/immutable copy and alternate operator</x:v>
      </x:c>
      <x:c r="S22" s="36" t="str">
        <x:v>PB-18</x:v>
      </x:c>
      <x:c r="T22" s="36" t="str">
        <x:v>NOT TESTED</x:v>
      </x:c>
    </x:row>
    <x:row r="23">
      <x:c r="A23" t="str">
        <x:v>BIA-19</x:v>
      </x:c>
      <x:c r="B23" t="str">
        <x:v>Immutable documentation package and integrity verification</x:v>
      </x:c>
      <x:c r="C23" t="str">
        <x:v>Documentation</x:v>
      </x:c>
      <x:c r="D23" t="str">
        <x:v>Critical</x:v>
      </x:c>
      <x:c r="E23" t="str">
        <x:v>Approved baseline cannot be trusted, restored or independently verified</x:v>
      </x:c>
      <x:c r="F23" t="str">
        <x:v>00–34, final 16/32, package manifest, external checksums, clean restore target</x:v>
      </x:c>
      <x:c r="G23" t="str">
        <x:v>8 h</x:v>
      </x:c>
      <x:c r="H23" t="str">
        <x:v>24 h</x:v>
      </x:c>
      <x:c r="I23" t="str">
        <x:v>Per final freeze</x:v>
      </x:c>
      <x:c r="J23" t="str">
        <x:v>No approved file may be lost</x:v>
      </x:c>
      <x:c r="K23" t="str">
        <x:v>Medium</x:v>
      </x:c>
      <x:c r="L23" t="str">
        <x:v>High</x:v>
      </x:c>
      <x:c r="M23" t="str">
        <x:v>Critical</x:v>
      </x:c>
      <x:c r="N23" t="str">
        <x:v>Critical</x:v>
      </x:c>
      <x:c r="O23" t="str">
        <x:v>Critical</x:v>
      </x:c>
      <x:c r="P23" t="str">
        <x:v>Critical</x:v>
      </x:c>
      <x:c r="Q23" t="str">
        <x:v>Documentation</x:v>
      </x:c>
      <x:c r="R23" t="str">
        <x:v>Quarantine candidate package; use last verified read-only baseline</x:v>
      </x:c>
      <x:c r="S23" t="str">
        <x:v>PB-17</x:v>
      </x:c>
      <x:c r="T23" t="str">
        <x:v>NOT TESTED</x:v>
      </x:c>
    </x:row>
    <x:row r="24">
      <x:c r="A24" t="str">
        <x:v>BIA-20</x:v>
      </x:c>
      <x:c r="B24" t="str">
        <x:v>Independent handoff and project resumption</x:v>
      </x:c>
      <x:c r="C24" t="str">
        <x:v>Continuity</x:v>
      </x:c>
      <x:c r="D24" t="str">
        <x:v>Critical</x:v>
      </x:c>
      <x:c r="E24" t="str">
        <x:v>Project cannot resume after owner absence or transfer</x:v>
      </x:c>
      <x:c r="F24" t="str">
        <x:v>Manual 34, Binder, Guide, credentials, commit/tag, latest status and risk register</x:v>
      </x:c>
      <x:c r="G24" t="str">
        <x:v>8 h</x:v>
      </x:c>
      <x:c r="H24" t="str">
        <x:v>24 h</x:v>
      </x:c>
      <x:c r="I24" t="str">
        <x:v>24 h decisions/status</x:v>
      </x:c>
      <x:c r="J24" t="str">
        <x:v>One business day of decisions/notes</x:v>
      </x:c>
      <x:c r="K24" t="str">
        <x:v>Medium</x:v>
      </x:c>
      <x:c r="L24" t="str">
        <x:v>High</x:v>
      </x:c>
      <x:c r="M24" t="str">
        <x:v>Critical</x:v>
      </x:c>
      <x:c r="N24" t="str">
        <x:v>Critical</x:v>
      </x:c>
      <x:c r="O24" t="str">
        <x:v>Critical</x:v>
      </x:c>
      <x:c r="P24" t="str">
        <x:v>Critical</x:v>
      </x:c>
      <x:c r="Q24" t="str">
        <x:v>Project Owner</x:v>
      </x:c>
      <x:c r="R24" t="str">
        <x:v>Designated alternate operates in read-only/reduced mode</x:v>
      </x:c>
      <x:c r="S24" t="str">
        <x:v>PB-02</x:v>
      </x:c>
      <x:c r="T24" t="str">
        <x:v>NOT TESTED</x:v>
      </x:c>
    </x:row>
  </x:sheetData>
  <x:mergeCells>
    <x:mergeCell ref="A1:T1"/>
    <x:mergeCell ref="A2:T2"/>
  </x:mergeCells>
  <x:conditionalFormatting sqref="D5:D22">
    <x:cfRule type="expression" dxfId="12" priority="1">
      <x:formula>D5="Critical"</x:formula>
    </x:cfRule>
  </x:conditionalFormatting>
  <x:conditionalFormatting sqref="T5:T22">
    <x:cfRule type="expression" dxfId="13" priority="2">
      <x:formula>T5="PASS"</x:formula>
    </x:cfRule>
    <x:cfRule type="expression" dxfId="14" priority="3">
      <x:formula>OR(T5="NOT TESTED",T5="FAIL",T5="EXPIRED")</x:formula>
    </x:cfRule>
  </x:conditionalFormatting>
  <x:dataValidations count="1">
    <x:dataValidation type="list" sqref="T5:T22">
      <x:formula1>"NOT TESTED,PARTIAL,PASS,FAIL,EXPIRED"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4cc9a9e62649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16" hidden="0" customWidth="1"/>
    <x:col min="5" max="5" width="58" hidden="0" customWidth="1"/>
    <x:col min="6" max="6" width="38" hidden="0" customWidth="1"/>
    <x:col min="7" max="7" width="42" hidden="0" customWidth="1"/>
    <x:col min="8" max="8" width="48" hidden="0" customWidth="1"/>
    <x:col min="9" max="9" width="20" hidden="0" customWidth="1"/>
    <x:col min="10" max="10" width="24" hidden="0" customWidth="1"/>
    <x:col min="11" max="11" width="20" hidden="0" customWidth="1"/>
    <x:col min="12" max="12" width="20" hidden="0" customWidth="1"/>
    <x:col min="13" max="13" width="30" hidden="0" customWidth="1"/>
  </x:cols>
  <x:sheetData>
    <x:row r="1" ht="36" customHeight="1">
      <x:c r="A1" s="5" t="str">
        <x:v>05 — Continuity Strategies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2" customHeight="1">
      <x:c r="A2" s="13" t="str">
        <x:v>Prevention, protection, replication, restoration and degraded-mode strategies mapped to every BIA capability.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1" t="str">
        <x:v>Strategy ID</x:v>
      </x:c>
      <x:c r="B4" s="21" t="str">
        <x:v>BIA ID</x:v>
      </x:c>
      <x:c r="C4" s="21" t="str">
        <x:v>Capability</x:v>
      </x:c>
      <x:c r="D4" s="21" t="str">
        <x:v>Strategy Type</x:v>
      </x:c>
      <x:c r="E4" s="21" t="str">
        <x:v>Strategy / Control</x:v>
      </x:c>
      <x:c r="F4" s="21" t="str">
        <x:v>Scope</x:v>
      </x:c>
      <x:c r="G4" s="21" t="str">
        <x:v>Activation Trigger</x:v>
      </x:c>
      <x:c r="H4" s="21" t="str">
        <x:v>Required Evidence</x:v>
      </x:c>
      <x:c r="I4" s="21" t="str">
        <x:v>Review / Test Frequency</x:v>
      </x:c>
      <x:c r="J4" s="21" t="str">
        <x:v>Owner</x:v>
      </x:c>
      <x:c r="K4" s="21" t="str">
        <x:v>Implementation State</x:v>
      </x:c>
      <x:c r="L4" s="21" t="str">
        <x:v>Evidence State</x:v>
      </x:c>
      <x:c r="M4" s="21" t="str">
        <x:v>RTO/RPO Contribution</x:v>
      </x:c>
    </x:row>
    <x:row r="5">
      <x:c r="A5" s="27" t="str">
        <x:v>CS-001</x:v>
      </x:c>
      <x:c r="B5" s="27" t="str">
        <x:v>BIA-01</x:v>
      </x:c>
      <x:c r="C5" s="36" t="str">
        <x:v>Product governance and scope decisions</x:v>
      </x:c>
      <x:c r="D5" s="36" t="str">
        <x:v>Prevent</x:v>
      </x:c>
      <x:c r="E5" s="36" t="str">
        <x:v>Document owner, alternate and escalation path</x:v>
      </x:c>
      <x:c r="F5" s="36" t="str">
        <x:v>All critical capabilities</x:v>
      </x:c>
      <x:c r="G5" s="36" t="str">
        <x:v>Owner absence or ambiguity</x:v>
      </x:c>
      <x:c r="H5" s="36" t="str">
        <x:v>Named accountable/alternate in workbook</x:v>
      </x:c>
      <x:c r="I5" s="36" t="str">
        <x:v>Quarterly</x:v>
      </x:c>
      <x:c r="J5" s="36" t="str">
        <x:v>Production</x:v>
      </x:c>
      <x:c r="K5" s="36" t="str">
        <x:v>PLANNED</x:v>
      </x:c>
      <x:c r="L5" s="36" t="str">
        <x:v>UNVERIFIED</x:v>
      </x:c>
      <x:c r="M5" s="36" t="str">
        <x:v>Supports 4 h RTO / 4 h RPO.</x:v>
      </x:c>
    </x:row>
    <x:row r="6">
      <x:c r="A6" s="27" t="str">
        <x:v>CS-002</x:v>
      </x:c>
      <x:c r="B6" s="27" t="str">
        <x:v>BIA-01</x:v>
      </x:c>
      <x:c r="C6" s="36" t="str">
        <x:v>Product governance and scope decisions</x:v>
      </x:c>
      <x:c r="D6" s="36" t="str">
        <x:v>Protect</x:v>
      </x:c>
      <x:c r="E6" s="36" t="str">
        <x:v>Apply least privilege, MFA and encrypted storage</x:v>
      </x:c>
      <x:c r="F6" s="36" t="str">
        <x:v>Accounts, repository, backups</x:v>
      </x:c>
      <x:c r="G6" s="36" t="str">
        <x:v>Unauthorized access or theft</x:v>
      </x:c>
      <x:c r="H6" s="36" t="str">
        <x:v>Access review and MFA evidence</x:v>
      </x:c>
      <x:c r="I6" s="36" t="str">
        <x:v>Quarterly</x:v>
      </x:c>
      <x:c r="J6" s="36" t="str">
        <x:v>Security</x:v>
      </x:c>
      <x:c r="K6" s="36" t="str">
        <x:v>PLANNED</x:v>
      </x:c>
      <x:c r="L6" s="36" t="str">
        <x:v>UNVERIFIED</x:v>
      </x:c>
      <x:c r="M6" s="36" t="str">
        <x:v>Supports 4 h RTO / 4 h RPO.</x:v>
      </x:c>
    </x:row>
    <x:row r="7">
      <x:c r="A7" s="27" t="str">
        <x:v>CS-003</x:v>
      </x:c>
      <x:c r="B7" s="27" t="str">
        <x:v>BIA-01</x:v>
      </x:c>
      <x:c r="C7" s="36" t="str">
        <x:v>Product governance and scope decisions</x:v>
      </x:c>
      <x:c r="D7" s="36" t="str">
        <x:v>Replicate</x:v>
      </x:c>
      <x:c r="E7" s="36" t="str">
        <x:v>Maintain at least one independent offsite copy</x:v>
      </x:c>
      <x:c r="F7" s="36" t="str">
        <x:v>Source, assets, documentation</x:v>
      </x:c>
      <x:c r="G7" s="36" t="str">
        <x:v>Primary storage loss</x:v>
      </x:c>
      <x:c r="H7" s="36" t="str">
        <x:v>Copy with checksum on separate failure domain</x:v>
      </x:c>
      <x:c r="I7" s="36" t="str">
        <x:v>Weekly</x:v>
      </x:c>
      <x:c r="J7" s="36" t="str">
        <x:v>Continuity</x:v>
      </x:c>
      <x:c r="K7" s="36" t="str">
        <x:v>PLANNED</x:v>
      </x:c>
      <x:c r="L7" s="36" t="str">
        <x:v>UNVERIFIED</x:v>
      </x:c>
      <x:c r="M7" s="36" t="str">
        <x:v>Supports 4 h RTO / 4 h RPO.</x:v>
      </x:c>
    </x:row>
    <x:row r="8">
      <x:c r="A8" s="27" t="str">
        <x:v>CS-004</x:v>
      </x:c>
      <x:c r="B8" s="27" t="str">
        <x:v>BIA-01</x:v>
      </x:c>
      <x:c r="C8" s="36" t="str">
        <x:v>Product governance and scope decisions</x:v>
      </x:c>
      <x:c r="D8" s="36" t="str">
        <x:v>Restore</x:v>
      </x:c>
      <x:c r="E8" s="36" t="str">
        <x:v>Execute scheduled restoration to clean target</x:v>
      </x:c>
      <x:c r="F8" s="36" t="str">
        <x:v>All backed-up assets</x:v>
      </x:c>
      <x:c r="G8" s="36" t="str">
        <x:v>Backup cannot be restored</x:v>
      </x:c>
      <x:c r="H8" s="36" t="str">
        <x:v>Timed restore log, hash comparison and owner signoff</x:v>
      </x:c>
      <x:c r="I8" s="36" t="str">
        <x:v>Quarterly</x:v>
      </x:c>
      <x:c r="J8" s="36" t="str">
        <x:v>Continuity</x:v>
      </x:c>
      <x:c r="K8" s="36" t="str">
        <x:v>PLANNED</x:v>
      </x:c>
      <x:c r="L8" s="36" t="str">
        <x:v>UNVERIFIED</x:v>
      </x:c>
      <x:c r="M8" s="36" t="str">
        <x:v>Supports 4 h RTO / 4 h RPO.</x:v>
      </x:c>
    </x:row>
    <x:row r="9">
      <x:c r="A9" s="27" t="str">
        <x:v>CS-005</x:v>
      </x:c>
      <x:c r="B9" s="27" t="str">
        <x:v>BIA-01</x:v>
      </x:c>
      <x:c r="C9" s="36" t="str">
        <x:v>Product governance and scope decisions</x:v>
      </x:c>
      <x:c r="D9" s="36" t="str">
        <x:v>Degrade</x:v>
      </x:c>
      <x:c r="E9" s="36" t="str">
        <x:v>Define minimum viable operating mode</x:v>
      </x:c>
      <x:c r="F9" s="36" t="str">
        <x:v>Build, production, support, communication</x:v>
      </x:c>
      <x:c r="G9" s="36" t="str">
        <x:v>Dependency/service outage</x:v>
      </x:c>
      <x:c r="H9" s="36" t="str">
        <x:v>Documented reduced service with explicit limits</x:v>
      </x:c>
      <x:c r="I9" s="36" t="str">
        <x:v>Per milestone</x:v>
      </x:c>
      <x:c r="J9" s="36" t="str">
        <x:v>Production</x:v>
      </x:c>
      <x:c r="K9" s="36" t="str">
        <x:v>PLANNED</x:v>
      </x:c>
      <x:c r="L9" s="36" t="str">
        <x:v>UNVERIFIED</x:v>
      </x:c>
      <x:c r="M9" s="36" t="str">
        <x:v>Supports 4 h RTO / 4 h RPO.</x:v>
      </x:c>
    </x:row>
    <x:row r="10">
      <x:c r="A10" s="27" t="str">
        <x:v>CS-006</x:v>
      </x:c>
      <x:c r="B10" s="27" t="str">
        <x:v>BIA-02</x:v>
      </x:c>
      <x:c r="C10" s="36" t="str">
        <x:v>Project leadership and knowledge continuity</x:v>
      </x:c>
      <x:c r="D10" s="36" t="str">
        <x:v>Prevent</x:v>
      </x:c>
      <x:c r="E10" s="36" t="str">
        <x:v>Document owner, alternate and escalation path</x:v>
      </x:c>
      <x:c r="F10" s="36" t="str">
        <x:v>All critical capabilities</x:v>
      </x:c>
      <x:c r="G10" s="36" t="str">
        <x:v>Owner absence or ambiguity</x:v>
      </x:c>
      <x:c r="H10" s="36" t="str">
        <x:v>Named accountable/alternate in workbook</x:v>
      </x:c>
      <x:c r="I10" s="36" t="str">
        <x:v>Quarterly</x:v>
      </x:c>
      <x:c r="J10" s="36" t="str">
        <x:v>Production</x:v>
      </x:c>
      <x:c r="K10" s="36" t="str">
        <x:v>PLANNED</x:v>
      </x:c>
      <x:c r="L10" s="36" t="str">
        <x:v>UNVERIFIED</x:v>
      </x:c>
      <x:c r="M10" s="36" t="str">
        <x:v>Supports 8 h RTO / 4 h RPO.</x:v>
      </x:c>
    </x:row>
    <x:row r="11">
      <x:c r="A11" s="27" t="str">
        <x:v>CS-007</x:v>
      </x:c>
      <x:c r="B11" s="27" t="str">
        <x:v>BIA-02</x:v>
      </x:c>
      <x:c r="C11" s="36" t="str">
        <x:v>Project leadership and knowledge continuity</x:v>
      </x:c>
      <x:c r="D11" s="36" t="str">
        <x:v>Protect</x:v>
      </x:c>
      <x:c r="E11" s="36" t="str">
        <x:v>Apply least privilege, MFA and encrypted storage</x:v>
      </x:c>
      <x:c r="F11" s="36" t="str">
        <x:v>Accounts, repository, backups</x:v>
      </x:c>
      <x:c r="G11" s="36" t="str">
        <x:v>Unauthorized access or theft</x:v>
      </x:c>
      <x:c r="H11" s="36" t="str">
        <x:v>Access review and MFA evidence</x:v>
      </x:c>
      <x:c r="I11" s="36" t="str">
        <x:v>Quarterly</x:v>
      </x:c>
      <x:c r="J11" s="36" t="str">
        <x:v>Security</x:v>
      </x:c>
      <x:c r="K11" s="36" t="str">
        <x:v>PLANNED</x:v>
      </x:c>
      <x:c r="L11" s="36" t="str">
        <x:v>UNVERIFIED</x:v>
      </x:c>
      <x:c r="M11" s="36" t="str">
        <x:v>Supports 8 h RTO / 4 h RPO.</x:v>
      </x:c>
    </x:row>
    <x:row r="12">
      <x:c r="A12" s="27" t="str">
        <x:v>CS-008</x:v>
      </x:c>
      <x:c r="B12" s="27" t="str">
        <x:v>BIA-02</x:v>
      </x:c>
      <x:c r="C12" s="36" t="str">
        <x:v>Project leadership and knowledge continuity</x:v>
      </x:c>
      <x:c r="D12" s="36" t="str">
        <x:v>Replicate</x:v>
      </x:c>
      <x:c r="E12" s="36" t="str">
        <x:v>Maintain at least one independent offsite copy</x:v>
      </x:c>
      <x:c r="F12" s="36" t="str">
        <x:v>Source, assets, documentation</x:v>
      </x:c>
      <x:c r="G12" s="36" t="str">
        <x:v>Primary storage loss</x:v>
      </x:c>
      <x:c r="H12" s="36" t="str">
        <x:v>Copy with checksum on separate failure domain</x:v>
      </x:c>
      <x:c r="I12" s="36" t="str">
        <x:v>Weekly</x:v>
      </x:c>
      <x:c r="J12" s="36" t="str">
        <x:v>Continuity</x:v>
      </x:c>
      <x:c r="K12" s="36" t="str">
        <x:v>PLANNED</x:v>
      </x:c>
      <x:c r="L12" s="36" t="str">
        <x:v>UNVERIFIED</x:v>
      </x:c>
      <x:c r="M12" s="36" t="str">
        <x:v>Supports 8 h RTO / 4 h RPO.</x:v>
      </x:c>
    </x:row>
    <x:row r="13">
      <x:c r="A13" s="27" t="str">
        <x:v>CS-009</x:v>
      </x:c>
      <x:c r="B13" s="27" t="str">
        <x:v>BIA-02</x:v>
      </x:c>
      <x:c r="C13" s="36" t="str">
        <x:v>Project leadership and knowledge continuity</x:v>
      </x:c>
      <x:c r="D13" s="36" t="str">
        <x:v>Restore</x:v>
      </x:c>
      <x:c r="E13" s="36" t="str">
        <x:v>Execute scheduled restoration to clean target</x:v>
      </x:c>
      <x:c r="F13" s="36" t="str">
        <x:v>All backed-up assets</x:v>
      </x:c>
      <x:c r="G13" s="36" t="str">
        <x:v>Backup cannot be restored</x:v>
      </x:c>
      <x:c r="H13" s="36" t="str">
        <x:v>Timed restore log, hash comparison and owner signoff</x:v>
      </x:c>
      <x:c r="I13" s="36" t="str">
        <x:v>Quarterly</x:v>
      </x:c>
      <x:c r="J13" s="36" t="str">
        <x:v>Continuity</x:v>
      </x:c>
      <x:c r="K13" s="36" t="str">
        <x:v>PLANNED</x:v>
      </x:c>
      <x:c r="L13" s="36" t="str">
        <x:v>UNVERIFIED</x:v>
      </x:c>
      <x:c r="M13" s="36" t="str">
        <x:v>Supports 8 h RTO / 4 h RPO.</x:v>
      </x:c>
    </x:row>
    <x:row r="14">
      <x:c r="A14" s="27" t="str">
        <x:v>CS-010</x:v>
      </x:c>
      <x:c r="B14" s="27" t="str">
        <x:v>BIA-02</x:v>
      </x:c>
      <x:c r="C14" s="36" t="str">
        <x:v>Project leadership and knowledge continuity</x:v>
      </x:c>
      <x:c r="D14" s="36" t="str">
        <x:v>Degrade</x:v>
      </x:c>
      <x:c r="E14" s="36" t="str">
        <x:v>Define minimum viable operating mode</x:v>
      </x:c>
      <x:c r="F14" s="36" t="str">
        <x:v>Build, production, support, communication</x:v>
      </x:c>
      <x:c r="G14" s="36" t="str">
        <x:v>Dependency/service outage</x:v>
      </x:c>
      <x:c r="H14" s="36" t="str">
        <x:v>Documented reduced service with explicit limits</x:v>
      </x:c>
      <x:c r="I14" s="36" t="str">
        <x:v>Per milestone</x:v>
      </x:c>
      <x:c r="J14" s="36" t="str">
        <x:v>Production</x:v>
      </x:c>
      <x:c r="K14" s="36" t="str">
        <x:v>PLANNED</x:v>
      </x:c>
      <x:c r="L14" s="36" t="str">
        <x:v>UNVERIFIED</x:v>
      </x:c>
      <x:c r="M14" s="36" t="str">
        <x:v>Supports 8 h RTO / 4 h RPO.</x:v>
      </x:c>
    </x:row>
    <x:row r="15">
      <x:c r="A15" s="27" t="str">
        <x:v>CS-011</x:v>
      </x:c>
      <x:c r="B15" s="27" t="str">
        <x:v>BIA-03</x:v>
      </x:c>
      <x:c r="C15" s="36" t="str">
        <x:v>Sprint planning and execution</x:v>
      </x:c>
      <x:c r="D15" s="36" t="str">
        <x:v>Prevent</x:v>
      </x:c>
      <x:c r="E15" s="36" t="str">
        <x:v>Document owner, alternate and escalation path</x:v>
      </x:c>
      <x:c r="F15" s="36" t="str">
        <x:v>All critical capabilities</x:v>
      </x:c>
      <x:c r="G15" s="36" t="str">
        <x:v>Owner absence or ambiguity</x:v>
      </x:c>
      <x:c r="H15" s="36" t="str">
        <x:v>Named accountable/alternate in workbook</x:v>
      </x:c>
      <x:c r="I15" s="36" t="str">
        <x:v>Quarterly</x:v>
      </x:c>
      <x:c r="J15" s="36" t="str">
        <x:v>Production</x:v>
      </x:c>
      <x:c r="K15" s="36" t="str">
        <x:v>PLANNED</x:v>
      </x:c>
      <x:c r="L15" s="36" t="str">
        <x:v>UNVERIFIED</x:v>
      </x:c>
      <x:c r="M15" s="36" t="str">
        <x:v>Supports 24 h RTO / 24 h RPO.</x:v>
      </x:c>
    </x:row>
    <x:row r="16">
      <x:c r="A16" s="27" t="str">
        <x:v>CS-012</x:v>
      </x:c>
      <x:c r="B16" s="27" t="str">
        <x:v>BIA-03</x:v>
      </x:c>
      <x:c r="C16" s="36" t="str">
        <x:v>Sprint planning and execution</x:v>
      </x:c>
      <x:c r="D16" s="36" t="str">
        <x:v>Protect</x:v>
      </x:c>
      <x:c r="E16" s="36" t="str">
        <x:v>Apply least privilege, MFA and encrypted storage</x:v>
      </x:c>
      <x:c r="F16" s="36" t="str">
        <x:v>Accounts, repository, backups</x:v>
      </x:c>
      <x:c r="G16" s="36" t="str">
        <x:v>Unauthorized access or theft</x:v>
      </x:c>
      <x:c r="H16" s="36" t="str">
        <x:v>Access review and MFA evidence</x:v>
      </x:c>
      <x:c r="I16" s="36" t="str">
        <x:v>Quarterly</x:v>
      </x:c>
      <x:c r="J16" s="36" t="str">
        <x:v>Security</x:v>
      </x:c>
      <x:c r="K16" s="36" t="str">
        <x:v>PLANNED</x:v>
      </x:c>
      <x:c r="L16" s="36" t="str">
        <x:v>UNVERIFIED</x:v>
      </x:c>
      <x:c r="M16" s="36" t="str">
        <x:v>Supports 24 h RTO / 24 h RPO.</x:v>
      </x:c>
    </x:row>
    <x:row r="17">
      <x:c r="A17" s="27" t="str">
        <x:v>CS-013</x:v>
      </x:c>
      <x:c r="B17" s="27" t="str">
        <x:v>BIA-03</x:v>
      </x:c>
      <x:c r="C17" s="36" t="str">
        <x:v>Sprint planning and execution</x:v>
      </x:c>
      <x:c r="D17" s="36" t="str">
        <x:v>Replicate</x:v>
      </x:c>
      <x:c r="E17" s="36" t="str">
        <x:v>Maintain at least one independent offsite copy</x:v>
      </x:c>
      <x:c r="F17" s="36" t="str">
        <x:v>Source, assets, documentation</x:v>
      </x:c>
      <x:c r="G17" s="36" t="str">
        <x:v>Primary storage loss</x:v>
      </x:c>
      <x:c r="H17" s="36" t="str">
        <x:v>Copy with checksum on separate failure domain</x:v>
      </x:c>
      <x:c r="I17" s="36" t="str">
        <x:v>Weekly</x:v>
      </x:c>
      <x:c r="J17" s="36" t="str">
        <x:v>Continuity</x:v>
      </x:c>
      <x:c r="K17" s="36" t="str">
        <x:v>PLANNED</x:v>
      </x:c>
      <x:c r="L17" s="36" t="str">
        <x:v>UNVERIFIED</x:v>
      </x:c>
      <x:c r="M17" s="36" t="str">
        <x:v>Supports 24 h RTO / 24 h RPO.</x:v>
      </x:c>
    </x:row>
    <x:row r="18">
      <x:c r="A18" s="27" t="str">
        <x:v>CS-014</x:v>
      </x:c>
      <x:c r="B18" s="27" t="str">
        <x:v>BIA-03</x:v>
      </x:c>
      <x:c r="C18" s="36" t="str">
        <x:v>Sprint planning and execution</x:v>
      </x:c>
      <x:c r="D18" s="36" t="str">
        <x:v>Restore</x:v>
      </x:c>
      <x:c r="E18" s="36" t="str">
        <x:v>Execute scheduled restoration to clean target</x:v>
      </x:c>
      <x:c r="F18" s="36" t="str">
        <x:v>All backed-up assets</x:v>
      </x:c>
      <x:c r="G18" s="36" t="str">
        <x:v>Backup cannot be restored</x:v>
      </x:c>
      <x:c r="H18" s="36" t="str">
        <x:v>Timed restore log, hash comparison and owner signoff</x:v>
      </x:c>
      <x:c r="I18" s="36" t="str">
        <x:v>Quarterly</x:v>
      </x:c>
      <x:c r="J18" s="36" t="str">
        <x:v>Continuity</x:v>
      </x:c>
      <x:c r="K18" s="36" t="str">
        <x:v>PLANNED</x:v>
      </x:c>
      <x:c r="L18" s="36" t="str">
        <x:v>UNVERIFIED</x:v>
      </x:c>
      <x:c r="M18" s="36" t="str">
        <x:v>Supports 24 h RTO / 24 h RPO.</x:v>
      </x:c>
    </x:row>
    <x:row r="19">
      <x:c r="A19" s="27" t="str">
        <x:v>CS-015</x:v>
      </x:c>
      <x:c r="B19" s="27" t="str">
        <x:v>BIA-04</x:v>
      </x:c>
      <x:c r="C19" s="36" t="str">
        <x:v>Unity development and source control</x:v>
      </x:c>
      <x:c r="D19" s="36" t="str">
        <x:v>Prevent</x:v>
      </x:c>
      <x:c r="E19" s="36" t="str">
        <x:v>Document owner, alternate and escalation path</x:v>
      </x:c>
      <x:c r="F19" s="36" t="str">
        <x:v>All critical capabilities</x:v>
      </x:c>
      <x:c r="G19" s="36" t="str">
        <x:v>Owner absence or ambiguity</x:v>
      </x:c>
      <x:c r="H19" s="36" t="str">
        <x:v>Named accountable/alternate in workbook</x:v>
      </x:c>
      <x:c r="I19" s="36" t="str">
        <x:v>Quarterly</x:v>
      </x:c>
      <x:c r="J19" s="36" t="str">
        <x:v>Production</x:v>
      </x:c>
      <x:c r="K19" s="36" t="str">
        <x:v>PLANNED</x:v>
      </x:c>
      <x:c r="L19" s="36" t="str">
        <x:v>UNVERIFIED</x:v>
      </x:c>
      <x:c r="M19" s="36" t="str">
        <x:v>Supports 4 h RTO / 4 h RPO.</x:v>
      </x:c>
    </x:row>
    <x:row r="20">
      <x:c r="A20" s="27" t="str">
        <x:v>CS-016</x:v>
      </x:c>
      <x:c r="B20" s="27" t="str">
        <x:v>BIA-04</x:v>
      </x:c>
      <x:c r="C20" s="36" t="str">
        <x:v>Unity development and source control</x:v>
      </x:c>
      <x:c r="D20" s="36" t="str">
        <x:v>Protect</x:v>
      </x:c>
      <x:c r="E20" s="36" t="str">
        <x:v>Apply least privilege, MFA and encrypted storage</x:v>
      </x:c>
      <x:c r="F20" s="36" t="str">
        <x:v>Accounts, repository, backups</x:v>
      </x:c>
      <x:c r="G20" s="36" t="str">
        <x:v>Unauthorized access or theft</x:v>
      </x:c>
      <x:c r="H20" s="36" t="str">
        <x:v>Access review and MFA evidence</x:v>
      </x:c>
      <x:c r="I20" s="36" t="str">
        <x:v>Quarterly</x:v>
      </x:c>
      <x:c r="J20" s="36" t="str">
        <x:v>Security</x:v>
      </x:c>
      <x:c r="K20" s="36" t="str">
        <x:v>PLANNED</x:v>
      </x:c>
      <x:c r="L20" s="36" t="str">
        <x:v>UNVERIFIED</x:v>
      </x:c>
      <x:c r="M20" s="36" t="str">
        <x:v>Supports 4 h RTO / 4 h RPO.</x:v>
      </x:c>
    </x:row>
    <x:row r="21">
      <x:c r="A21" s="27" t="str">
        <x:v>CS-017</x:v>
      </x:c>
      <x:c r="B21" s="27" t="str">
        <x:v>BIA-04</x:v>
      </x:c>
      <x:c r="C21" s="36" t="str">
        <x:v>Unity development and source control</x:v>
      </x:c>
      <x:c r="D21" s="36" t="str">
        <x:v>Replicate</x:v>
      </x:c>
      <x:c r="E21" s="36" t="str">
        <x:v>Maintain at least one independent offsite copy</x:v>
      </x:c>
      <x:c r="F21" s="36" t="str">
        <x:v>Source, assets, documentation</x:v>
      </x:c>
      <x:c r="G21" s="36" t="str">
        <x:v>Primary storage loss</x:v>
      </x:c>
      <x:c r="H21" s="36" t="str">
        <x:v>Copy with checksum on separate failure domain</x:v>
      </x:c>
      <x:c r="I21" s="36" t="str">
        <x:v>Weekly</x:v>
      </x:c>
      <x:c r="J21" s="36" t="str">
        <x:v>Continuity</x:v>
      </x:c>
      <x:c r="K21" s="36" t="str">
        <x:v>PLANNED</x:v>
      </x:c>
      <x:c r="L21" s="36" t="str">
        <x:v>UNVERIFIED</x:v>
      </x:c>
      <x:c r="M21" s="36" t="str">
        <x:v>Supports 4 h RTO / 4 h RPO.</x:v>
      </x:c>
    </x:row>
    <x:row r="22">
      <x:c r="A22" s="27" t="str">
        <x:v>CS-018</x:v>
      </x:c>
      <x:c r="B22" s="27" t="str">
        <x:v>BIA-04</x:v>
      </x:c>
      <x:c r="C22" s="36" t="str">
        <x:v>Unity development and source control</x:v>
      </x:c>
      <x:c r="D22" s="36" t="str">
        <x:v>Restore</x:v>
      </x:c>
      <x:c r="E22" s="36" t="str">
        <x:v>Execute scheduled restoration to clean target</x:v>
      </x:c>
      <x:c r="F22" s="36" t="str">
        <x:v>All backed-up assets</x:v>
      </x:c>
      <x:c r="G22" s="36" t="str">
        <x:v>Backup cannot be restored</x:v>
      </x:c>
      <x:c r="H22" s="36" t="str">
        <x:v>Timed restore log, hash comparison and owner signoff</x:v>
      </x:c>
      <x:c r="I22" s="36" t="str">
        <x:v>Quarterly</x:v>
      </x:c>
      <x:c r="J22" s="36" t="str">
        <x:v>Continuity</x:v>
      </x:c>
      <x:c r="K22" s="36" t="str">
        <x:v>PLANNED</x:v>
      </x:c>
      <x:c r="L22" s="36" t="str">
        <x:v>UNVERIFIED</x:v>
      </x:c>
      <x:c r="M22" s="36" t="str">
        <x:v>Supports 4 h RTO / 4 h RPO.</x:v>
      </x:c>
    </x:row>
    <x:row r="23">
      <x:c r="A23" s="27" t="str">
        <x:v>CS-019</x:v>
      </x:c>
      <x:c r="B23" s="27" t="str">
        <x:v>BIA-04</x:v>
      </x:c>
      <x:c r="C23" s="36" t="str">
        <x:v>Unity development and source control</x:v>
      </x:c>
      <x:c r="D23" s="36" t="str">
        <x:v>Degrade</x:v>
      </x:c>
      <x:c r="E23" s="36" t="str">
        <x:v>Define minimum viable operating mode</x:v>
      </x:c>
      <x:c r="F23" s="36" t="str">
        <x:v>Build, production, support, communication</x:v>
      </x:c>
      <x:c r="G23" s="36" t="str">
        <x:v>Dependency/service outage</x:v>
      </x:c>
      <x:c r="H23" s="36" t="str">
        <x:v>Documented reduced service with explicit limits</x:v>
      </x:c>
      <x:c r="I23" s="36" t="str">
        <x:v>Per milestone</x:v>
      </x:c>
      <x:c r="J23" s="36" t="str">
        <x:v>Production</x:v>
      </x:c>
      <x:c r="K23" s="36" t="str">
        <x:v>PLANNED</x:v>
      </x:c>
      <x:c r="L23" s="36" t="str">
        <x:v>UNVERIFIED</x:v>
      </x:c>
      <x:c r="M23" s="36" t="str">
        <x:v>Supports 4 h RTO / 4 h RPO.</x:v>
      </x:c>
    </x:row>
    <x:row r="24">
      <x:c r="A24" s="27" t="str">
        <x:v>CS-020</x:v>
      </x:c>
      <x:c r="B24" s="27" t="str">
        <x:v>BIA-05</x:v>
      </x:c>
      <x:c r="C24" s="36" t="str">
        <x:v>Save/load and player data integrity</x:v>
      </x:c>
      <x:c r="D24" s="36" t="str">
        <x:v>Prevent</x:v>
      </x:c>
      <x:c r="E24" s="36" t="str">
        <x:v>Document owner, alternate and escalation path</x:v>
      </x:c>
      <x:c r="F24" s="36" t="str">
        <x:v>All critical capabilities</x:v>
      </x:c>
      <x:c r="G24" s="36" t="str">
        <x:v>Owner absence or ambiguity</x:v>
      </x:c>
      <x:c r="H24" s="36" t="str">
        <x:v>Named accountable/alternate in workbook</x:v>
      </x:c>
      <x:c r="I24" s="36" t="str">
        <x:v>Quarterly</x:v>
      </x:c>
      <x:c r="J24" s="36" t="str">
        <x:v>Production</x:v>
      </x:c>
      <x:c r="K24" s="36" t="str">
        <x:v>PLANNED</x:v>
      </x:c>
      <x:c r="L24" s="36" t="str">
        <x:v>UNVERIFIED</x:v>
      </x:c>
      <x:c r="M24" s="36" t="str">
        <x:v>Supports Immediate RTO / Per transaction RPO.</x:v>
      </x:c>
    </x:row>
    <x:row r="25">
      <x:c r="A25" s="27" t="str">
        <x:v>CS-021</x:v>
      </x:c>
      <x:c r="B25" s="27" t="str">
        <x:v>BIA-05</x:v>
      </x:c>
      <x:c r="C25" s="36" t="str">
        <x:v>Save/load and player data integrity</x:v>
      </x:c>
      <x:c r="D25" s="36" t="str">
        <x:v>Protect</x:v>
      </x:c>
      <x:c r="E25" s="36" t="str">
        <x:v>Apply least privilege, MFA and encrypted storage</x:v>
      </x:c>
      <x:c r="F25" s="36" t="str">
        <x:v>Accounts, repository, backups</x:v>
      </x:c>
      <x:c r="G25" s="36" t="str">
        <x:v>Unauthorized access or theft</x:v>
      </x:c>
      <x:c r="H25" s="36" t="str">
        <x:v>Access review and MFA evidence</x:v>
      </x:c>
      <x:c r="I25" s="36" t="str">
        <x:v>Quarterly</x:v>
      </x:c>
      <x:c r="J25" s="36" t="str">
        <x:v>Security</x:v>
      </x:c>
      <x:c r="K25" s="36" t="str">
        <x:v>PLANNED</x:v>
      </x:c>
      <x:c r="L25" s="36" t="str">
        <x:v>UNVERIFIED</x:v>
      </x:c>
      <x:c r="M25" s="36" t="str">
        <x:v>Supports Immediate RTO / Per transaction RPO.</x:v>
      </x:c>
    </x:row>
    <x:row r="26">
      <x:c r="A26" s="27" t="str">
        <x:v>CS-022</x:v>
      </x:c>
      <x:c r="B26" s="27" t="str">
        <x:v>BIA-05</x:v>
      </x:c>
      <x:c r="C26" s="36" t="str">
        <x:v>Save/load and player data integrity</x:v>
      </x:c>
      <x:c r="D26" s="36" t="str">
        <x:v>Replicate</x:v>
      </x:c>
      <x:c r="E26" s="36" t="str">
        <x:v>Maintain at least one independent offsite copy</x:v>
      </x:c>
      <x:c r="F26" s="36" t="str">
        <x:v>Source, assets, documentation</x:v>
      </x:c>
      <x:c r="G26" s="36" t="str">
        <x:v>Primary storage loss</x:v>
      </x:c>
      <x:c r="H26" s="36" t="str">
        <x:v>Copy with checksum on separate failure domain</x:v>
      </x:c>
      <x:c r="I26" s="36" t="str">
        <x:v>Weekly</x:v>
      </x:c>
      <x:c r="J26" s="36" t="str">
        <x:v>Continuity</x:v>
      </x:c>
      <x:c r="K26" s="36" t="str">
        <x:v>PLANNED</x:v>
      </x:c>
      <x:c r="L26" s="36" t="str">
        <x:v>UNVERIFIED</x:v>
      </x:c>
      <x:c r="M26" s="36" t="str">
        <x:v>Supports Immediate RTO / Per transaction RPO.</x:v>
      </x:c>
    </x:row>
    <x:row r="27">
      <x:c r="A27" s="27" t="str">
        <x:v>CS-023</x:v>
      </x:c>
      <x:c r="B27" s="27" t="str">
        <x:v>BIA-05</x:v>
      </x:c>
      <x:c r="C27" s="36" t="str">
        <x:v>Save/load and player data integrity</x:v>
      </x:c>
      <x:c r="D27" s="36" t="str">
        <x:v>Restore</x:v>
      </x:c>
      <x:c r="E27" s="36" t="str">
        <x:v>Execute scheduled restoration to clean target</x:v>
      </x:c>
      <x:c r="F27" s="36" t="str">
        <x:v>All backed-up assets</x:v>
      </x:c>
      <x:c r="G27" s="36" t="str">
        <x:v>Backup cannot be restored</x:v>
      </x:c>
      <x:c r="H27" s="36" t="str">
        <x:v>Timed restore log, hash comparison and owner signoff</x:v>
      </x:c>
      <x:c r="I27" s="36" t="str">
        <x:v>Quarterly</x:v>
      </x:c>
      <x:c r="J27" s="36" t="str">
        <x:v>Continuity</x:v>
      </x:c>
      <x:c r="K27" s="36" t="str">
        <x:v>PLANNED</x:v>
      </x:c>
      <x:c r="L27" s="36" t="str">
        <x:v>UNVERIFIED</x:v>
      </x:c>
      <x:c r="M27" s="36" t="str">
        <x:v>Supports Immediate RTO / Per transaction RPO.</x:v>
      </x:c>
    </x:row>
    <x:row r="28">
      <x:c r="A28" s="27" t="str">
        <x:v>CS-024</x:v>
      </x:c>
      <x:c r="B28" s="27" t="str">
        <x:v>BIA-05</x:v>
      </x:c>
      <x:c r="C28" s="36" t="str">
        <x:v>Save/load and player data integrity</x:v>
      </x:c>
      <x:c r="D28" s="36" t="str">
        <x:v>Degrade</x:v>
      </x:c>
      <x:c r="E28" s="36" t="str">
        <x:v>Define minimum viable operating mode</x:v>
      </x:c>
      <x:c r="F28" s="36" t="str">
        <x:v>Build, production, support, communication</x:v>
      </x:c>
      <x:c r="G28" s="36" t="str">
        <x:v>Dependency/service outage</x:v>
      </x:c>
      <x:c r="H28" s="36" t="str">
        <x:v>Documented reduced service with explicit limits</x:v>
      </x:c>
      <x:c r="I28" s="36" t="str">
        <x:v>Per milestone</x:v>
      </x:c>
      <x:c r="J28" s="36" t="str">
        <x:v>Production</x:v>
      </x:c>
      <x:c r="K28" s="36" t="str">
        <x:v>PLANNED</x:v>
      </x:c>
      <x:c r="L28" s="36" t="str">
        <x:v>UNVERIFIED</x:v>
      </x:c>
      <x:c r="M28" s="36" t="str">
        <x:v>Supports Immediate RTO / Per transaction RPO.</x:v>
      </x:c>
    </x:row>
    <x:row r="29">
      <x:c r="A29" s="27" t="str">
        <x:v>CS-025</x:v>
      </x:c>
      <x:c r="B29" s="27" t="str">
        <x:v>BIA-06</x:v>
      </x:c>
      <x:c r="C29" s="36" t="str">
        <x:v>QA and acceptance evidence</x:v>
      </x:c>
      <x:c r="D29" s="36" t="str">
        <x:v>Prevent</x:v>
      </x:c>
      <x:c r="E29" s="36" t="str">
        <x:v>Document owner, alternate and escalation path</x:v>
      </x:c>
      <x:c r="F29" s="36" t="str">
        <x:v>All critical capabilities</x:v>
      </x:c>
      <x:c r="G29" s="36" t="str">
        <x:v>Owner absence or ambiguity</x:v>
      </x:c>
      <x:c r="H29" s="36" t="str">
        <x:v>Named accountable/alternate in workbook</x:v>
      </x:c>
      <x:c r="I29" s="36" t="str">
        <x:v>Quarterly</x:v>
      </x:c>
      <x:c r="J29" s="36" t="str">
        <x:v>Production</x:v>
      </x:c>
      <x:c r="K29" s="36" t="str">
        <x:v>PLANNED</x:v>
      </x:c>
      <x:c r="L29" s="36" t="str">
        <x:v>UNVERIFIED</x:v>
      </x:c>
      <x:c r="M29" s="36" t="str">
        <x:v>Supports 8 h RTO / 24 h RPO.</x:v>
      </x:c>
    </x:row>
    <x:row r="30">
      <x:c r="A30" s="27" t="str">
        <x:v>CS-026</x:v>
      </x:c>
      <x:c r="B30" s="27" t="str">
        <x:v>BIA-06</x:v>
      </x:c>
      <x:c r="C30" s="36" t="str">
        <x:v>QA and acceptance evidence</x:v>
      </x:c>
      <x:c r="D30" s="36" t="str">
        <x:v>Protect</x:v>
      </x:c>
      <x:c r="E30" s="36" t="str">
        <x:v>Apply least privilege, MFA and encrypted storage</x:v>
      </x:c>
      <x:c r="F30" s="36" t="str">
        <x:v>Accounts, repository, backups</x:v>
      </x:c>
      <x:c r="G30" s="36" t="str">
        <x:v>Unauthorized access or theft</x:v>
      </x:c>
      <x:c r="H30" s="36" t="str">
        <x:v>Access review and MFA evidence</x:v>
      </x:c>
      <x:c r="I30" s="36" t="str">
        <x:v>Quarterly</x:v>
      </x:c>
      <x:c r="J30" s="36" t="str">
        <x:v>Security</x:v>
      </x:c>
      <x:c r="K30" s="36" t="str">
        <x:v>PLANNED</x:v>
      </x:c>
      <x:c r="L30" s="36" t="str">
        <x:v>UNVERIFIED</x:v>
      </x:c>
      <x:c r="M30" s="36" t="str">
        <x:v>Supports 8 h RTO / 24 h RPO.</x:v>
      </x:c>
    </x:row>
    <x:row r="31">
      <x:c r="A31" s="27" t="str">
        <x:v>CS-027</x:v>
      </x:c>
      <x:c r="B31" s="27" t="str">
        <x:v>BIA-06</x:v>
      </x:c>
      <x:c r="C31" s="36" t="str">
        <x:v>QA and acceptance evidence</x:v>
      </x:c>
      <x:c r="D31" s="36" t="str">
        <x:v>Replicate</x:v>
      </x:c>
      <x:c r="E31" s="36" t="str">
        <x:v>Maintain at least one independent offsite copy</x:v>
      </x:c>
      <x:c r="F31" s="36" t="str">
        <x:v>Source, assets, documentation</x:v>
      </x:c>
      <x:c r="G31" s="36" t="str">
        <x:v>Primary storage loss</x:v>
      </x:c>
      <x:c r="H31" s="36" t="str">
        <x:v>Copy with checksum on separate failure domain</x:v>
      </x:c>
      <x:c r="I31" s="36" t="str">
        <x:v>Weekly</x:v>
      </x:c>
      <x:c r="J31" s="36" t="str">
        <x:v>Continuity</x:v>
      </x:c>
      <x:c r="K31" s="36" t="str">
        <x:v>PLANNED</x:v>
      </x:c>
      <x:c r="L31" s="36" t="str">
        <x:v>UNVERIFIED</x:v>
      </x:c>
      <x:c r="M31" s="36" t="str">
        <x:v>Supports 8 h RTO / 24 h RPO.</x:v>
      </x:c>
    </x:row>
    <x:row r="32">
      <x:c r="A32" s="27" t="str">
        <x:v>CS-028</x:v>
      </x:c>
      <x:c r="B32" s="27" t="str">
        <x:v>BIA-06</x:v>
      </x:c>
      <x:c r="C32" s="36" t="str">
        <x:v>QA and acceptance evidence</x:v>
      </x:c>
      <x:c r="D32" s="36" t="str">
        <x:v>Restore</x:v>
      </x:c>
      <x:c r="E32" s="36" t="str">
        <x:v>Execute scheduled restoration to clean target</x:v>
      </x:c>
      <x:c r="F32" s="36" t="str">
        <x:v>All backed-up assets</x:v>
      </x:c>
      <x:c r="G32" s="36" t="str">
        <x:v>Backup cannot be restored</x:v>
      </x:c>
      <x:c r="H32" s="36" t="str">
        <x:v>Timed restore log, hash comparison and owner signoff</x:v>
      </x:c>
      <x:c r="I32" s="36" t="str">
        <x:v>Quarterly</x:v>
      </x:c>
      <x:c r="J32" s="36" t="str">
        <x:v>Continuity</x:v>
      </x:c>
      <x:c r="K32" s="36" t="str">
        <x:v>PLANNED</x:v>
      </x:c>
      <x:c r="L32" s="36" t="str">
        <x:v>UNVERIFIED</x:v>
      </x:c>
      <x:c r="M32" s="36" t="str">
        <x:v>Supports 8 h RTO / 24 h RPO.</x:v>
      </x:c>
    </x:row>
    <x:row r="33">
      <x:c r="A33" s="27" t="str">
        <x:v>CS-029</x:v>
      </x:c>
      <x:c r="B33" s="27" t="str">
        <x:v>BIA-06</x:v>
      </x:c>
      <x:c r="C33" s="36" t="str">
        <x:v>QA and acceptance evidence</x:v>
      </x:c>
      <x:c r="D33" s="36" t="str">
        <x:v>Degrade</x:v>
      </x:c>
      <x:c r="E33" s="36" t="str">
        <x:v>Define minimum viable operating mode</x:v>
      </x:c>
      <x:c r="F33" s="36" t="str">
        <x:v>Build, production, support, communication</x:v>
      </x:c>
      <x:c r="G33" s="36" t="str">
        <x:v>Dependency/service outage</x:v>
      </x:c>
      <x:c r="H33" s="36" t="str">
        <x:v>Documented reduced service with explicit limits</x:v>
      </x:c>
      <x:c r="I33" s="36" t="str">
        <x:v>Per milestone</x:v>
      </x:c>
      <x:c r="J33" s="36" t="str">
        <x:v>Production</x:v>
      </x:c>
      <x:c r="K33" s="36" t="str">
        <x:v>PLANNED</x:v>
      </x:c>
      <x:c r="L33" s="36" t="str">
        <x:v>UNVERIFIED</x:v>
      </x:c>
      <x:c r="M33" s="36" t="str">
        <x:v>Supports 8 h RTO / 24 h RPO.</x:v>
      </x:c>
    </x:row>
    <x:row r="34">
      <x:c r="A34" s="27" t="str">
        <x:v>CS-030</x:v>
      </x:c>
      <x:c r="B34" s="27" t="str">
        <x:v>BIA-07</x:v>
      </x:c>
      <x:c r="C34" s="36" t="str">
        <x:v>Performance profiling and stability validation</x:v>
      </x:c>
      <x:c r="D34" s="36" t="str">
        <x:v>Prevent</x:v>
      </x:c>
      <x:c r="E34" s="36" t="str">
        <x:v>Document owner, alternate and escalation path</x:v>
      </x:c>
      <x:c r="F34" s="36" t="str">
        <x:v>All critical capabilities</x:v>
      </x:c>
      <x:c r="G34" s="36" t="str">
        <x:v>Owner absence or ambiguity</x:v>
      </x:c>
      <x:c r="H34" s="36" t="str">
        <x:v>Named accountable/alternate in workbook</x:v>
      </x:c>
      <x:c r="I34" s="36" t="str">
        <x:v>Quarterly</x:v>
      </x:c>
      <x:c r="J34" s="36" t="str">
        <x:v>Production</x:v>
      </x:c>
      <x:c r="K34" s="36" t="str">
        <x:v>PLANNED</x:v>
      </x:c>
      <x:c r="L34" s="36" t="str">
        <x:v>UNVERIFIED</x:v>
      </x:c>
      <x:c r="M34" s="36" t="str">
        <x:v>Supports 24 h RTO / Per benchmark RPO.</x:v>
      </x:c>
    </x:row>
    <x:row r="35">
      <x:c r="A35" s="27" t="str">
        <x:v>CS-031</x:v>
      </x:c>
      <x:c r="B35" s="27" t="str">
        <x:v>BIA-07</x:v>
      </x:c>
      <x:c r="C35" s="36" t="str">
        <x:v>Performance profiling and stability validation</x:v>
      </x:c>
      <x:c r="D35" s="36" t="str">
        <x:v>Protect</x:v>
      </x:c>
      <x:c r="E35" s="36" t="str">
        <x:v>Apply least privilege, MFA and encrypted storage</x:v>
      </x:c>
      <x:c r="F35" s="36" t="str">
        <x:v>Accounts, repository, backups</x:v>
      </x:c>
      <x:c r="G35" s="36" t="str">
        <x:v>Unauthorized access or theft</x:v>
      </x:c>
      <x:c r="H35" s="36" t="str">
        <x:v>Access review and MFA evidence</x:v>
      </x:c>
      <x:c r="I35" s="36" t="str">
        <x:v>Quarterly</x:v>
      </x:c>
      <x:c r="J35" s="36" t="str">
        <x:v>Security</x:v>
      </x:c>
      <x:c r="K35" s="36" t="str">
        <x:v>PLANNED</x:v>
      </x:c>
      <x:c r="L35" s="36" t="str">
        <x:v>UNVERIFIED</x:v>
      </x:c>
      <x:c r="M35" s="36" t="str">
        <x:v>Supports 24 h RTO / Per benchmark RPO.</x:v>
      </x:c>
    </x:row>
    <x:row r="36">
      <x:c r="A36" s="27" t="str">
        <x:v>CS-032</x:v>
      </x:c>
      <x:c r="B36" s="27" t="str">
        <x:v>BIA-07</x:v>
      </x:c>
      <x:c r="C36" s="36" t="str">
        <x:v>Performance profiling and stability validation</x:v>
      </x:c>
      <x:c r="D36" s="36" t="str">
        <x:v>Replicate</x:v>
      </x:c>
      <x:c r="E36" s="36" t="str">
        <x:v>Maintain at least one independent offsite copy</x:v>
      </x:c>
      <x:c r="F36" s="36" t="str">
        <x:v>Source, assets, documentation</x:v>
      </x:c>
      <x:c r="G36" s="36" t="str">
        <x:v>Primary storage loss</x:v>
      </x:c>
      <x:c r="H36" s="36" t="str">
        <x:v>Copy with checksum on separate failure domain</x:v>
      </x:c>
      <x:c r="I36" s="36" t="str">
        <x:v>Weekly</x:v>
      </x:c>
      <x:c r="J36" s="36" t="str">
        <x:v>Continuity</x:v>
      </x:c>
      <x:c r="K36" s="36" t="str">
        <x:v>PLANNED</x:v>
      </x:c>
      <x:c r="L36" s="36" t="str">
        <x:v>UNVERIFIED</x:v>
      </x:c>
      <x:c r="M36" s="36" t="str">
        <x:v>Supports 24 h RTO / Per benchmark RPO.</x:v>
      </x:c>
    </x:row>
    <x:row r="37">
      <x:c r="A37" s="27" t="str">
        <x:v>CS-033</x:v>
      </x:c>
      <x:c r="B37" s="27" t="str">
        <x:v>BIA-07</x:v>
      </x:c>
      <x:c r="C37" s="36" t="str">
        <x:v>Performance profiling and stability validation</x:v>
      </x:c>
      <x:c r="D37" s="36" t="str">
        <x:v>Restore</x:v>
      </x:c>
      <x:c r="E37" s="36" t="str">
        <x:v>Execute scheduled restoration to clean target</x:v>
      </x:c>
      <x:c r="F37" s="36" t="str">
        <x:v>All backed-up assets</x:v>
      </x:c>
      <x:c r="G37" s="36" t="str">
        <x:v>Backup cannot be restored</x:v>
      </x:c>
      <x:c r="H37" s="36" t="str">
        <x:v>Timed restore log, hash comparison and owner signoff</x:v>
      </x:c>
      <x:c r="I37" s="36" t="str">
        <x:v>Quarterly</x:v>
      </x:c>
      <x:c r="J37" s="36" t="str">
        <x:v>Continuity</x:v>
      </x:c>
      <x:c r="K37" s="36" t="str">
        <x:v>PLANNED</x:v>
      </x:c>
      <x:c r="L37" s="36" t="str">
        <x:v>UNVERIFIED</x:v>
      </x:c>
      <x:c r="M37" s="36" t="str">
        <x:v>Supports 24 h RTO / Per benchmark RPO.</x:v>
      </x:c>
    </x:row>
    <x:row r="38">
      <x:c r="A38" s="27" t="str">
        <x:v>CS-034</x:v>
      </x:c>
      <x:c r="B38" s="27" t="str">
        <x:v>BIA-08</x:v>
      </x:c>
      <x:c r="C38" s="36" t="str">
        <x:v>Security and critical account access</x:v>
      </x:c>
      <x:c r="D38" s="36" t="str">
        <x:v>Prevent</x:v>
      </x:c>
      <x:c r="E38" s="36" t="str">
        <x:v>Document owner, alternate and escalation path</x:v>
      </x:c>
      <x:c r="F38" s="36" t="str">
        <x:v>All critical capabilities</x:v>
      </x:c>
      <x:c r="G38" s="36" t="str">
        <x:v>Owner absence or ambiguity</x:v>
      </x:c>
      <x:c r="H38" s="36" t="str">
        <x:v>Named accountable/alternate in workbook</x:v>
      </x:c>
      <x:c r="I38" s="36" t="str">
        <x:v>Quarterly</x:v>
      </x:c>
      <x:c r="J38" s="36" t="str">
        <x:v>Production</x:v>
      </x:c>
      <x:c r="K38" s="36" t="str">
        <x:v>PLANNED</x:v>
      </x:c>
      <x:c r="L38" s="36" t="str">
        <x:v>UNVERIFIED</x:v>
      </x:c>
      <x:c r="M38" s="36" t="str">
        <x:v>Supports Immediate RTO / Immediate RPO.</x:v>
      </x:c>
    </x:row>
    <x:row r="39">
      <x:c r="A39" s="27" t="str">
        <x:v>CS-035</x:v>
      </x:c>
      <x:c r="B39" s="27" t="str">
        <x:v>BIA-08</x:v>
      </x:c>
      <x:c r="C39" s="36" t="str">
        <x:v>Security and critical account access</x:v>
      </x:c>
      <x:c r="D39" s="36" t="str">
        <x:v>Protect</x:v>
      </x:c>
      <x:c r="E39" s="36" t="str">
        <x:v>Apply least privilege, MFA and encrypted storage</x:v>
      </x:c>
      <x:c r="F39" s="36" t="str">
        <x:v>Accounts, repository, backups</x:v>
      </x:c>
      <x:c r="G39" s="36" t="str">
        <x:v>Unauthorized access or theft</x:v>
      </x:c>
      <x:c r="H39" s="36" t="str">
        <x:v>Access review and MFA evidence</x:v>
      </x:c>
      <x:c r="I39" s="36" t="str">
        <x:v>Quarterly</x:v>
      </x:c>
      <x:c r="J39" s="36" t="str">
        <x:v>Security</x:v>
      </x:c>
      <x:c r="K39" s="36" t="str">
        <x:v>PLANNED</x:v>
      </x:c>
      <x:c r="L39" s="36" t="str">
        <x:v>UNVERIFIED</x:v>
      </x:c>
      <x:c r="M39" s="36" t="str">
        <x:v>Supports Immediate RTO / Immediate RPO.</x:v>
      </x:c>
    </x:row>
    <x:row r="40">
      <x:c r="A40" s="27" t="str">
        <x:v>CS-036</x:v>
      </x:c>
      <x:c r="B40" s="27" t="str">
        <x:v>BIA-08</x:v>
      </x:c>
      <x:c r="C40" s="36" t="str">
        <x:v>Security and critical account access</x:v>
      </x:c>
      <x:c r="D40" s="36" t="str">
        <x:v>Replicate</x:v>
      </x:c>
      <x:c r="E40" s="36" t="str">
        <x:v>Maintain at least one independent offsite copy</x:v>
      </x:c>
      <x:c r="F40" s="36" t="str">
        <x:v>Source, assets, documentation</x:v>
      </x:c>
      <x:c r="G40" s="36" t="str">
        <x:v>Primary storage loss</x:v>
      </x:c>
      <x:c r="H40" s="36" t="str">
        <x:v>Copy with checksum on separate failure domain</x:v>
      </x:c>
      <x:c r="I40" s="36" t="str">
        <x:v>Weekly</x:v>
      </x:c>
      <x:c r="J40" s="36" t="str">
        <x:v>Continuity</x:v>
      </x:c>
      <x:c r="K40" s="36" t="str">
        <x:v>PLANNED</x:v>
      </x:c>
      <x:c r="L40" s="36" t="str">
        <x:v>UNVERIFIED</x:v>
      </x:c>
      <x:c r="M40" s="36" t="str">
        <x:v>Supports Immediate RTO / Immediate RPO.</x:v>
      </x:c>
    </x:row>
    <x:row r="41">
      <x:c r="A41" s="27" t="str">
        <x:v>CS-037</x:v>
      </x:c>
      <x:c r="B41" s="27" t="str">
        <x:v>BIA-08</x:v>
      </x:c>
      <x:c r="C41" s="36" t="str">
        <x:v>Security and critical account access</x:v>
      </x:c>
      <x:c r="D41" s="36" t="str">
        <x:v>Restore</x:v>
      </x:c>
      <x:c r="E41" s="36" t="str">
        <x:v>Execute scheduled restoration to clean target</x:v>
      </x:c>
      <x:c r="F41" s="36" t="str">
        <x:v>All backed-up assets</x:v>
      </x:c>
      <x:c r="G41" s="36" t="str">
        <x:v>Backup cannot be restored</x:v>
      </x:c>
      <x:c r="H41" s="36" t="str">
        <x:v>Timed restore log, hash comparison and owner signoff</x:v>
      </x:c>
      <x:c r="I41" s="36" t="str">
        <x:v>Quarterly</x:v>
      </x:c>
      <x:c r="J41" s="36" t="str">
        <x:v>Continuity</x:v>
      </x:c>
      <x:c r="K41" s="36" t="str">
        <x:v>PLANNED</x:v>
      </x:c>
      <x:c r="L41" s="36" t="str">
        <x:v>UNVERIFIED</x:v>
      </x:c>
      <x:c r="M41" s="36" t="str">
        <x:v>Supports Immediate RTO / Immediate RPO.</x:v>
      </x:c>
    </x:row>
    <x:row r="42">
      <x:c r="A42" s="27" t="str">
        <x:v>CS-038</x:v>
      </x:c>
      <x:c r="B42" s="27" t="str">
        <x:v>BIA-08</x:v>
      </x:c>
      <x:c r="C42" s="36" t="str">
        <x:v>Security and critical account access</x:v>
      </x:c>
      <x:c r="D42" s="36" t="str">
        <x:v>Degrade</x:v>
      </x:c>
      <x:c r="E42" s="36" t="str">
        <x:v>Define minimum viable operating mode</x:v>
      </x:c>
      <x:c r="F42" s="36" t="str">
        <x:v>Build, production, support, communication</x:v>
      </x:c>
      <x:c r="G42" s="36" t="str">
        <x:v>Dependency/service outage</x:v>
      </x:c>
      <x:c r="H42" s="36" t="str">
        <x:v>Documented reduced service with explicit limits</x:v>
      </x:c>
      <x:c r="I42" s="36" t="str">
        <x:v>Per milestone</x:v>
      </x:c>
      <x:c r="J42" s="36" t="str">
        <x:v>Production</x:v>
      </x:c>
      <x:c r="K42" s="36" t="str">
        <x:v>PLANNED</x:v>
      </x:c>
      <x:c r="L42" s="36" t="str">
        <x:v>UNVERIFIED</x:v>
      </x:c>
      <x:c r="M42" s="36" t="str">
        <x:v>Supports Immediate RTO / Immediate RPO.</x:v>
      </x:c>
    </x:row>
    <x:row r="43">
      <x:c r="A43" s="27" t="str">
        <x:v>CS-039</x:v>
      </x:c>
      <x:c r="B43" s="27" t="str">
        <x:v>BIA-09</x:v>
      </x:c>
      <x:c r="C43" s="36" t="str">
        <x:v>Privacy and user data handling</x:v>
      </x:c>
      <x:c r="D43" s="36" t="str">
        <x:v>Prevent</x:v>
      </x:c>
      <x:c r="E43" s="36" t="str">
        <x:v>Document owner, alternate and escalation path</x:v>
      </x:c>
      <x:c r="F43" s="36" t="str">
        <x:v>All critical capabilities</x:v>
      </x:c>
      <x:c r="G43" s="36" t="str">
        <x:v>Owner absence or ambiguity</x:v>
      </x:c>
      <x:c r="H43" s="36" t="str">
        <x:v>Named accountable/alternate in workbook</x:v>
      </x:c>
      <x:c r="I43" s="36" t="str">
        <x:v>Quarterly</x:v>
      </x:c>
      <x:c r="J43" s="36" t="str">
        <x:v>Production</x:v>
      </x:c>
      <x:c r="K43" s="36" t="str">
        <x:v>PLANNED</x:v>
      </x:c>
      <x:c r="L43" s="36" t="str">
        <x:v>UNVERIFIED</x:v>
      </x:c>
      <x:c r="M43" s="36" t="str">
        <x:v>Supports 4 h RTO / Per event RPO.</x:v>
      </x:c>
    </x:row>
    <x:row r="44">
      <x:c r="A44" s="27" t="str">
        <x:v>CS-040</x:v>
      </x:c>
      <x:c r="B44" s="27" t="str">
        <x:v>BIA-09</x:v>
      </x:c>
      <x:c r="C44" s="36" t="str">
        <x:v>Privacy and user data handling</x:v>
      </x:c>
      <x:c r="D44" s="36" t="str">
        <x:v>Protect</x:v>
      </x:c>
      <x:c r="E44" s="36" t="str">
        <x:v>Apply least privilege, MFA and encrypted storage</x:v>
      </x:c>
      <x:c r="F44" s="36" t="str">
        <x:v>Accounts, repository, backups</x:v>
      </x:c>
      <x:c r="G44" s="36" t="str">
        <x:v>Unauthorized access or theft</x:v>
      </x:c>
      <x:c r="H44" s="36" t="str">
        <x:v>Access review and MFA evidence</x:v>
      </x:c>
      <x:c r="I44" s="36" t="str">
        <x:v>Quarterly</x:v>
      </x:c>
      <x:c r="J44" s="36" t="str">
        <x:v>Security</x:v>
      </x:c>
      <x:c r="K44" s="36" t="str">
        <x:v>PLANNED</x:v>
      </x:c>
      <x:c r="L44" s="36" t="str">
        <x:v>UNVERIFIED</x:v>
      </x:c>
      <x:c r="M44" s="36" t="str">
        <x:v>Supports 4 h RTO / Per event RPO.</x:v>
      </x:c>
    </x:row>
    <x:row r="45">
      <x:c r="A45" s="27" t="str">
        <x:v>CS-041</x:v>
      </x:c>
      <x:c r="B45" s="27" t="str">
        <x:v>BIA-09</x:v>
      </x:c>
      <x:c r="C45" s="36" t="str">
        <x:v>Privacy and user data handling</x:v>
      </x:c>
      <x:c r="D45" s="36" t="str">
        <x:v>Replicate</x:v>
      </x:c>
      <x:c r="E45" s="36" t="str">
        <x:v>Maintain at least one independent offsite copy</x:v>
      </x:c>
      <x:c r="F45" s="36" t="str">
        <x:v>Source, assets, documentation</x:v>
      </x:c>
      <x:c r="G45" s="36" t="str">
        <x:v>Primary storage loss</x:v>
      </x:c>
      <x:c r="H45" s="36" t="str">
        <x:v>Copy with checksum on separate failure domain</x:v>
      </x:c>
      <x:c r="I45" s="36" t="str">
        <x:v>Weekly</x:v>
      </x:c>
      <x:c r="J45" s="36" t="str">
        <x:v>Continuity</x:v>
      </x:c>
      <x:c r="K45" s="36" t="str">
        <x:v>PLANNED</x:v>
      </x:c>
      <x:c r="L45" s="36" t="str">
        <x:v>UNVERIFIED</x:v>
      </x:c>
      <x:c r="M45" s="36" t="str">
        <x:v>Supports 4 h RTO / Per event RPO.</x:v>
      </x:c>
    </x:row>
    <x:row r="46">
      <x:c r="A46" s="27" t="str">
        <x:v>CS-042</x:v>
      </x:c>
      <x:c r="B46" s="27" t="str">
        <x:v>BIA-09</x:v>
      </x:c>
      <x:c r="C46" s="36" t="str">
        <x:v>Privacy and user data handling</x:v>
      </x:c>
      <x:c r="D46" s="36" t="str">
        <x:v>Restore</x:v>
      </x:c>
      <x:c r="E46" s="36" t="str">
        <x:v>Execute scheduled restoration to clean target</x:v>
      </x:c>
      <x:c r="F46" s="36" t="str">
        <x:v>All backed-up assets</x:v>
      </x:c>
      <x:c r="G46" s="36" t="str">
        <x:v>Backup cannot be restored</x:v>
      </x:c>
      <x:c r="H46" s="36" t="str">
        <x:v>Timed restore log, hash comparison and owner signoff</x:v>
      </x:c>
      <x:c r="I46" s="36" t="str">
        <x:v>Quarterly</x:v>
      </x:c>
      <x:c r="J46" s="36" t="str">
        <x:v>Continuity</x:v>
      </x:c>
      <x:c r="K46" s="36" t="str">
        <x:v>PLANNED</x:v>
      </x:c>
      <x:c r="L46" s="36" t="str">
        <x:v>UNVERIFIED</x:v>
      </x:c>
      <x:c r="M46" s="36" t="str">
        <x:v>Supports 4 h RTO / Per event RPO.</x:v>
      </x:c>
    </x:row>
    <x:row r="47">
      <x:c r="A47" s="27" t="str">
        <x:v>CS-043</x:v>
      </x:c>
      <x:c r="B47" s="27" t="str">
        <x:v>BIA-09</x:v>
      </x:c>
      <x:c r="C47" s="36" t="str">
        <x:v>Privacy and user data handling</x:v>
      </x:c>
      <x:c r="D47" s="36" t="str">
        <x:v>Degrade</x:v>
      </x:c>
      <x:c r="E47" s="36" t="str">
        <x:v>Define minimum viable operating mode</x:v>
      </x:c>
      <x:c r="F47" s="36" t="str">
        <x:v>Build, production, support, communication</x:v>
      </x:c>
      <x:c r="G47" s="36" t="str">
        <x:v>Dependency/service outage</x:v>
      </x:c>
      <x:c r="H47" s="36" t="str">
        <x:v>Documented reduced service with explicit limits</x:v>
      </x:c>
      <x:c r="I47" s="36" t="str">
        <x:v>Per milestone</x:v>
      </x:c>
      <x:c r="J47" s="36" t="str">
        <x:v>Production</x:v>
      </x:c>
      <x:c r="K47" s="36" t="str">
        <x:v>PLANNED</x:v>
      </x:c>
      <x:c r="L47" s="36" t="str">
        <x:v>UNVERIFIED</x:v>
      </x:c>
      <x:c r="M47" s="36" t="str">
        <x:v>Supports 4 h RTO / Per event RPO.</x:v>
      </x:c>
    </x:row>
    <x:row r="48">
      <x:c r="A48" s="27" t="str">
        <x:v>CS-044</x:v>
      </x:c>
      <x:c r="B48" s="27" t="str">
        <x:v>BIA-10</x:v>
      </x:c>
      <x:c r="C48" s="36" t="str">
        <x:v>Legal rights and license evidence</x:v>
      </x:c>
      <x:c r="D48" s="36" t="str">
        <x:v>Prevent</x:v>
      </x:c>
      <x:c r="E48" s="36" t="str">
        <x:v>Document owner, alternate and escalation path</x:v>
      </x:c>
      <x:c r="F48" s="36" t="str">
        <x:v>All critical capabilities</x:v>
      </x:c>
      <x:c r="G48" s="36" t="str">
        <x:v>Owner absence or ambiguity</x:v>
      </x:c>
      <x:c r="H48" s="36" t="str">
        <x:v>Named accountable/alternate in workbook</x:v>
      </x:c>
      <x:c r="I48" s="36" t="str">
        <x:v>Quarterly</x:v>
      </x:c>
      <x:c r="J48" s="36" t="str">
        <x:v>Production</x:v>
      </x:c>
      <x:c r="K48" s="36" t="str">
        <x:v>PLANNED</x:v>
      </x:c>
      <x:c r="L48" s="36" t="str">
        <x:v>UNVERIFIED</x:v>
      </x:c>
      <x:c r="M48" s="36" t="str">
        <x:v>Supports 8 h RTO / Per change RPO.</x:v>
      </x:c>
    </x:row>
    <x:row r="49">
      <x:c r="A49" s="27" t="str">
        <x:v>CS-045</x:v>
      </x:c>
      <x:c r="B49" s="27" t="str">
        <x:v>BIA-10</x:v>
      </x:c>
      <x:c r="C49" s="36" t="str">
        <x:v>Legal rights and license evidence</x:v>
      </x:c>
      <x:c r="D49" s="36" t="str">
        <x:v>Protect</x:v>
      </x:c>
      <x:c r="E49" s="36" t="str">
        <x:v>Apply least privilege, MFA and encrypted storage</x:v>
      </x:c>
      <x:c r="F49" s="36" t="str">
        <x:v>Accounts, repository, backups</x:v>
      </x:c>
      <x:c r="G49" s="36" t="str">
        <x:v>Unauthorized access or theft</x:v>
      </x:c>
      <x:c r="H49" s="36" t="str">
        <x:v>Access review and MFA evidence</x:v>
      </x:c>
      <x:c r="I49" s="36" t="str">
        <x:v>Quarterly</x:v>
      </x:c>
      <x:c r="J49" s="36" t="str">
        <x:v>Security</x:v>
      </x:c>
      <x:c r="K49" s="36" t="str">
        <x:v>PLANNED</x:v>
      </x:c>
      <x:c r="L49" s="36" t="str">
        <x:v>UNVERIFIED</x:v>
      </x:c>
      <x:c r="M49" s="36" t="str">
        <x:v>Supports 8 h RTO / Per change RPO.</x:v>
      </x:c>
    </x:row>
    <x:row r="50">
      <x:c r="A50" s="27" t="str">
        <x:v>CS-046</x:v>
      </x:c>
      <x:c r="B50" s="27" t="str">
        <x:v>BIA-10</x:v>
      </x:c>
      <x:c r="C50" s="36" t="str">
        <x:v>Legal rights and license evidence</x:v>
      </x:c>
      <x:c r="D50" s="36" t="str">
        <x:v>Replicate</x:v>
      </x:c>
      <x:c r="E50" s="36" t="str">
        <x:v>Maintain at least one independent offsite copy</x:v>
      </x:c>
      <x:c r="F50" s="36" t="str">
        <x:v>Source, assets, documentation</x:v>
      </x:c>
      <x:c r="G50" s="36" t="str">
        <x:v>Primary storage loss</x:v>
      </x:c>
      <x:c r="H50" s="36" t="str">
        <x:v>Copy with checksum on separate failure domain</x:v>
      </x:c>
      <x:c r="I50" s="36" t="str">
        <x:v>Weekly</x:v>
      </x:c>
      <x:c r="J50" s="36" t="str">
        <x:v>Continuity</x:v>
      </x:c>
      <x:c r="K50" s="36" t="str">
        <x:v>PLANNED</x:v>
      </x:c>
      <x:c r="L50" s="36" t="str">
        <x:v>UNVERIFIED</x:v>
      </x:c>
      <x:c r="M50" s="36" t="str">
        <x:v>Supports 8 h RTO / Per change RPO.</x:v>
      </x:c>
    </x:row>
    <x:row r="51">
      <x:c r="A51" s="27" t="str">
        <x:v>CS-047</x:v>
      </x:c>
      <x:c r="B51" s="27" t="str">
        <x:v>BIA-10</x:v>
      </x:c>
      <x:c r="C51" s="36" t="str">
        <x:v>Legal rights and license evidence</x:v>
      </x:c>
      <x:c r="D51" s="36" t="str">
        <x:v>Restore</x:v>
      </x:c>
      <x:c r="E51" s="36" t="str">
        <x:v>Execute scheduled restoration to clean target</x:v>
      </x:c>
      <x:c r="F51" s="36" t="str">
        <x:v>All backed-up assets</x:v>
      </x:c>
      <x:c r="G51" s="36" t="str">
        <x:v>Backup cannot be restored</x:v>
      </x:c>
      <x:c r="H51" s="36" t="str">
        <x:v>Timed restore log, hash comparison and owner signoff</x:v>
      </x:c>
      <x:c r="I51" s="36" t="str">
        <x:v>Quarterly</x:v>
      </x:c>
      <x:c r="J51" s="36" t="str">
        <x:v>Continuity</x:v>
      </x:c>
      <x:c r="K51" s="36" t="str">
        <x:v>PLANNED</x:v>
      </x:c>
      <x:c r="L51" s="36" t="str">
        <x:v>UNVERIFIED</x:v>
      </x:c>
      <x:c r="M51" s="36" t="str">
        <x:v>Supports 8 h RTO / Per change RPO.</x:v>
      </x:c>
    </x:row>
    <x:row r="52">
      <x:c r="A52" s="27" t="str">
        <x:v>CS-048</x:v>
      </x:c>
      <x:c r="B52" s="27" t="str">
        <x:v>BIA-10</x:v>
      </x:c>
      <x:c r="C52" s="36" t="str">
        <x:v>Legal rights and license evidence</x:v>
      </x:c>
      <x:c r="D52" s="36" t="str">
        <x:v>Degrade</x:v>
      </x:c>
      <x:c r="E52" s="36" t="str">
        <x:v>Define minimum viable operating mode</x:v>
      </x:c>
      <x:c r="F52" s="36" t="str">
        <x:v>Build, production, support, communication</x:v>
      </x:c>
      <x:c r="G52" s="36" t="str">
        <x:v>Dependency/service outage</x:v>
      </x:c>
      <x:c r="H52" s="36" t="str">
        <x:v>Documented reduced service with explicit limits</x:v>
      </x:c>
      <x:c r="I52" s="36" t="str">
        <x:v>Per milestone</x:v>
      </x:c>
      <x:c r="J52" s="36" t="str">
        <x:v>Production</x:v>
      </x:c>
      <x:c r="K52" s="36" t="str">
        <x:v>PLANNED</x:v>
      </x:c>
      <x:c r="L52" s="36" t="str">
        <x:v>UNVERIFIED</x:v>
      </x:c>
      <x:c r="M52" s="36" t="str">
        <x:v>Supports 8 h RTO / Per change RPO.</x:v>
      </x:c>
    </x:row>
    <x:row r="53">
      <x:c r="A53" s="27" t="str">
        <x:v>CS-049</x:v>
      </x:c>
      <x:c r="B53" s="27" t="str">
        <x:v>BIA-11</x:v>
      </x:c>
      <x:c r="C53" s="36" t="str">
        <x:v>Steam publishing and public communication</x:v>
      </x:c>
      <x:c r="D53" s="36" t="str">
        <x:v>Prevent</x:v>
      </x:c>
      <x:c r="E53" s="36" t="str">
        <x:v>Document owner, alternate and escalation path</x:v>
      </x:c>
      <x:c r="F53" s="36" t="str">
        <x:v>All critical capabilities</x:v>
      </x:c>
      <x:c r="G53" s="36" t="str">
        <x:v>Owner absence or ambiguity</x:v>
      </x:c>
      <x:c r="H53" s="36" t="str">
        <x:v>Named accountable/alternate in workbook</x:v>
      </x:c>
      <x:c r="I53" s="36" t="str">
        <x:v>Quarterly</x:v>
      </x:c>
      <x:c r="J53" s="36" t="str">
        <x:v>Production</x:v>
      </x:c>
      <x:c r="K53" s="36" t="str">
        <x:v>PLANNED</x:v>
      </x:c>
      <x:c r="L53" s="36" t="str">
        <x:v>UNVERIFIED</x:v>
      </x:c>
      <x:c r="M53" s="36" t="str">
        <x:v>Supports 2 h RTO / Per approved change RPO.</x:v>
      </x:c>
    </x:row>
    <x:row r="54">
      <x:c r="A54" s="27" t="str">
        <x:v>CS-050</x:v>
      </x:c>
      <x:c r="B54" s="27" t="str">
        <x:v>BIA-11</x:v>
      </x:c>
      <x:c r="C54" s="36" t="str">
        <x:v>Steam publishing and public communication</x:v>
      </x:c>
      <x:c r="D54" s="36" t="str">
        <x:v>Protect</x:v>
      </x:c>
      <x:c r="E54" s="36" t="str">
        <x:v>Apply least privilege, MFA and encrypted storage</x:v>
      </x:c>
      <x:c r="F54" s="36" t="str">
        <x:v>Accounts, repository, backups</x:v>
      </x:c>
      <x:c r="G54" s="36" t="str">
        <x:v>Unauthorized access or theft</x:v>
      </x:c>
      <x:c r="H54" s="36" t="str">
        <x:v>Access review and MFA evidence</x:v>
      </x:c>
      <x:c r="I54" s="36" t="str">
        <x:v>Quarterly</x:v>
      </x:c>
      <x:c r="J54" s="36" t="str">
        <x:v>Security</x:v>
      </x:c>
      <x:c r="K54" s="36" t="str">
        <x:v>PLANNED</x:v>
      </x:c>
      <x:c r="L54" s="36" t="str">
        <x:v>UNVERIFIED</x:v>
      </x:c>
      <x:c r="M54" s="36" t="str">
        <x:v>Supports 2 h RTO / Per approved change RPO.</x:v>
      </x:c>
    </x:row>
    <x:row r="55">
      <x:c r="A55" s="27" t="str">
        <x:v>CS-051</x:v>
      </x:c>
      <x:c r="B55" s="27" t="str">
        <x:v>BIA-11</x:v>
      </x:c>
      <x:c r="C55" s="36" t="str">
        <x:v>Steam publishing and public communication</x:v>
      </x:c>
      <x:c r="D55" s="36" t="str">
        <x:v>Replicate</x:v>
      </x:c>
      <x:c r="E55" s="36" t="str">
        <x:v>Maintain at least one independent offsite copy</x:v>
      </x:c>
      <x:c r="F55" s="36" t="str">
        <x:v>Source, assets, documentation</x:v>
      </x:c>
      <x:c r="G55" s="36" t="str">
        <x:v>Primary storage loss</x:v>
      </x:c>
      <x:c r="H55" s="36" t="str">
        <x:v>Copy with checksum on separate failure domain</x:v>
      </x:c>
      <x:c r="I55" s="36" t="str">
        <x:v>Weekly</x:v>
      </x:c>
      <x:c r="J55" s="36" t="str">
        <x:v>Continuity</x:v>
      </x:c>
      <x:c r="K55" s="36" t="str">
        <x:v>PLANNED</x:v>
      </x:c>
      <x:c r="L55" s="36" t="str">
        <x:v>UNVERIFIED</x:v>
      </x:c>
      <x:c r="M55" s="36" t="str">
        <x:v>Supports 2 h RTO / Per approved change RPO.</x:v>
      </x:c>
    </x:row>
    <x:row r="56">
      <x:c r="A56" s="27" t="str">
        <x:v>CS-052</x:v>
      </x:c>
      <x:c r="B56" s="27" t="str">
        <x:v>BIA-11</x:v>
      </x:c>
      <x:c r="C56" s="36" t="str">
        <x:v>Steam publishing and public communication</x:v>
      </x:c>
      <x:c r="D56" s="36" t="str">
        <x:v>Restore</x:v>
      </x:c>
      <x:c r="E56" s="36" t="str">
        <x:v>Execute scheduled restoration to clean target</x:v>
      </x:c>
      <x:c r="F56" s="36" t="str">
        <x:v>All backed-up assets</x:v>
      </x:c>
      <x:c r="G56" s="36" t="str">
        <x:v>Backup cannot be restored</x:v>
      </x:c>
      <x:c r="H56" s="36" t="str">
        <x:v>Timed restore log, hash comparison and owner signoff</x:v>
      </x:c>
      <x:c r="I56" s="36" t="str">
        <x:v>Quarterly</x:v>
      </x:c>
      <x:c r="J56" s="36" t="str">
        <x:v>Continuity</x:v>
      </x:c>
      <x:c r="K56" s="36" t="str">
        <x:v>PLANNED</x:v>
      </x:c>
      <x:c r="L56" s="36" t="str">
        <x:v>UNVERIFIED</x:v>
      </x:c>
      <x:c r="M56" s="36" t="str">
        <x:v>Supports 2 h RTO / Per approved change RPO.</x:v>
      </x:c>
    </x:row>
    <x:row r="57">
      <x:c r="A57" s="27" t="str">
        <x:v>CS-053</x:v>
      </x:c>
      <x:c r="B57" s="27" t="str">
        <x:v>BIA-11</x:v>
      </x:c>
      <x:c r="C57" s="36" t="str">
        <x:v>Steam publishing and public communication</x:v>
      </x:c>
      <x:c r="D57" s="36" t="str">
        <x:v>Degrade</x:v>
      </x:c>
      <x:c r="E57" s="36" t="str">
        <x:v>Define minimum viable operating mode</x:v>
      </x:c>
      <x:c r="F57" s="36" t="str">
        <x:v>Build, production, support, communication</x:v>
      </x:c>
      <x:c r="G57" s="36" t="str">
        <x:v>Dependency/service outage</x:v>
      </x:c>
      <x:c r="H57" s="36" t="str">
        <x:v>Documented reduced service with explicit limits</x:v>
      </x:c>
      <x:c r="I57" s="36" t="str">
        <x:v>Per milestone</x:v>
      </x:c>
      <x:c r="J57" s="36" t="str">
        <x:v>Production</x:v>
      </x:c>
      <x:c r="K57" s="36" t="str">
        <x:v>PLANNED</x:v>
      </x:c>
      <x:c r="L57" s="36" t="str">
        <x:v>UNVERIFIED</x:v>
      </x:c>
      <x:c r="M57" s="36" t="str">
        <x:v>Supports 2 h RTO / Per approved change RPO.</x:v>
      </x:c>
    </x:row>
    <x:row r="58">
      <x:c r="A58" s="27" t="str">
        <x:v>CS-054</x:v>
      </x:c>
      <x:c r="B58" s="27" t="str">
        <x:v>BIA-12</x:v>
      </x:c>
      <x:c r="C58" s="36" t="str">
        <x:v>Accessible and inclusive player journey</x:v>
      </x:c>
      <x:c r="D58" s="36" t="str">
        <x:v>Prevent</x:v>
      </x:c>
      <x:c r="E58" s="36" t="str">
        <x:v>Document owner, alternate and escalation path</x:v>
      </x:c>
      <x:c r="F58" s="36" t="str">
        <x:v>All critical capabilities</x:v>
      </x:c>
      <x:c r="G58" s="36" t="str">
        <x:v>Owner absence or ambiguity</x:v>
      </x:c>
      <x:c r="H58" s="36" t="str">
        <x:v>Named accountable/alternate in workbook</x:v>
      </x:c>
      <x:c r="I58" s="36" t="str">
        <x:v>Quarterly</x:v>
      </x:c>
      <x:c r="J58" s="36" t="str">
        <x:v>Production</x:v>
      </x:c>
      <x:c r="K58" s="36" t="str">
        <x:v>PLANNED</x:v>
      </x:c>
      <x:c r="L58" s="36" t="str">
        <x:v>UNVERIFIED</x:v>
      </x:c>
      <x:c r="M58" s="36" t="str">
        <x:v>Supports 24 h RTO / Per release RPO.</x:v>
      </x:c>
    </x:row>
    <x:row r="59">
      <x:c r="A59" s="27" t="str">
        <x:v>CS-055</x:v>
      </x:c>
      <x:c r="B59" s="27" t="str">
        <x:v>BIA-12</x:v>
      </x:c>
      <x:c r="C59" s="36" t="str">
        <x:v>Accessible and inclusive player journey</x:v>
      </x:c>
      <x:c r="D59" s="36" t="str">
        <x:v>Protect</x:v>
      </x:c>
      <x:c r="E59" s="36" t="str">
        <x:v>Apply least privilege, MFA and encrypted storage</x:v>
      </x:c>
      <x:c r="F59" s="36" t="str">
        <x:v>Accounts, repository, backups</x:v>
      </x:c>
      <x:c r="G59" s="36" t="str">
        <x:v>Unauthorized access or theft</x:v>
      </x:c>
      <x:c r="H59" s="36" t="str">
        <x:v>Access review and MFA evidence</x:v>
      </x:c>
      <x:c r="I59" s="36" t="str">
        <x:v>Quarterly</x:v>
      </x:c>
      <x:c r="J59" s="36" t="str">
        <x:v>Security</x:v>
      </x:c>
      <x:c r="K59" s="36" t="str">
        <x:v>PLANNED</x:v>
      </x:c>
      <x:c r="L59" s="36" t="str">
        <x:v>UNVERIFIED</x:v>
      </x:c>
      <x:c r="M59" s="36" t="str">
        <x:v>Supports 24 h RTO / Per release RPO.</x:v>
      </x:c>
    </x:row>
    <x:row r="60">
      <x:c r="A60" s="27" t="str">
        <x:v>CS-056</x:v>
      </x:c>
      <x:c r="B60" s="27" t="str">
        <x:v>BIA-12</x:v>
      </x:c>
      <x:c r="C60" s="36" t="str">
        <x:v>Accessible and inclusive player journey</x:v>
      </x:c>
      <x:c r="D60" s="36" t="str">
        <x:v>Replicate</x:v>
      </x:c>
      <x:c r="E60" s="36" t="str">
        <x:v>Maintain at least one independent offsite copy</x:v>
      </x:c>
      <x:c r="F60" s="36" t="str">
        <x:v>Source, assets, documentation</x:v>
      </x:c>
      <x:c r="G60" s="36" t="str">
        <x:v>Primary storage loss</x:v>
      </x:c>
      <x:c r="H60" s="36" t="str">
        <x:v>Copy with checksum on separate failure domain</x:v>
      </x:c>
      <x:c r="I60" s="36" t="str">
        <x:v>Weekly</x:v>
      </x:c>
      <x:c r="J60" s="36" t="str">
        <x:v>Continuity</x:v>
      </x:c>
      <x:c r="K60" s="36" t="str">
        <x:v>PLANNED</x:v>
      </x:c>
      <x:c r="L60" s="36" t="str">
        <x:v>UNVERIFIED</x:v>
      </x:c>
      <x:c r="M60" s="36" t="str">
        <x:v>Supports 24 h RTO / Per release RPO.</x:v>
      </x:c>
    </x:row>
    <x:row r="61">
      <x:c r="A61" s="27" t="str">
        <x:v>CS-057</x:v>
      </x:c>
      <x:c r="B61" s="27" t="str">
        <x:v>BIA-12</x:v>
      </x:c>
      <x:c r="C61" s="36" t="str">
        <x:v>Accessible and inclusive player journey</x:v>
      </x:c>
      <x:c r="D61" s="36" t="str">
        <x:v>Restore</x:v>
      </x:c>
      <x:c r="E61" s="36" t="str">
        <x:v>Execute scheduled restoration to clean target</x:v>
      </x:c>
      <x:c r="F61" s="36" t="str">
        <x:v>All backed-up assets</x:v>
      </x:c>
      <x:c r="G61" s="36" t="str">
        <x:v>Backup cannot be restored</x:v>
      </x:c>
      <x:c r="H61" s="36" t="str">
        <x:v>Timed restore log, hash comparison and owner signoff</x:v>
      </x:c>
      <x:c r="I61" s="36" t="str">
        <x:v>Quarterly</x:v>
      </x:c>
      <x:c r="J61" s="36" t="str">
        <x:v>Continuity</x:v>
      </x:c>
      <x:c r="K61" s="36" t="str">
        <x:v>PLANNED</x:v>
      </x:c>
      <x:c r="L61" s="36" t="str">
        <x:v>UNVERIFIED</x:v>
      </x:c>
      <x:c r="M61" s="36" t="str">
        <x:v>Supports 24 h RTO / Per release RPO.</x:v>
      </x:c>
    </x:row>
    <x:row r="62">
      <x:c r="A62" s="27" t="str">
        <x:v>CS-058</x:v>
      </x:c>
      <x:c r="B62" s="27" t="str">
        <x:v>BIA-13</x:v>
      </x:c>
      <x:c r="C62" s="36" t="str">
        <x:v>Art/audio/content production assets</x:v>
      </x:c>
      <x:c r="D62" s="36" t="str">
        <x:v>Prevent</x:v>
      </x:c>
      <x:c r="E62" s="36" t="str">
        <x:v>Document owner, alternate and escalation path</x:v>
      </x:c>
      <x:c r="F62" s="36" t="str">
        <x:v>All critical capabilities</x:v>
      </x:c>
      <x:c r="G62" s="36" t="str">
        <x:v>Owner absence or ambiguity</x:v>
      </x:c>
      <x:c r="H62" s="36" t="str">
        <x:v>Named accountable/alternate in workbook</x:v>
      </x:c>
      <x:c r="I62" s="36" t="str">
        <x:v>Quarterly</x:v>
      </x:c>
      <x:c r="J62" s="36" t="str">
        <x:v>Production</x:v>
      </x:c>
      <x:c r="K62" s="36" t="str">
        <x:v>PLANNED</x:v>
      </x:c>
      <x:c r="L62" s="36" t="str">
        <x:v>UNVERIFIED</x:v>
      </x:c>
      <x:c r="M62" s="36" t="str">
        <x:v>Supports 24 h RTO / 24 h RPO.</x:v>
      </x:c>
    </x:row>
    <x:row r="63">
      <x:c r="A63" s="27" t="str">
        <x:v>CS-059</x:v>
      </x:c>
      <x:c r="B63" s="27" t="str">
        <x:v>BIA-13</x:v>
      </x:c>
      <x:c r="C63" s="36" t="str">
        <x:v>Art/audio/content production assets</x:v>
      </x:c>
      <x:c r="D63" s="36" t="str">
        <x:v>Protect</x:v>
      </x:c>
      <x:c r="E63" s="36" t="str">
        <x:v>Apply least privilege, MFA and encrypted storage</x:v>
      </x:c>
      <x:c r="F63" s="36" t="str">
        <x:v>Accounts, repository, backups</x:v>
      </x:c>
      <x:c r="G63" s="36" t="str">
        <x:v>Unauthorized access or theft</x:v>
      </x:c>
      <x:c r="H63" s="36" t="str">
        <x:v>Access review and MFA evidence</x:v>
      </x:c>
      <x:c r="I63" s="36" t="str">
        <x:v>Quarterly</x:v>
      </x:c>
      <x:c r="J63" s="36" t="str">
        <x:v>Security</x:v>
      </x:c>
      <x:c r="K63" s="36" t="str">
        <x:v>PLANNED</x:v>
      </x:c>
      <x:c r="L63" s="36" t="str">
        <x:v>UNVERIFIED</x:v>
      </x:c>
      <x:c r="M63" s="36" t="str">
        <x:v>Supports 24 h RTO / 24 h RPO.</x:v>
      </x:c>
    </x:row>
    <x:row r="64">
      <x:c r="A64" s="27" t="str">
        <x:v>CS-060</x:v>
      </x:c>
      <x:c r="B64" s="27" t="str">
        <x:v>BIA-13</x:v>
      </x:c>
      <x:c r="C64" s="36" t="str">
        <x:v>Art/audio/content production assets</x:v>
      </x:c>
      <x:c r="D64" s="36" t="str">
        <x:v>Replicate</x:v>
      </x:c>
      <x:c r="E64" s="36" t="str">
        <x:v>Maintain at least one independent offsite copy</x:v>
      </x:c>
      <x:c r="F64" s="36" t="str">
        <x:v>Source, assets, documentation</x:v>
      </x:c>
      <x:c r="G64" s="36" t="str">
        <x:v>Primary storage loss</x:v>
      </x:c>
      <x:c r="H64" s="36" t="str">
        <x:v>Copy with checksum on separate failure domain</x:v>
      </x:c>
      <x:c r="I64" s="36" t="str">
        <x:v>Weekly</x:v>
      </x:c>
      <x:c r="J64" s="36" t="str">
        <x:v>Continuity</x:v>
      </x:c>
      <x:c r="K64" s="36" t="str">
        <x:v>PLANNED</x:v>
      </x:c>
      <x:c r="L64" s="36" t="str">
        <x:v>UNVERIFIED</x:v>
      </x:c>
      <x:c r="M64" s="36" t="str">
        <x:v>Supports 24 h RTO / 24 h RPO.</x:v>
      </x:c>
    </x:row>
    <x:row r="65">
      <x:c r="A65" s="27" t="str">
        <x:v>CS-061</x:v>
      </x:c>
      <x:c r="B65" s="27" t="str">
        <x:v>BIA-13</x:v>
      </x:c>
      <x:c r="C65" s="36" t="str">
        <x:v>Art/audio/content production assets</x:v>
      </x:c>
      <x:c r="D65" s="36" t="str">
        <x:v>Restore</x:v>
      </x:c>
      <x:c r="E65" s="36" t="str">
        <x:v>Execute scheduled restoration to clean target</x:v>
      </x:c>
      <x:c r="F65" s="36" t="str">
        <x:v>All backed-up assets</x:v>
      </x:c>
      <x:c r="G65" s="36" t="str">
        <x:v>Backup cannot be restored</x:v>
      </x:c>
      <x:c r="H65" s="36" t="str">
        <x:v>Timed restore log, hash comparison and owner signoff</x:v>
      </x:c>
      <x:c r="I65" s="36" t="str">
        <x:v>Quarterly</x:v>
      </x:c>
      <x:c r="J65" s="36" t="str">
        <x:v>Continuity</x:v>
      </x:c>
      <x:c r="K65" s="36" t="str">
        <x:v>PLANNED</x:v>
      </x:c>
      <x:c r="L65" s="36" t="str">
        <x:v>UNVERIFIED</x:v>
      </x:c>
      <x:c r="M65" s="36" t="str">
        <x:v>Supports 24 h RTO / 24 h RPO.</x:v>
      </x:c>
    </x:row>
    <x:row r="66">
      <x:c r="A66" s="27" t="str">
        <x:v>CS-062</x:v>
      </x:c>
      <x:c r="B66" s="27" t="str">
        <x:v>BIA-14</x:v>
      </x:c>
      <x:c r="C66" s="36" t="str">
        <x:v>Financial and vendor payment capability</x:v>
      </x:c>
      <x:c r="D66" s="36" t="str">
        <x:v>Prevent</x:v>
      </x:c>
      <x:c r="E66" s="36" t="str">
        <x:v>Document owner, alternate and escalation path</x:v>
      </x:c>
      <x:c r="F66" s="36" t="str">
        <x:v>All critical capabilities</x:v>
      </x:c>
      <x:c r="G66" s="36" t="str">
        <x:v>Owner absence or ambiguity</x:v>
      </x:c>
      <x:c r="H66" s="36" t="str">
        <x:v>Named accountable/alternate in workbook</x:v>
      </x:c>
      <x:c r="I66" s="36" t="str">
        <x:v>Quarterly</x:v>
      </x:c>
      <x:c r="J66" s="36" t="str">
        <x:v>Production</x:v>
      </x:c>
      <x:c r="K66" s="36" t="str">
        <x:v>PLANNED</x:v>
      </x:c>
      <x:c r="L66" s="36" t="str">
        <x:v>UNVERIFIED</x:v>
      </x:c>
      <x:c r="M66" s="36" t="str">
        <x:v>Supports 24 h RTO / 7 days RPO.</x:v>
      </x:c>
    </x:row>
    <x:row r="67">
      <x:c r="A67" s="27" t="str">
        <x:v>CS-063</x:v>
      </x:c>
      <x:c r="B67" s="27" t="str">
        <x:v>BIA-14</x:v>
      </x:c>
      <x:c r="C67" s="36" t="str">
        <x:v>Financial and vendor payment capability</x:v>
      </x:c>
      <x:c r="D67" s="36" t="str">
        <x:v>Protect</x:v>
      </x:c>
      <x:c r="E67" s="36" t="str">
        <x:v>Apply least privilege, MFA and encrypted storage</x:v>
      </x:c>
      <x:c r="F67" s="36" t="str">
        <x:v>Accounts, repository, backups</x:v>
      </x:c>
      <x:c r="G67" s="36" t="str">
        <x:v>Unauthorized access or theft</x:v>
      </x:c>
      <x:c r="H67" s="36" t="str">
        <x:v>Access review and MFA evidence</x:v>
      </x:c>
      <x:c r="I67" s="36" t="str">
        <x:v>Quarterly</x:v>
      </x:c>
      <x:c r="J67" s="36" t="str">
        <x:v>Security</x:v>
      </x:c>
      <x:c r="K67" s="36" t="str">
        <x:v>PLANNED</x:v>
      </x:c>
      <x:c r="L67" s="36" t="str">
        <x:v>UNVERIFIED</x:v>
      </x:c>
      <x:c r="M67" s="36" t="str">
        <x:v>Supports 24 h RTO / 7 days RPO.</x:v>
      </x:c>
    </x:row>
    <x:row r="68">
      <x:c r="A68" s="27" t="str">
        <x:v>CS-064</x:v>
      </x:c>
      <x:c r="B68" s="27" t="str">
        <x:v>BIA-14</x:v>
      </x:c>
      <x:c r="C68" s="36" t="str">
        <x:v>Financial and vendor payment capability</x:v>
      </x:c>
      <x:c r="D68" s="36" t="str">
        <x:v>Replicate</x:v>
      </x:c>
      <x:c r="E68" s="36" t="str">
        <x:v>Maintain at least one independent offsite copy</x:v>
      </x:c>
      <x:c r="F68" s="36" t="str">
        <x:v>Source, assets, documentation</x:v>
      </x:c>
      <x:c r="G68" s="36" t="str">
        <x:v>Primary storage loss</x:v>
      </x:c>
      <x:c r="H68" s="36" t="str">
        <x:v>Copy with checksum on separate failure domain</x:v>
      </x:c>
      <x:c r="I68" s="36" t="str">
        <x:v>Weekly</x:v>
      </x:c>
      <x:c r="J68" s="36" t="str">
        <x:v>Continuity</x:v>
      </x:c>
      <x:c r="K68" s="36" t="str">
        <x:v>PLANNED</x:v>
      </x:c>
      <x:c r="L68" s="36" t="str">
        <x:v>UNVERIFIED</x:v>
      </x:c>
      <x:c r="M68" s="36" t="str">
        <x:v>Supports 24 h RTO / 7 days RPO.</x:v>
      </x:c>
    </x:row>
    <x:row r="69">
      <x:c r="A69" s="27" t="str">
        <x:v>CS-065</x:v>
      </x:c>
      <x:c r="B69" s="27" t="str">
        <x:v>BIA-14</x:v>
      </x:c>
      <x:c r="C69" s="36" t="str">
        <x:v>Financial and vendor payment capability</x:v>
      </x:c>
      <x:c r="D69" s="36" t="str">
        <x:v>Restore</x:v>
      </x:c>
      <x:c r="E69" s="36" t="str">
        <x:v>Execute scheduled restoration to clean target</x:v>
      </x:c>
      <x:c r="F69" s="36" t="str">
        <x:v>All backed-up assets</x:v>
      </x:c>
      <x:c r="G69" s="36" t="str">
        <x:v>Backup cannot be restored</x:v>
      </x:c>
      <x:c r="H69" s="36" t="str">
        <x:v>Timed restore log, hash comparison and owner signoff</x:v>
      </x:c>
      <x:c r="I69" s="36" t="str">
        <x:v>Quarterly</x:v>
      </x:c>
      <x:c r="J69" s="36" t="str">
        <x:v>Continuity</x:v>
      </x:c>
      <x:c r="K69" s="36" t="str">
        <x:v>PLANNED</x:v>
      </x:c>
      <x:c r="L69" s="36" t="str">
        <x:v>UNVERIFIED</x:v>
      </x:c>
      <x:c r="M69" s="36" t="str">
        <x:v>Supports 24 h RTO / 7 days RPO.</x:v>
      </x:c>
    </x:row>
    <x:row r="70">
      <x:c r="A70" s="27" t="str">
        <x:v>CS-066</x:v>
      </x:c>
      <x:c r="B70" s="27" t="str">
        <x:v>BIA-15</x:v>
      </x:c>
      <x:c r="C70" s="36" t="str">
        <x:v>External development and distribution services</x:v>
      </x:c>
      <x:c r="D70" s="36" t="str">
        <x:v>Prevent</x:v>
      </x:c>
      <x:c r="E70" s="36" t="str">
        <x:v>Document owner, alternate and escalation path</x:v>
      </x:c>
      <x:c r="F70" s="36" t="str">
        <x:v>All critical capabilities</x:v>
      </x:c>
      <x:c r="G70" s="36" t="str">
        <x:v>Owner absence or ambiguity</x:v>
      </x:c>
      <x:c r="H70" s="36" t="str">
        <x:v>Named accountable/alternate in workbook</x:v>
      </x:c>
      <x:c r="I70" s="36" t="str">
        <x:v>Quarterly</x:v>
      </x:c>
      <x:c r="J70" s="36" t="str">
        <x:v>Production</x:v>
      </x:c>
      <x:c r="K70" s="36" t="str">
        <x:v>PLANNED</x:v>
      </x:c>
      <x:c r="L70" s="36" t="str">
        <x:v>UNVERIFIED</x:v>
      </x:c>
      <x:c r="M70" s="36" t="str">
        <x:v>Supports 4 h RTO / 4 h RPO.</x:v>
      </x:c>
    </x:row>
    <x:row r="71">
      <x:c r="A71" s="27" t="str">
        <x:v>CS-067</x:v>
      </x:c>
      <x:c r="B71" s="27" t="str">
        <x:v>BIA-15</x:v>
      </x:c>
      <x:c r="C71" s="36" t="str">
        <x:v>External development and distribution services</x:v>
      </x:c>
      <x:c r="D71" s="36" t="str">
        <x:v>Protect</x:v>
      </x:c>
      <x:c r="E71" s="36" t="str">
        <x:v>Apply least privilege, MFA and encrypted storage</x:v>
      </x:c>
      <x:c r="F71" s="36" t="str">
        <x:v>Accounts, repository, backups</x:v>
      </x:c>
      <x:c r="G71" s="36" t="str">
        <x:v>Unauthorized access or theft</x:v>
      </x:c>
      <x:c r="H71" s="36" t="str">
        <x:v>Access review and MFA evidence</x:v>
      </x:c>
      <x:c r="I71" s="36" t="str">
        <x:v>Quarterly</x:v>
      </x:c>
      <x:c r="J71" s="36" t="str">
        <x:v>Security</x:v>
      </x:c>
      <x:c r="K71" s="36" t="str">
        <x:v>PLANNED</x:v>
      </x:c>
      <x:c r="L71" s="36" t="str">
        <x:v>UNVERIFIED</x:v>
      </x:c>
      <x:c r="M71" s="36" t="str">
        <x:v>Supports 4 h RTO / 4 h RPO.</x:v>
      </x:c>
    </x:row>
    <x:row r="72">
      <x:c r="A72" s="27" t="str">
        <x:v>CS-068</x:v>
      </x:c>
      <x:c r="B72" s="27" t="str">
        <x:v>BIA-15</x:v>
      </x:c>
      <x:c r="C72" s="36" t="str">
        <x:v>External development and distribution services</x:v>
      </x:c>
      <x:c r="D72" s="36" t="str">
        <x:v>Replicate</x:v>
      </x:c>
      <x:c r="E72" s="36" t="str">
        <x:v>Maintain at least one independent offsite copy</x:v>
      </x:c>
      <x:c r="F72" s="36" t="str">
        <x:v>Source, assets, documentation</x:v>
      </x:c>
      <x:c r="G72" s="36" t="str">
        <x:v>Primary storage loss</x:v>
      </x:c>
      <x:c r="H72" s="36" t="str">
        <x:v>Copy with checksum on separate failure domain</x:v>
      </x:c>
      <x:c r="I72" s="36" t="str">
        <x:v>Weekly</x:v>
      </x:c>
      <x:c r="J72" s="36" t="str">
        <x:v>Continuity</x:v>
      </x:c>
      <x:c r="K72" s="36" t="str">
        <x:v>PLANNED</x:v>
      </x:c>
      <x:c r="L72" s="36" t="str">
        <x:v>UNVERIFIED</x:v>
      </x:c>
      <x:c r="M72" s="36" t="str">
        <x:v>Supports 4 h RTO / 4 h RPO.</x:v>
      </x:c>
    </x:row>
    <x:row r="73">
      <x:c r="A73" s="27" t="str">
        <x:v>CS-069</x:v>
      </x:c>
      <x:c r="B73" s="27" t="str">
        <x:v>BIA-15</x:v>
      </x:c>
      <x:c r="C73" s="36" t="str">
        <x:v>External development and distribution services</x:v>
      </x:c>
      <x:c r="D73" s="36" t="str">
        <x:v>Restore</x:v>
      </x:c>
      <x:c r="E73" s="36" t="str">
        <x:v>Execute scheduled restoration to clean target</x:v>
      </x:c>
      <x:c r="F73" s="36" t="str">
        <x:v>All backed-up assets</x:v>
      </x:c>
      <x:c r="G73" s="36" t="str">
        <x:v>Backup cannot be restored</x:v>
      </x:c>
      <x:c r="H73" s="36" t="str">
        <x:v>Timed restore log, hash comparison and owner signoff</x:v>
      </x:c>
      <x:c r="I73" s="36" t="str">
        <x:v>Quarterly</x:v>
      </x:c>
      <x:c r="J73" s="36" t="str">
        <x:v>Continuity</x:v>
      </x:c>
      <x:c r="K73" s="36" t="str">
        <x:v>PLANNED</x:v>
      </x:c>
      <x:c r="L73" s="36" t="str">
        <x:v>UNVERIFIED</x:v>
      </x:c>
      <x:c r="M73" s="36" t="str">
        <x:v>Supports 4 h RTO / 4 h RPO.</x:v>
      </x:c>
    </x:row>
    <x:row r="74">
      <x:c r="A74" s="27" t="str">
        <x:v>CS-070</x:v>
      </x:c>
      <x:c r="B74" s="27" t="str">
        <x:v>BIA-16</x:v>
      </x:c>
      <x:c r="C74" s="36" t="str">
        <x:v>Workstation, internet and physical workspace</x:v>
      </x:c>
      <x:c r="D74" s="36" t="str">
        <x:v>Prevent</x:v>
      </x:c>
      <x:c r="E74" s="36" t="str">
        <x:v>Document owner, alternate and escalation path</x:v>
      </x:c>
      <x:c r="F74" s="36" t="str">
        <x:v>All critical capabilities</x:v>
      </x:c>
      <x:c r="G74" s="36" t="str">
        <x:v>Owner absence or ambiguity</x:v>
      </x:c>
      <x:c r="H74" s="36" t="str">
        <x:v>Named accountable/alternate in workbook</x:v>
      </x:c>
      <x:c r="I74" s="36" t="str">
        <x:v>Quarterly</x:v>
      </x:c>
      <x:c r="J74" s="36" t="str">
        <x:v>Production</x:v>
      </x:c>
      <x:c r="K74" s="36" t="str">
        <x:v>PLANNED</x:v>
      </x:c>
      <x:c r="L74" s="36" t="str">
        <x:v>UNVERIFIED</x:v>
      </x:c>
      <x:c r="M74" s="36" t="str">
        <x:v>Supports 4 h RTO / 24 h RPO.</x:v>
      </x:c>
    </x:row>
    <x:row r="75">
      <x:c r="A75" s="27" t="str">
        <x:v>CS-071</x:v>
      </x:c>
      <x:c r="B75" s="27" t="str">
        <x:v>BIA-16</x:v>
      </x:c>
      <x:c r="C75" s="36" t="str">
        <x:v>Workstation, internet and physical workspace</x:v>
      </x:c>
      <x:c r="D75" s="36" t="str">
        <x:v>Protect</x:v>
      </x:c>
      <x:c r="E75" s="36" t="str">
        <x:v>Apply least privilege, MFA and encrypted storage</x:v>
      </x:c>
      <x:c r="F75" s="36" t="str">
        <x:v>Accounts, repository, backups</x:v>
      </x:c>
      <x:c r="G75" s="36" t="str">
        <x:v>Unauthorized access or theft</x:v>
      </x:c>
      <x:c r="H75" s="36" t="str">
        <x:v>Access review and MFA evidence</x:v>
      </x:c>
      <x:c r="I75" s="36" t="str">
        <x:v>Quarterly</x:v>
      </x:c>
      <x:c r="J75" s="36" t="str">
        <x:v>Security</x:v>
      </x:c>
      <x:c r="K75" s="36" t="str">
        <x:v>PLANNED</x:v>
      </x:c>
      <x:c r="L75" s="36" t="str">
        <x:v>UNVERIFIED</x:v>
      </x:c>
      <x:c r="M75" s="36" t="str">
        <x:v>Supports 4 h RTO / 24 h RPO.</x:v>
      </x:c>
    </x:row>
    <x:row r="76">
      <x:c r="A76" s="27" t="str">
        <x:v>CS-072</x:v>
      </x:c>
      <x:c r="B76" s="27" t="str">
        <x:v>BIA-16</x:v>
      </x:c>
      <x:c r="C76" s="36" t="str">
        <x:v>Workstation, internet and physical workspace</x:v>
      </x:c>
      <x:c r="D76" s="36" t="str">
        <x:v>Replicate</x:v>
      </x:c>
      <x:c r="E76" s="36" t="str">
        <x:v>Maintain at least one independent offsite copy</x:v>
      </x:c>
      <x:c r="F76" s="36" t="str">
        <x:v>Source, assets, documentation</x:v>
      </x:c>
      <x:c r="G76" s="36" t="str">
        <x:v>Primary storage loss</x:v>
      </x:c>
      <x:c r="H76" s="36" t="str">
        <x:v>Copy with checksum on separate failure domain</x:v>
      </x:c>
      <x:c r="I76" s="36" t="str">
        <x:v>Weekly</x:v>
      </x:c>
      <x:c r="J76" s="36" t="str">
        <x:v>Continuity</x:v>
      </x:c>
      <x:c r="K76" s="36" t="str">
        <x:v>PLANNED</x:v>
      </x:c>
      <x:c r="L76" s="36" t="str">
        <x:v>UNVERIFIED</x:v>
      </x:c>
      <x:c r="M76" s="36" t="str">
        <x:v>Supports 4 h RTO / 24 h RPO.</x:v>
      </x:c>
    </x:row>
    <x:row r="77">
      <x:c r="A77" s="27" t="str">
        <x:v>CS-073</x:v>
      </x:c>
      <x:c r="B77" s="27" t="str">
        <x:v>BIA-16</x:v>
      </x:c>
      <x:c r="C77" s="36" t="str">
        <x:v>Workstation, internet and physical workspace</x:v>
      </x:c>
      <x:c r="D77" s="36" t="str">
        <x:v>Restore</x:v>
      </x:c>
      <x:c r="E77" s="36" t="str">
        <x:v>Execute scheduled restoration to clean target</x:v>
      </x:c>
      <x:c r="F77" s="36" t="str">
        <x:v>All backed-up assets</x:v>
      </x:c>
      <x:c r="G77" s="36" t="str">
        <x:v>Backup cannot be restored</x:v>
      </x:c>
      <x:c r="H77" s="36" t="str">
        <x:v>Timed restore log, hash comparison and owner signoff</x:v>
      </x:c>
      <x:c r="I77" s="36" t="str">
        <x:v>Quarterly</x:v>
      </x:c>
      <x:c r="J77" s="36" t="str">
        <x:v>Continuity</x:v>
      </x:c>
      <x:c r="K77" s="36" t="str">
        <x:v>PLANNED</x:v>
      </x:c>
      <x:c r="L77" s="36" t="str">
        <x:v>UNVERIFIED</x:v>
      </x:c>
      <x:c r="M77" s="36" t="str">
        <x:v>Supports 4 h RTO / 24 h RPO.</x:v>
      </x:c>
    </x:row>
    <x:row r="78">
      <x:c r="A78" s="27" t="str">
        <x:v>CS-074</x:v>
      </x:c>
      <x:c r="B78" s="27" t="str">
        <x:v>BIA-16</x:v>
      </x:c>
      <x:c r="C78" s="36" t="str">
        <x:v>Workstation, internet and physical workspace</x:v>
      </x:c>
      <x:c r="D78" s="36" t="str">
        <x:v>Degrade</x:v>
      </x:c>
      <x:c r="E78" s="36" t="str">
        <x:v>Define minimum viable operating mode</x:v>
      </x:c>
      <x:c r="F78" s="36" t="str">
        <x:v>Build, production, support, communication</x:v>
      </x:c>
      <x:c r="G78" s="36" t="str">
        <x:v>Dependency/service outage</x:v>
      </x:c>
      <x:c r="H78" s="36" t="str">
        <x:v>Documented reduced service with explicit limits</x:v>
      </x:c>
      <x:c r="I78" s="36" t="str">
        <x:v>Per milestone</x:v>
      </x:c>
      <x:c r="J78" s="36" t="str">
        <x:v>Production</x:v>
      </x:c>
      <x:c r="K78" s="36" t="str">
        <x:v>PLANNED</x:v>
      </x:c>
      <x:c r="L78" s="36" t="str">
        <x:v>UNVERIFIED</x:v>
      </x:c>
      <x:c r="M78" s="36" t="str">
        <x:v>Supports 4 h RTO / 24 h RPO.</x:v>
      </x:c>
    </x:row>
    <x:row r="79">
      <x:c r="A79" s="27" t="str">
        <x:v>CS-075</x:v>
      </x:c>
      <x:c r="B79" s="27" t="str">
        <x:v>BIA-17</x:v>
      </x:c>
      <x:c r="C79" s="36" t="str">
        <x:v>Documentation baseline and institutional knowledge</x:v>
      </x:c>
      <x:c r="D79" s="36" t="str">
        <x:v>Prevent</x:v>
      </x:c>
      <x:c r="E79" s="36" t="str">
        <x:v>Document owner, alternate and escalation path</x:v>
      </x:c>
      <x:c r="F79" s="36" t="str">
        <x:v>All critical capabilities</x:v>
      </x:c>
      <x:c r="G79" s="36" t="str">
        <x:v>Owner absence or ambiguity</x:v>
      </x:c>
      <x:c r="H79" s="36" t="str">
        <x:v>Named accountable/alternate in workbook</x:v>
      </x:c>
      <x:c r="I79" s="36" t="str">
        <x:v>Quarterly</x:v>
      </x:c>
      <x:c r="J79" s="36" t="str">
        <x:v>Production</x:v>
      </x:c>
      <x:c r="K79" s="36" t="str">
        <x:v>PLANNED</x:v>
      </x:c>
      <x:c r="L79" s="36" t="str">
        <x:v>UNVERIFIED</x:v>
      </x:c>
      <x:c r="M79" s="36" t="str">
        <x:v>Supports 8 h RTO / 24 h RPO.</x:v>
      </x:c>
    </x:row>
    <x:row r="80">
      <x:c r="A80" s="27" t="str">
        <x:v>CS-076</x:v>
      </x:c>
      <x:c r="B80" s="27" t="str">
        <x:v>BIA-17</x:v>
      </x:c>
      <x:c r="C80" s="36" t="str">
        <x:v>Documentation baseline and institutional knowledge</x:v>
      </x:c>
      <x:c r="D80" s="36" t="str">
        <x:v>Protect</x:v>
      </x:c>
      <x:c r="E80" s="36" t="str">
        <x:v>Apply least privilege, MFA and encrypted storage</x:v>
      </x:c>
      <x:c r="F80" s="36" t="str">
        <x:v>Accounts, repository, backups</x:v>
      </x:c>
      <x:c r="G80" s="36" t="str">
        <x:v>Unauthorized access or theft</x:v>
      </x:c>
      <x:c r="H80" s="36" t="str">
        <x:v>Access review and MFA evidence</x:v>
      </x:c>
      <x:c r="I80" s="36" t="str">
        <x:v>Quarterly</x:v>
      </x:c>
      <x:c r="J80" s="36" t="str">
        <x:v>Security</x:v>
      </x:c>
      <x:c r="K80" s="36" t="str">
        <x:v>PLANNED</x:v>
      </x:c>
      <x:c r="L80" s="36" t="str">
        <x:v>UNVERIFIED</x:v>
      </x:c>
      <x:c r="M80" s="36" t="str">
        <x:v>Supports 8 h RTO / 24 h RPO.</x:v>
      </x:c>
    </x:row>
    <x:row r="81">
      <x:c r="A81" s="27" t="str">
        <x:v>CS-077</x:v>
      </x:c>
      <x:c r="B81" s="27" t="str">
        <x:v>BIA-17</x:v>
      </x:c>
      <x:c r="C81" s="36" t="str">
        <x:v>Documentation baseline and institutional knowledge</x:v>
      </x:c>
      <x:c r="D81" s="36" t="str">
        <x:v>Replicate</x:v>
      </x:c>
      <x:c r="E81" s="36" t="str">
        <x:v>Maintain at least one independent offsite copy</x:v>
      </x:c>
      <x:c r="F81" s="36" t="str">
        <x:v>Source, assets, documentation</x:v>
      </x:c>
      <x:c r="G81" s="36" t="str">
        <x:v>Primary storage loss</x:v>
      </x:c>
      <x:c r="H81" s="36" t="str">
        <x:v>Copy with checksum on separate failure domain</x:v>
      </x:c>
      <x:c r="I81" s="36" t="str">
        <x:v>Weekly</x:v>
      </x:c>
      <x:c r="J81" s="36" t="str">
        <x:v>Continuity</x:v>
      </x:c>
      <x:c r="K81" s="36" t="str">
        <x:v>PLANNED</x:v>
      </x:c>
      <x:c r="L81" s="36" t="str">
        <x:v>UNVERIFIED</x:v>
      </x:c>
      <x:c r="M81" s="36" t="str">
        <x:v>Supports 8 h RTO / 24 h RPO.</x:v>
      </x:c>
    </x:row>
    <x:row r="82">
      <x:c r="A82" s="27" t="str">
        <x:v>CS-078</x:v>
      </x:c>
      <x:c r="B82" s="27" t="str">
        <x:v>BIA-17</x:v>
      </x:c>
      <x:c r="C82" s="36" t="str">
        <x:v>Documentation baseline and institutional knowledge</x:v>
      </x:c>
      <x:c r="D82" s="36" t="str">
        <x:v>Restore</x:v>
      </x:c>
      <x:c r="E82" s="36" t="str">
        <x:v>Execute scheduled restoration to clean target</x:v>
      </x:c>
      <x:c r="F82" s="36" t="str">
        <x:v>All backed-up assets</x:v>
      </x:c>
      <x:c r="G82" s="36" t="str">
        <x:v>Backup cannot be restored</x:v>
      </x:c>
      <x:c r="H82" s="36" t="str">
        <x:v>Timed restore log, hash comparison and owner signoff</x:v>
      </x:c>
      <x:c r="I82" s="36" t="str">
        <x:v>Quarterly</x:v>
      </x:c>
      <x:c r="J82" s="36" t="str">
        <x:v>Continuity</x:v>
      </x:c>
      <x:c r="K82" s="36" t="str">
        <x:v>PLANNED</x:v>
      </x:c>
      <x:c r="L82" s="36" t="str">
        <x:v>UNVERIFIED</x:v>
      </x:c>
      <x:c r="M82" s="36" t="str">
        <x:v>Supports 8 h RTO / 24 h RPO.</x:v>
      </x:c>
    </x:row>
    <x:row r="83">
      <x:c r="A83" s="27" t="str">
        <x:v>CS-079</x:v>
      </x:c>
      <x:c r="B83" s="27" t="str">
        <x:v>BIA-17</x:v>
      </x:c>
      <x:c r="C83" s="36" t="str">
        <x:v>Documentation baseline and institutional knowledge</x:v>
      </x:c>
      <x:c r="D83" s="36" t="str">
        <x:v>Degrade</x:v>
      </x:c>
      <x:c r="E83" s="36" t="str">
        <x:v>Define minimum viable operating mode</x:v>
      </x:c>
      <x:c r="F83" s="36" t="str">
        <x:v>Build, production, support, communication</x:v>
      </x:c>
      <x:c r="G83" s="36" t="str">
        <x:v>Dependency/service outage</x:v>
      </x:c>
      <x:c r="H83" s="36" t="str">
        <x:v>Documented reduced service with explicit limits</x:v>
      </x:c>
      <x:c r="I83" s="36" t="str">
        <x:v>Per milestone</x:v>
      </x:c>
      <x:c r="J83" s="36" t="str">
        <x:v>Production</x:v>
      </x:c>
      <x:c r="K83" s="36" t="str">
        <x:v>PLANNED</x:v>
      </x:c>
      <x:c r="L83" s="36" t="str">
        <x:v>UNVERIFIED</x:v>
      </x:c>
      <x:c r="M83" s="36" t="str">
        <x:v>Supports 8 h RTO / 24 h RPO.</x:v>
      </x:c>
    </x:row>
    <x:row r="84">
      <x:c r="A84" s="27" t="str">
        <x:v>CS-080</x:v>
      </x:c>
      <x:c r="B84" s="27" t="str">
        <x:v>BIA-18</x:v>
      </x:c>
      <x:c r="C84" s="36" t="str">
        <x:v>Backup, restore and total-loss recovery</x:v>
      </x:c>
      <x:c r="D84" s="36" t="str">
        <x:v>Prevent</x:v>
      </x:c>
      <x:c r="E84" s="36" t="str">
        <x:v>Document owner, alternate and escalation path</x:v>
      </x:c>
      <x:c r="F84" s="36" t="str">
        <x:v>All critical capabilities</x:v>
      </x:c>
      <x:c r="G84" s="36" t="str">
        <x:v>Owner absence or ambiguity</x:v>
      </x:c>
      <x:c r="H84" s="36" t="str">
        <x:v>Named accountable/alternate in workbook</x:v>
      </x:c>
      <x:c r="I84" s="36" t="str">
        <x:v>Quarterly</x:v>
      </x:c>
      <x:c r="J84" s="36" t="str">
        <x:v>Production</x:v>
      </x:c>
      <x:c r="K84" s="36" t="str">
        <x:v>PLANNED</x:v>
      </x:c>
      <x:c r="L84" s="36" t="str">
        <x:v>UNVERIFIED</x:v>
      </x:c>
      <x:c r="M84" s="36" t="str">
        <x:v>Supports Immediate RTO / 4 h code / 24 h assets/docs RPO.</x:v>
      </x:c>
    </x:row>
    <x:row r="85">
      <x:c r="A85" s="27" t="str">
        <x:v>CS-081</x:v>
      </x:c>
      <x:c r="B85" s="27" t="str">
        <x:v>BIA-18</x:v>
      </x:c>
      <x:c r="C85" s="36" t="str">
        <x:v>Backup, restore and total-loss recovery</x:v>
      </x:c>
      <x:c r="D85" s="36" t="str">
        <x:v>Protect</x:v>
      </x:c>
      <x:c r="E85" s="36" t="str">
        <x:v>Apply least privilege, MFA and encrypted storage</x:v>
      </x:c>
      <x:c r="F85" s="36" t="str">
        <x:v>Accounts, repository, backups</x:v>
      </x:c>
      <x:c r="G85" s="36" t="str">
        <x:v>Unauthorized access or theft</x:v>
      </x:c>
      <x:c r="H85" s="36" t="str">
        <x:v>Access review and MFA evidence</x:v>
      </x:c>
      <x:c r="I85" s="36" t="str">
        <x:v>Quarterly</x:v>
      </x:c>
      <x:c r="J85" s="36" t="str">
        <x:v>Security</x:v>
      </x:c>
      <x:c r="K85" s="36" t="str">
        <x:v>PLANNED</x:v>
      </x:c>
      <x:c r="L85" s="36" t="str">
        <x:v>UNVERIFIED</x:v>
      </x:c>
      <x:c r="M85" s="36" t="str">
        <x:v>Supports Immediate RTO / 4 h code / 24 h assets/docs RPO.</x:v>
      </x:c>
    </x:row>
    <x:row r="86">
      <x:c r="A86" s="27" t="str">
        <x:v>CS-082</x:v>
      </x:c>
      <x:c r="B86" s="27" t="str">
        <x:v>BIA-18</x:v>
      </x:c>
      <x:c r="C86" s="36" t="str">
        <x:v>Backup, restore and total-loss recovery</x:v>
      </x:c>
      <x:c r="D86" s="36" t="str">
        <x:v>Replicate</x:v>
      </x:c>
      <x:c r="E86" s="36" t="str">
        <x:v>Maintain at least one independent offsite copy</x:v>
      </x:c>
      <x:c r="F86" s="36" t="str">
        <x:v>Source, assets, documentation</x:v>
      </x:c>
      <x:c r="G86" s="36" t="str">
        <x:v>Primary storage loss</x:v>
      </x:c>
      <x:c r="H86" s="36" t="str">
        <x:v>Copy with checksum on separate failure domain</x:v>
      </x:c>
      <x:c r="I86" s="36" t="str">
        <x:v>Weekly</x:v>
      </x:c>
      <x:c r="J86" s="36" t="str">
        <x:v>Continuity</x:v>
      </x:c>
      <x:c r="K86" s="36" t="str">
        <x:v>PLANNED</x:v>
      </x:c>
      <x:c r="L86" s="36" t="str">
        <x:v>UNVERIFIED</x:v>
      </x:c>
      <x:c r="M86" s="36" t="str">
        <x:v>Supports Immediate RTO / 4 h code / 24 h assets/docs RPO.</x:v>
      </x:c>
    </x:row>
    <x:row r="87">
      <x:c r="A87" s="27" t="str">
        <x:v>CS-083</x:v>
      </x:c>
      <x:c r="B87" s="27" t="str">
        <x:v>BIA-18</x:v>
      </x:c>
      <x:c r="C87" s="36" t="str">
        <x:v>Backup, restore and total-loss recovery</x:v>
      </x:c>
      <x:c r="D87" s="36" t="str">
        <x:v>Restore</x:v>
      </x:c>
      <x:c r="E87" s="36" t="str">
        <x:v>Execute scheduled restoration to clean target</x:v>
      </x:c>
      <x:c r="F87" s="36" t="str">
        <x:v>All backed-up assets</x:v>
      </x:c>
      <x:c r="G87" s="36" t="str">
        <x:v>Backup cannot be restored</x:v>
      </x:c>
      <x:c r="H87" s="36" t="str">
        <x:v>Timed restore log, hash comparison and owner signoff</x:v>
      </x:c>
      <x:c r="I87" s="36" t="str">
        <x:v>Quarterly</x:v>
      </x:c>
      <x:c r="J87" s="36" t="str">
        <x:v>Continuity</x:v>
      </x:c>
      <x:c r="K87" s="36" t="str">
        <x:v>PLANNED</x:v>
      </x:c>
      <x:c r="L87" s="36" t="str">
        <x:v>UNVERIFIED</x:v>
      </x:c>
      <x:c r="M87" s="36" t="str">
        <x:v>Supports Immediate RTO / 4 h code / 24 h assets/docs RPO.</x:v>
      </x:c>
    </x:row>
    <x:row r="88">
      <x:c r="A88" s="27" t="str">
        <x:v>CS-084</x:v>
      </x:c>
      <x:c r="B88" s="27" t="str">
        <x:v>BIA-18</x:v>
      </x:c>
      <x:c r="C88" s="36" t="str">
        <x:v>Backup, restore and total-loss recovery</x:v>
      </x:c>
      <x:c r="D88" s="36" t="str">
        <x:v>Degrade</x:v>
      </x:c>
      <x:c r="E88" s="36" t="str">
        <x:v>Define minimum viable operating mode</x:v>
      </x:c>
      <x:c r="F88" s="36" t="str">
        <x:v>Build, production, support, communication</x:v>
      </x:c>
      <x:c r="G88" s="36" t="str">
        <x:v>Dependency/service outage</x:v>
      </x:c>
      <x:c r="H88" s="36" t="str">
        <x:v>Documented reduced service with explicit limits</x:v>
      </x:c>
      <x:c r="I88" s="36" t="str">
        <x:v>Per milestone</x:v>
      </x:c>
      <x:c r="J88" s="36" t="str">
        <x:v>Production</x:v>
      </x:c>
      <x:c r="K88" s="36" t="str">
        <x:v>PLANNED</x:v>
      </x:c>
      <x:c r="L88" s="36" t="str">
        <x:v>UNVERIFIED</x:v>
      </x:c>
      <x:c r="M88" s="36" t="str">
        <x:v>Supports Immediate RTO / 4 h code / 24 h assets/docs RPO.</x:v>
      </x:c>
    </x:row>
    <x:row r="89">
      <x:c r="A89" t="str">
        <x:v>CS-085</x:v>
      </x:c>
      <x:c r="B89" t="str">
        <x:v>BIA-19</x:v>
      </x:c>
      <x:c r="C89" t="str">
        <x:v>Immutable documentation package and integrity verification</x:v>
      </x:c>
      <x:c r="D89" t="str">
        <x:v>Prevent</x:v>
      </x:c>
      <x:c r="E89" t="str">
        <x:v>Define authority, sequencing and freeze gate</x:v>
      </x:c>
      <x:c r="F89" t="str">
        <x:v>Governance, manifest and audit</x:v>
      </x:c>
      <x:c r="G89" t="str">
        <x:v>Premature or ambiguous closure</x:v>
      </x:c>
      <x:c r="H89" t="str">
        <x:v>Approved sequence, owner and gate record</x:v>
      </x:c>
      <x:c r="I89" t="str">
        <x:v>Per baseline</x:v>
      </x:c>
      <x:c r="J89" t="str">
        <x:v>Documentation</x:v>
      </x:c>
      <x:c r="K89" t="str">
        <x:v>PLANNED</x:v>
      </x:c>
      <x:c r="L89" t="str">
        <x:v>UNVERIFIED</x:v>
      </x:c>
      <x:c r="M89" t="str">
        <x:v>Supports 24 h RTO / per-freeze RPO.</x:v>
      </x:c>
    </x:row>
    <x:row r="90">
      <x:c r="A90" t="str">
        <x:v>CS-086</x:v>
      </x:c>
      <x:c r="B90" t="str">
        <x:v>BIA-19</x:v>
      </x:c>
      <x:c r="C90" t="str">
        <x:v>Immutable documentation package and integrity verification</x:v>
      </x:c>
      <x:c r="D90" t="str">
        <x:v>Protect</x:v>
      </x:c>
      <x:c r="E90" t="str">
        <x:v>Apply read-only permissions, least privilege and secret/PII review</x:v>
      </x:c>
      <x:c r="F90" t="str">
        <x:v>Package and evidence</x:v>
      </x:c>
      <x:c r="G90" t="str">
        <x:v>Tampering or disclosure</x:v>
      </x:c>
      <x:c r="H90" t="str">
        <x:v>Access review and sanitized package report</x:v>
      </x:c>
      <x:c r="I90" t="str">
        <x:v>Per baseline</x:v>
      </x:c>
      <x:c r="J90" t="str">
        <x:v>Security</x:v>
      </x:c>
      <x:c r="K90" t="str">
        <x:v>PLANNED</x:v>
      </x:c>
      <x:c r="L90" t="str">
        <x:v>UNVERIFIED</x:v>
      </x:c>
      <x:c r="M90" t="str">
        <x:v>Supports 24 h RTO / per-freeze RPO.</x:v>
      </x:c>
    </x:row>
    <x:row r="91">
      <x:c r="A91" t="str">
        <x:v>CS-087</x:v>
      </x:c>
      <x:c r="B91" t="str">
        <x:v>BIA-19</x:v>
      </x:c>
      <x:c r="C91" t="str">
        <x:v>Immutable documentation package and integrity verification</x:v>
      </x:c>
      <x:c r="D91" t="str">
        <x:v>Replicate</x:v>
      </x:c>
      <x:c r="E91" t="str">
        <x:v>Maintain independent immutable package and external checksums</x:v>
      </x:c>
      <x:c r="F91" t="str">
        <x:v>00–34 and external artifacts</x:v>
      </x:c>
      <x:c r="G91" t="str">
        <x:v>Primary package/storage loss</x:v>
      </x:c>
      <x:c r="H91" t="str">
        <x:v>Offsite copy and checksum inventory</x:v>
      </x:c>
      <x:c r="I91" t="str">
        <x:v>Per baseline</x:v>
      </x:c>
      <x:c r="J91" t="str">
        <x:v>Continuity</x:v>
      </x:c>
      <x:c r="K91" t="str">
        <x:v>PLANNED</x:v>
      </x:c>
      <x:c r="L91" t="str">
        <x:v>UNVERIFIED</x:v>
      </x:c>
      <x:c r="M91" t="str">
        <x:v>Supports 24 h RTO / per-freeze RPO.</x:v>
      </x:c>
    </x:row>
    <x:row r="92">
      <x:c r="A92" t="str">
        <x:v>CS-088</x:v>
      </x:c>
      <x:c r="B92" t="str">
        <x:v>BIA-19</x:v>
      </x:c>
      <x:c r="C92" t="str">
        <x:v>Immutable documentation package and integrity verification</x:v>
      </x:c>
      <x:c r="D92" t="str">
        <x:v>Restore</x:v>
      </x:c>
      <x:c r="E92" t="str">
        <x:v>Perform clean-room extraction, hash and usability validation</x:v>
      </x:c>
      <x:c r="F92" t="str">
        <x:v>Full documentation package</x:v>
      </x:c>
      <x:c r="G92" t="str">
        <x:v>Backup cannot be used</x:v>
      </x:c>
      <x:c r="H92" t="str">
        <x:v>Timed restore log, open-file checks and signoff</x:v>
      </x:c>
      <x:c r="I92" t="str">
        <x:v>Per baseline</x:v>
      </x:c>
      <x:c r="J92" t="str">
        <x:v>Continuity</x:v>
      </x:c>
      <x:c r="K92" t="str">
        <x:v>PLANNED</x:v>
      </x:c>
      <x:c r="L92" t="str">
        <x:v>UNVERIFIED</x:v>
      </x:c>
      <x:c r="M92" t="str">
        <x:v>Supports 24 h RTO / per-freeze RPO.</x:v>
      </x:c>
    </x:row>
    <x:row r="93">
      <x:c r="A93" t="str">
        <x:v>CS-089</x:v>
      </x:c>
      <x:c r="B93" t="str">
        <x:v>BIA-19</x:v>
      </x:c>
      <x:c r="C93" t="str">
        <x:v>Immutable documentation package and integrity verification</x:v>
      </x:c>
      <x:c r="D93" t="str">
        <x:v>Degrade</x:v>
      </x:c>
      <x:c r="E93" t="str">
        <x:v>Use last verified baseline with explicit stale-status banner</x:v>
      </x:c>
      <x:c r="F93" t="str">
        <x:v>Governance and project resumption</x:v>
      </x:c>
      <x:c r="G93" t="str">
        <x:v>Current candidate unavailable</x:v>
      </x:c>
      <x:c r="H93" t="str">
        <x:v>Documented reduced mode and blocked gates</x:v>
      </x:c>
      <x:c r="I93" t="str">
        <x:v>On activation</x:v>
      </x:c>
      <x:c r="J93" t="str">
        <x:v>Production</x:v>
      </x:c>
      <x:c r="K93" t="str">
        <x:v>PLANNED</x:v>
      </x:c>
      <x:c r="L93" t="str">
        <x:v>UNVERIFIED</x:v>
      </x:c>
      <x:c r="M93" t="str">
        <x:v>Supports 24 h RTO / per-freeze RPO.</x:v>
      </x:c>
    </x:row>
    <x:row r="94">
      <x:c r="A94" t="str">
        <x:v>CS-090</x:v>
      </x:c>
      <x:c r="B94" t="str">
        <x:v>BIA-20</x:v>
      </x:c>
      <x:c r="C94" t="str">
        <x:v>Independent handoff and project resumption</x:v>
      </x:c>
      <x:c r="D94" t="str">
        <x:v>Prevent</x:v>
      </x:c>
      <x:c r="E94" t="str">
        <x:v>Define authority, sequencing and freeze gate</x:v>
      </x:c>
      <x:c r="F94" t="str">
        <x:v>Governance, manifest and audit</x:v>
      </x:c>
      <x:c r="G94" t="str">
        <x:v>Premature or ambiguous closure</x:v>
      </x:c>
      <x:c r="H94" t="str">
        <x:v>Approved sequence, owner and gate record</x:v>
      </x:c>
      <x:c r="I94" t="str">
        <x:v>Per baseline</x:v>
      </x:c>
      <x:c r="J94" t="str">
        <x:v>Documentation</x:v>
      </x:c>
      <x:c r="K94" t="str">
        <x:v>PLANNED</x:v>
      </x:c>
      <x:c r="L94" t="str">
        <x:v>UNVERIFIED</x:v>
      </x:c>
      <x:c r="M94" t="str">
        <x:v>Supports 24 h RTO / 24 h RPO.</x:v>
      </x:c>
    </x:row>
    <x:row r="95">
      <x:c r="A95" t="str">
        <x:v>CS-091</x:v>
      </x:c>
      <x:c r="B95" t="str">
        <x:v>BIA-20</x:v>
      </x:c>
      <x:c r="C95" t="str">
        <x:v>Independent handoff and project resumption</x:v>
      </x:c>
      <x:c r="D95" t="str">
        <x:v>Protect</x:v>
      </x:c>
      <x:c r="E95" t="str">
        <x:v>Apply read-only permissions, least privilege and secret/PII review</x:v>
      </x:c>
      <x:c r="F95" t="str">
        <x:v>Package and evidence</x:v>
      </x:c>
      <x:c r="G95" t="str">
        <x:v>Tampering or disclosure</x:v>
      </x:c>
      <x:c r="H95" t="str">
        <x:v>Access review and sanitized package report</x:v>
      </x:c>
      <x:c r="I95" t="str">
        <x:v>Per baseline</x:v>
      </x:c>
      <x:c r="J95" t="str">
        <x:v>Security</x:v>
      </x:c>
      <x:c r="K95" t="str">
        <x:v>PLANNED</x:v>
      </x:c>
      <x:c r="L95" t="str">
        <x:v>UNVERIFIED</x:v>
      </x:c>
      <x:c r="M95" t="str">
        <x:v>Supports 24 h RTO / 24 h RPO.</x:v>
      </x:c>
    </x:row>
    <x:row r="96">
      <x:c r="A96" t="str">
        <x:v>CS-092</x:v>
      </x:c>
      <x:c r="B96" t="str">
        <x:v>BIA-20</x:v>
      </x:c>
      <x:c r="C96" t="str">
        <x:v>Independent handoff and project resumption</x:v>
      </x:c>
      <x:c r="D96" t="str">
        <x:v>Replicate</x:v>
      </x:c>
      <x:c r="E96" t="str">
        <x:v>Maintain independent immutable package and external checksums</x:v>
      </x:c>
      <x:c r="F96" t="str">
        <x:v>00–34 and external artifacts</x:v>
      </x:c>
      <x:c r="G96" t="str">
        <x:v>Primary package/storage loss</x:v>
      </x:c>
      <x:c r="H96" t="str">
        <x:v>Offsite copy and checksum inventory</x:v>
      </x:c>
      <x:c r="I96" t="str">
        <x:v>Per baseline</x:v>
      </x:c>
      <x:c r="J96" t="str">
        <x:v>Continuity</x:v>
      </x:c>
      <x:c r="K96" t="str">
        <x:v>PLANNED</x:v>
      </x:c>
      <x:c r="L96" t="str">
        <x:v>UNVERIFIED</x:v>
      </x:c>
      <x:c r="M96" t="str">
        <x:v>Supports 24 h RTO / 24 h RPO.</x:v>
      </x:c>
    </x:row>
    <x:row r="97">
      <x:c r="A97" t="str">
        <x:v>CS-093</x:v>
      </x:c>
      <x:c r="B97" t="str">
        <x:v>BIA-20</x:v>
      </x:c>
      <x:c r="C97" t="str">
        <x:v>Independent handoff and project resumption</x:v>
      </x:c>
      <x:c r="D97" t="str">
        <x:v>Restore</x:v>
      </x:c>
      <x:c r="E97" t="str">
        <x:v>Perform clean-room extraction, hash and usability validation</x:v>
      </x:c>
      <x:c r="F97" t="str">
        <x:v>Full documentation package</x:v>
      </x:c>
      <x:c r="G97" t="str">
        <x:v>Backup cannot be used</x:v>
      </x:c>
      <x:c r="H97" t="str">
        <x:v>Timed restore log, open-file checks and signoff</x:v>
      </x:c>
      <x:c r="I97" t="str">
        <x:v>Per baseline</x:v>
      </x:c>
      <x:c r="J97" t="str">
        <x:v>Continuity</x:v>
      </x:c>
      <x:c r="K97" t="str">
        <x:v>PLANNED</x:v>
      </x:c>
      <x:c r="L97" t="str">
        <x:v>UNVERIFIED</x:v>
      </x:c>
      <x:c r="M97" t="str">
        <x:v>Supports 24 h RTO / 24 h RPO.</x:v>
      </x:c>
    </x:row>
    <x:row r="98">
      <x:c r="A98" t="str">
        <x:v>CS-094</x:v>
      </x:c>
      <x:c r="B98" t="str">
        <x:v>BIA-20</x:v>
      </x:c>
      <x:c r="C98" t="str">
        <x:v>Independent handoff and project resumption</x:v>
      </x:c>
      <x:c r="D98" t="str">
        <x:v>Degrade</x:v>
      </x:c>
      <x:c r="E98" t="str">
        <x:v>Use last verified baseline with explicit stale-status banner</x:v>
      </x:c>
      <x:c r="F98" t="str">
        <x:v>Governance and project resumption</x:v>
      </x:c>
      <x:c r="G98" t="str">
        <x:v>Current candidate unavailable</x:v>
      </x:c>
      <x:c r="H98" t="str">
        <x:v>Documented reduced mode and blocked gates</x:v>
      </x:c>
      <x:c r="I98" t="str">
        <x:v>On activation</x:v>
      </x:c>
      <x:c r="J98" t="str">
        <x:v>Production</x:v>
      </x:c>
      <x:c r="K98" t="str">
        <x:v>PLANNED</x:v>
      </x:c>
      <x:c r="L98" t="str">
        <x:v>UNVERIFIED</x:v>
      </x:c>
      <x:c r="M98" t="str">
        <x:v>Supports 24 h RTO / 24 h RPO.</x:v>
      </x:c>
    </x:row>
  </x:sheetData>
  <x:mergeCells>
    <x:mergeCell ref="A1:M1"/>
    <x:mergeCell ref="A2:M2"/>
  </x:mergeCells>
  <x:conditionalFormatting sqref="L5:L88">
    <x:cfRule type="expression" dxfId="15" priority="1">
      <x:formula>L5="VERIFIED"</x:formula>
    </x:cfRule>
    <x:cfRule type="expression" dxfId="16" priority="2">
      <x:formula>OR(L5="UNVERIFIED",L5="EXPIRED")</x:formula>
    </x:cfRule>
  </x:conditionalFormatting>
  <x:dataValidations count="2">
    <x:dataValidation type="list" sqref="K5:K88">
      <x:formula1>"NOT STARTED,PLANNED,IN PROGRESS,IMPLEMENTED,RETIRED"</x:formula1>
    </x:dataValidation>
    <x:dataValidation type="list" sqref="L5:L88">
      <x:formula1>"UNVERIFIED,PARTIAL EVIDENCE,VERIFIED,EXPIRED"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df9ead910c443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55" hidden="0" customWidth="1"/>
    <x:col min="4" max="4" width="25" hidden="0" customWidth="1"/>
    <x:col min="5" max="5" width="20" hidden="0" customWidth="1"/>
    <x:col min="6" max="6" width="28" hidden="0" customWidth="1"/>
    <x:col min="7" max="7" width="35" hidden="0" customWidth="1"/>
    <x:col min="8" max="8" width="35" hidden="0" customWidth="1"/>
    <x:col min="9" max="9" width="15" hidden="0" customWidth="1"/>
    <x:col min="10" max="10" width="15" hidden="0" customWidth="1"/>
    <x:col min="11" max="11" width="58" hidden="0" customWidth="1"/>
    <x:col min="12" max="12" width="18" hidden="0" customWidth="1"/>
    <x:col min="13" max="13" width="18" hidden="0" customWidth="1"/>
  </x:cols>
  <x:sheetData>
    <x:row r="1" ht="36" customHeight="1">
      <x:c r="A1" s="5" t="str">
        <x:v>06 — Backup and Restore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2" customHeight="1">
      <x:c r="A2" s="13" t="str">
        <x:v>Critical information assets, copies, retention, encryption, independent failure domains and restore-test obligations. Copy existence alone is not a PASS.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1" t="str">
        <x:v>Backup ID</x:v>
      </x:c>
      <x:c r="B4" s="21" t="str">
        <x:v>Asset / Dataset</x:v>
      </x:c>
      <x:c r="C4" s="21" t="str">
        <x:v>Primary + Backup Method</x:v>
      </x:c>
      <x:c r="D4" s="21" t="str">
        <x:v>Owner</x:v>
      </x:c>
      <x:c r="E4" s="21" t="str">
        <x:v>Backup Frequency</x:v>
      </x:c>
      <x:c r="F4" s="21" t="str">
        <x:v>Retention</x:v>
      </x:c>
      <x:c r="G4" s="21" t="str">
        <x:v>Encryption / Access</x:v>
      </x:c>
      <x:c r="H4" s="21" t="str">
        <x:v>Independent Copy</x:v>
      </x:c>
      <x:c r="I4" s="21" t="str">
        <x:v>RPO</x:v>
      </x:c>
      <x:c r="J4" s="21" t="str">
        <x:v>RTO</x:v>
      </x:c>
      <x:c r="K4" s="21" t="str">
        <x:v>Restore Validation Procedure</x:v>
      </x:c>
      <x:c r="L4" s="21" t="str">
        <x:v>Test Frequency</x:v>
      </x:c>
      <x:c r="M4" s="21" t="str">
        <x:v>Evidence State</x:v>
      </x:c>
    </x:row>
    <x:row r="5">
      <x:c r="A5" s="27" t="str">
        <x:v>BK-01</x:v>
      </x:c>
      <x:c r="B5" s="36" t="str">
        <x:v>Git repository and all refs</x:v>
      </x:c>
      <x:c r="C5" s="36" t="str">
        <x:v>Git/GitHub + encrypted bundle</x:v>
      </x:c>
      <x:c r="D5" s="36" t="str">
        <x:v>Engineering</x:v>
      </x:c>
      <x:c r="E5" s="36" t="str">
        <x:v>Every commit / daily bundle</x:v>
      </x:c>
      <x:c r="F5" s="36" t="str">
        <x:v>90 daily + release tags</x:v>
      </x:c>
      <x:c r="G5" s="36" t="str">
        <x:v>Encrypted at rest; access controlled</x:v>
      </x:c>
      <x:c r="H5" s="36" t="str">
        <x:v>Offsite provider + offline monthly</x:v>
      </x:c>
      <x:c r="I5" s="36" t="str">
        <x:v>4 h</x:v>
      </x:c>
      <x:c r="J5" s="36" t="str">
        <x:v>24 h</x:v>
      </x:c>
      <x:c r="K5" s="36" t="str">
        <x:v>Clone, fsck, checkout, build smoke</x:v>
      </x:c>
      <x:c r="L5" s="36" t="str">
        <x:v>Monthly</x:v>
      </x:c>
      <x:c r="M5" s="36" t="str">
        <x:v>UNVERIFIED</x:v>
      </x:c>
    </x:row>
    <x:row r="6">
      <x:c r="A6" s="27" t="str">
        <x:v>BK-02</x:v>
      </x:c>
      <x:c r="B6" s="36" t="str">
        <x:v>Unity project including .meta and ProjectSettings</x:v>
      </x:c>
      <x:c r="C6" s="36" t="str">
        <x:v>Repository + encrypted archive</x:v>
      </x:c>
      <x:c r="D6" s="36" t="str">
        <x:v>Engineering</x:v>
      </x:c>
      <x:c r="E6" s="36" t="str">
        <x:v>Every commit / daily</x:v>
      </x:c>
      <x:c r="F6" s="36" t="str">
        <x:v>90 daily + milestone immutable</x:v>
      </x:c>
      <x:c r="G6" s="36" t="str">
        <x:v>Encrypted archive</x:v>
      </x:c>
      <x:c r="H6" s="36" t="str">
        <x:v>Offsite + offline</x:v>
      </x:c>
      <x:c r="I6" s="36" t="str">
        <x:v>4 h</x:v>
      </x:c>
      <x:c r="J6" s="36" t="str">
        <x:v>24 h</x:v>
      </x:c>
      <x:c r="K6" s="36" t="str">
        <x:v>Fresh clone/import/build</x:v>
      </x:c>
      <x:c r="L6" s="36" t="str">
        <x:v>Monthly</x:v>
      </x:c>
      <x:c r="M6" s="36" t="str">
        <x:v>UNVERIFIED</x:v>
      </x:c>
    </x:row>
    <x:row r="7">
      <x:c r="A7" s="27" t="str">
        <x:v>BK-03</x:v>
      </x:c>
      <x:c r="B7" s="36" t="str">
        <x:v>Art source files</x:v>
      </x:c>
      <x:c r="C7" s="36" t="str">
        <x:v>Primary storage + encrypted versioned backup</x:v>
      </x:c>
      <x:c r="D7" s="36" t="str">
        <x:v>Art</x:v>
      </x:c>
      <x:c r="E7" s="36" t="str">
        <x:v>Daily</x:v>
      </x:c>
      <x:c r="F7" s="36" t="str">
        <x:v>30 daily + milestone archive</x:v>
      </x:c>
      <x:c r="G7" s="36" t="str">
        <x:v>Encrypted</x:v>
      </x:c>
      <x:c r="H7" s="36" t="str">
        <x:v>Offsite + offline</x:v>
      </x:c>
      <x:c r="I7" s="36" t="str">
        <x:v>24 h</x:v>
      </x:c>
      <x:c r="J7" s="36" t="str">
        <x:v>72 h</x:v>
      </x:c>
      <x:c r="K7" s="36" t="str">
        <x:v>Open sources and regenerate exports</x:v>
      </x:c>
      <x:c r="L7" s="36" t="str">
        <x:v>Quarterly</x:v>
      </x:c>
      <x:c r="M7" s="36" t="str">
        <x:v>UNVERIFIED</x:v>
      </x:c>
    </x:row>
    <x:row r="8">
      <x:c r="A8" s="27" t="str">
        <x:v>BK-04</x:v>
      </x:c>
      <x:c r="B8" s="36" t="str">
        <x:v>Audio source files</x:v>
      </x:c>
      <x:c r="C8" s="36" t="str">
        <x:v>Primary storage + encrypted versioned backup</x:v>
      </x:c>
      <x:c r="D8" s="36" t="str">
        <x:v>Audio</x:v>
      </x:c>
      <x:c r="E8" s="36" t="str">
        <x:v>Daily</x:v>
      </x:c>
      <x:c r="F8" s="36" t="str">
        <x:v>30 daily + milestone archive</x:v>
      </x:c>
      <x:c r="G8" s="36" t="str">
        <x:v>Encrypted</x:v>
      </x:c>
      <x:c r="H8" s="36" t="str">
        <x:v>Offsite + offline</x:v>
      </x:c>
      <x:c r="I8" s="36" t="str">
        <x:v>24 h</x:v>
      </x:c>
      <x:c r="J8" s="36" t="str">
        <x:v>72 h</x:v>
      </x:c>
      <x:c r="K8" s="36" t="str">
        <x:v>Open masters and regenerate clips</x:v>
      </x:c>
      <x:c r="L8" s="36" t="str">
        <x:v>Quarterly</x:v>
      </x:c>
      <x:c r="M8" s="36" t="str">
        <x:v>UNVERIFIED</x:v>
      </x:c>
    </x:row>
    <x:row r="9">
      <x:c r="A9" s="27" t="str">
        <x:v>BK-05</x:v>
      </x:c>
      <x:c r="B9" s="36" t="str">
        <x:v>Documentation 00–34</x:v>
      </x:c>
      <x:c r="C9" s="36" t="str">
        <x:v>Versioned source + candidate/final immutable ZIP + external checksums</x:v>
      </x:c>
      <x:c r="D9" s="36" t="str">
        <x:v>Documentation</x:v>
      </x:c>
      <x:c r="E9" s="36" t="str">
        <x:v>Daily during change / milestone freeze</x:v>
      </x:c>
      <x:c r="F9" s="36" t="str">
        <x:v>All baselines retained</x:v>
      </x:c>
      <x:c r="G9" s="36" t="str">
        <x:v>Checksums, read-only copy</x:v>
      </x:c>
      <x:c r="H9" s="36" t="str">
        <x:v>Offsite + offline immutable</x:v>
      </x:c>
      <x:c r="I9" s="36" t="str">
        <x:v>24 h</x:v>
      </x:c>
      <x:c r="J9" s="36" t="str">
        <x:v>24 h</x:v>
      </x:c>
      <x:c r="K9" s="36" t="str">
        <x:v>Extract, verify inventory/hashes, open all artifacts and record restore evidence</x:v>
      </x:c>
      <x:c r="L9" s="36" t="str">
        <x:v>Per baseline</x:v>
      </x:c>
      <x:c r="M9" s="36" t="str">
        <x:v>UNVERIFIED</x:v>
      </x:c>
    </x:row>
    <x:row r="10">
      <x:c r="A10" s="27" t="str">
        <x:v>BK-06</x:v>
      </x:c>
      <x:c r="B10" s="36" t="str">
        <x:v>Historical documentation tree</x:v>
      </x:c>
      <x:c r="C10" s="36" t="str">
        <x:v>Read-only archive</x:v>
      </x:c>
      <x:c r="D10" s="36" t="str">
        <x:v>Documentation</x:v>
      </x:c>
      <x:c r="E10" s="36" t="str">
        <x:v>On acquisition/change</x:v>
      </x:c>
      <x:c r="F10" s="36" t="str">
        <x:v>Permanent</x:v>
      </x:c>
      <x:c r="G10" s="36" t="str">
        <x:v>Checksums; no rewriting</x:v>
      </x:c>
      <x:c r="H10" s="36" t="str">
        <x:v>Offsite + offline</x:v>
      </x:c>
      <x:c r="I10" s="36" t="str">
        <x:v>24 h</x:v>
      </x:c>
      <x:c r="J10" s="36" t="str">
        <x:v>72 h</x:v>
      </x:c>
      <x:c r="K10" s="36" t="str">
        <x:v>Verify 745 inventory paths/hashes</x:v>
      </x:c>
      <x:c r="L10" s="36" t="str">
        <x:v>Annual</x:v>
      </x:c>
      <x:c r="M10" s="36" t="str">
        <x:v>UNVERIFIED</x:v>
      </x:c>
    </x:row>
    <x:row r="11">
      <x:c r="A11" s="27" t="str">
        <x:v>BK-07</x:v>
      </x:c>
      <x:c r="B11" s="36" t="str">
        <x:v>Production and risk workbooks</x:v>
      </x:c>
      <x:c r="C11" s="36" t="str">
        <x:v>Versioned files + timestamped export</x:v>
      </x:c>
      <x:c r="D11" s="36" t="str">
        <x:v>Production</x:v>
      </x:c>
      <x:c r="E11" s="36" t="str">
        <x:v>Daily</x:v>
      </x:c>
      <x:c r="F11" s="36" t="str">
        <x:v>90 daily + milestones</x:v>
      </x:c>
      <x:c r="G11" s="36" t="str">
        <x:v>Encrypted</x:v>
      </x:c>
      <x:c r="H11" s="36" t="str">
        <x:v>Offsite</x:v>
      </x:c>
      <x:c r="I11" s="36" t="str">
        <x:v>24 h</x:v>
      </x:c>
      <x:c r="J11" s="36" t="str">
        <x:v>8 h</x:v>
      </x:c>
      <x:c r="K11" s="36" t="str">
        <x:v>Open, recalc and inspect key ranges</x:v>
      </x:c>
      <x:c r="L11" s="36" t="str">
        <x:v>Monthly</x:v>
      </x:c>
      <x:c r="M11" s="36" t="str">
        <x:v>UNVERIFIED</x:v>
      </x:c>
    </x:row>
    <x:row r="12">
      <x:c r="A12" s="27" t="str">
        <x:v>BK-08</x:v>
      </x:c>
      <x:c r="B12" s="36" t="str">
        <x:v>QA matrix, evidence and defect records</x:v>
      </x:c>
      <x:c r="C12" s="36" t="str">
        <x:v>Versioned files + artifact store</x:v>
      </x:c>
      <x:c r="D12" s="36" t="str">
        <x:v>QA</x:v>
      </x:c>
      <x:c r="E12" s="36" t="str">
        <x:v>Per execution/day</x:v>
      </x:c>
      <x:c r="F12" s="36" t="str">
        <x:v>Release lifetime + 2 years</x:v>
      </x:c>
      <x:c r="G12" s="36" t="str">
        <x:v>Access controlled</x:v>
      </x:c>
      <x:c r="H12" s="36" t="str">
        <x:v>Offsite</x:v>
      </x:c>
      <x:c r="I12" s="36" t="str">
        <x:v>24 h</x:v>
      </x:c>
      <x:c r="J12" s="36" t="str">
        <x:v>8 h</x:v>
      </x:c>
      <x:c r="K12" s="36" t="str">
        <x:v>Open evidence links and reconcile build hash</x:v>
      </x:c>
      <x:c r="L12" s="36" t="str">
        <x:v>Per milestone</x:v>
      </x:c>
      <x:c r="M12" s="36" t="str">
        <x:v>UNVERIFIED</x:v>
      </x:c>
    </x:row>
    <x:row r="13">
      <x:c r="A13" s="27" t="str">
        <x:v>BK-09</x:v>
      </x:c>
      <x:c r="B13" s="36" t="str">
        <x:v>Golden save/recovery corpus</x:v>
      </x:c>
      <x:c r="C13" s="36" t="str">
        <x:v>Repository or protected test-data archive</x:v>
      </x:c>
      <x:c r="D13" s="36" t="str">
        <x:v>QA/Data</x:v>
      </x:c>
      <x:c r="E13" s="36" t="str">
        <x:v>Per schema change</x:v>
      </x:c>
      <x:c r="F13" s="36" t="str">
        <x:v>All supported schemas</x:v>
      </x:c>
      <x:c r="G13" s="36" t="str">
        <x:v>No personal data</x:v>
      </x:c>
      <x:c r="H13" s="36" t="str">
        <x:v>Offsite</x:v>
      </x:c>
      <x:c r="I13" s="36" t="str">
        <x:v>Per release</x:v>
      </x:c>
      <x:c r="J13" s="36" t="str">
        <x:v>8 h</x:v>
      </x:c>
      <x:c r="K13" s="36" t="str">
        <x:v>Run migration/recovery suite</x:v>
      </x:c>
      <x:c r="L13" s="36" t="str">
        <x:v>Per schema change</x:v>
      </x:c>
      <x:c r="M13" s="36" t="str">
        <x:v>UNVERIFIED</x:v>
      </x:c>
    </x:row>
    <x:row r="14">
      <x:c r="A14" s="27" t="str">
        <x:v>BK-10</x:v>
      </x:c>
      <x:c r="B14" s="36" t="str">
        <x:v>Known-good builds and symbols</x:v>
      </x:c>
      <x:c r="C14" s="36" t="str">
        <x:v>Hashed artifact archive</x:v>
      </x:c>
      <x:c r="D14" s="36" t="str">
        <x:v>Build</x:v>
      </x:c>
      <x:c r="E14" s="36" t="str">
        <x:v>Per accepted candidate</x:v>
      </x:c>
      <x:c r="F14" s="36" t="str">
        <x:v>All H6/RC/release + last 3 dev</x:v>
      </x:c>
      <x:c r="G14" s="36" t="str">
        <x:v>Checksums and restricted write</x:v>
      </x:c>
      <x:c r="H14" s="36" t="str">
        <x:v>Offsite</x:v>
      </x:c>
      <x:c r="I14" s="36" t="str">
        <x:v>Per candidate</x:v>
      </x:c>
      <x:c r="J14" s="36" t="str">
        <x:v>8 h</x:v>
      </x:c>
      <x:c r="K14" s="36" t="str">
        <x:v>Hash, launch and smoke test</x:v>
      </x:c>
      <x:c r="L14" s="36" t="str">
        <x:v>Per candidate</x:v>
      </x:c>
      <x:c r="M14" s="36" t="str">
        <x:v>UNVERIFIED</x:v>
      </x:c>
    </x:row>
    <x:row r="15">
      <x:c r="A15" s="27" t="str">
        <x:v>BK-11</x:v>
      </x:c>
      <x:c r="B15" s="36" t="str">
        <x:v>Steamworks configuration and store copy</x:v>
      </x:c>
      <x:c r="C15" s="36" t="str">
        <x:v>Screenshots/exports/manual record</x:v>
      </x:c>
      <x:c r="D15" s="36" t="str">
        <x:v>Publishing</x:v>
      </x:c>
      <x:c r="E15" s="36" t="str">
        <x:v>Per change / daily near release</x:v>
      </x:c>
      <x:c r="F15" s="36" t="str">
        <x:v>All major milestones</x:v>
      </x:c>
      <x:c r="G15" s="36" t="str">
        <x:v>No secrets in export</x:v>
      </x:c>
      <x:c r="H15" s="36" t="str">
        <x:v>Offsite</x:v>
      </x:c>
      <x:c r="I15" s="36" t="str">
        <x:v>24 h</x:v>
      </x:c>
      <x:c r="J15" s="36" t="str">
        <x:v>24 h</x:v>
      </x:c>
      <x:c r="K15" s="36" t="str">
        <x:v>Compare against Steamworks live state</x:v>
      </x:c>
      <x:c r="L15" s="36" t="str">
        <x:v>Per release</x:v>
      </x:c>
      <x:c r="M15" s="36" t="str">
        <x:v>UNVERIFIED</x:v>
      </x:c>
    </x:row>
    <x:row r="16">
      <x:c r="A16" s="27" t="str">
        <x:v>BK-12</x:v>
      </x:c>
      <x:c r="B16" s="36" t="str">
        <x:v>Credentials and recovery codes</x:v>
      </x:c>
      <x:c r="C16" s="36" t="str">
        <x:v>Encrypted password manager + offline emergency copy</x:v>
      </x:c>
      <x:c r="D16" s="36" t="str">
        <x:v>Security</x:v>
      </x:c>
      <x:c r="E16" s="36" t="str">
        <x:v>Immediate on change</x:v>
      </x:c>
      <x:c r="F16" s="36" t="str">
        <x:v>Current + rotation history metadata</x:v>
      </x:c>
      <x:c r="G16" s="36" t="str">
        <x:v>Strong encryption / sealed offline copy</x:v>
      </x:c>
      <x:c r="H16" s="36" t="str">
        <x:v>Independent failure domain</x:v>
      </x:c>
      <x:c r="I16" s="36" t="str">
        <x:v>Immediate</x:v>
      </x:c>
      <x:c r="J16" s="36" t="str">
        <x:v>4 h</x:v>
      </x:c>
      <x:c r="K16" s="36" t="str">
        <x:v>Controlled recovery drill without exposing secret</x:v>
      </x:c>
      <x:c r="L16" s="36" t="str">
        <x:v>Semiannual</x:v>
      </x:c>
      <x:c r="M16" s="36" t="str">
        <x:v>UNVERIFIED</x:v>
      </x:c>
    </x:row>
    <x:row r="17">
      <x:c r="A17" s="27" t="str">
        <x:v>BK-13</x:v>
      </x:c>
      <x:c r="B17" s="36" t="str">
        <x:v>Domains, DNS and email configuration</x:v>
      </x:c>
      <x:c r="C17" s="36" t="str">
        <x:v>Registrar export/screenshots + recovery record</x:v>
      </x:c>
      <x:c r="D17" s="36" t="str">
        <x:v>Marketing/IT</x:v>
      </x:c>
      <x:c r="E17" s="36" t="str">
        <x:v>Per change</x:v>
      </x:c>
      <x:c r="F17" s="36" t="str">
        <x:v>Current + previous known good</x:v>
      </x:c>
      <x:c r="G17" s="36" t="str">
        <x:v>Access controlled</x:v>
      </x:c>
      <x:c r="H17" s="36" t="str">
        <x:v>Offsite</x:v>
      </x:c>
      <x:c r="I17" s="36" t="str">
        <x:v>24 h</x:v>
      </x:c>
      <x:c r="J17" s="36" t="str">
        <x:v>8 h</x:v>
      </x:c>
      <x:c r="K17" s="36" t="str">
        <x:v>Validate renewal, DNS and account recovery</x:v>
      </x:c>
      <x:c r="L17" s="36" t="str">
        <x:v>Quarterly</x:v>
      </x:c>
      <x:c r="M17" s="36" t="str">
        <x:v>UNVERIFIED</x:v>
      </x:c>
    </x:row>
    <x:row r="18">
      <x:c r="A18" s="27" t="str">
        <x:v>BK-14</x:v>
      </x:c>
      <x:c r="B18" s="36" t="str">
        <x:v>Legal licenses, receipts and contracts</x:v>
      </x:c>
      <x:c r="C18" s="36" t="str">
        <x:v>Read-only evidence archive</x:v>
      </x:c>
      <x:c r="D18" s="36" t="str">
        <x:v>Legal</x:v>
      </x:c>
      <x:c r="E18" s="36" t="str">
        <x:v>Per acquisition/change</x:v>
      </x:c>
      <x:c r="F18" s="36" t="str">
        <x:v>Permanent per legal need</x:v>
      </x:c>
      <x:c r="G18" s="36" t="str">
        <x:v>Encrypted where sensitive</x:v>
      </x:c>
      <x:c r="H18" s="36" t="str">
        <x:v>Offsite + offline</x:v>
      </x:c>
      <x:c r="I18" s="36" t="str">
        <x:v>Per change</x:v>
      </x:c>
      <x:c r="J18" s="36" t="str">
        <x:v>24 h</x:v>
      </x:c>
      <x:c r="K18" s="36" t="str">
        <x:v>Locate evidence for random sample</x:v>
      </x:c>
      <x:c r="L18" s="36" t="str">
        <x:v>Quarterly</x:v>
      </x:c>
      <x:c r="M18" s="36" t="str">
        <x:v>UNVERIFIED</x:v>
      </x:c>
    </x:row>
    <x:row r="19">
      <x:c r="A19" s="27" t="str">
        <x:v>BK-15</x:v>
      </x:c>
      <x:c r="B19" s="36" t="str">
        <x:v>DCC/tool configuration and installers list</x:v>
      </x:c>
      <x:c r="C19" s="36" t="str">
        <x:v>Documentation + installer references</x:v>
      </x:c>
      <x:c r="D19" s="36" t="str">
        <x:v>Art/Audio/Engineering</x:v>
      </x:c>
      <x:c r="E19" s="36" t="str">
        <x:v>Per change</x:v>
      </x:c>
      <x:c r="F19" s="36" t="str">
        <x:v>Current + last known good</x:v>
      </x:c>
      <x:c r="G19" s="36" t="str">
        <x:v>License keys stored separately</x:v>
      </x:c>
      <x:c r="H19" s="36" t="str">
        <x:v>Offsite</x:v>
      </x:c>
      <x:c r="I19" s="36" t="str">
        <x:v>7 d</x:v>
      </x:c>
      <x:c r="J19" s="36" t="str">
        <x:v>72 h</x:v>
      </x:c>
      <x:c r="K19" s="36" t="str">
        <x:v>Rebuild clean workstation</x:v>
      </x:c>
      <x:c r="L19" s="36" t="str">
        <x:v>Semiannual</x:v>
      </x:c>
      <x:c r="M19" s="36" t="str">
        <x:v>UNVERIFIED</x:v>
      </x:c>
    </x:row>
    <x:row r="20">
      <x:c r="A20" s="27" t="str">
        <x:v>BK-16</x:v>
      </x:c>
      <x:c r="B20" s="36" t="str">
        <x:v>Incident evidence packages</x:v>
      </x:c>
      <x:c r="C20" s="36" t="str">
        <x:v>Immutable incident folder</x:v>
      </x:c>
      <x:c r="D20" s="36" t="str">
        <x:v>Incident Lead</x:v>
      </x:c>
      <x:c r="E20" s="36" t="str">
        <x:v>Per incident</x:v>
      </x:c>
      <x:c r="F20" s="36" t="str">
        <x:v>Per legal/security policy</x:v>
      </x:c>
      <x:c r="G20" s="36" t="str">
        <x:v>Encrypted; need-to-know</x:v>
      </x:c>
      <x:c r="H20" s="36" t="str">
        <x:v>Offsite immutable</x:v>
      </x:c>
      <x:c r="I20" s="36" t="str">
        <x:v>Immediate</x:v>
      </x:c>
      <x:c r="J20" s="36" t="str">
        <x:v>4 h</x:v>
      </x:c>
      <x:c r="K20" s="36" t="str">
        <x:v>Verify chain, hashes and access</x:v>
      </x:c>
      <x:c r="L20" s="36" t="str">
        <x:v>Per incident</x:v>
      </x:c>
      <x:c r="M20" s="36" t="str">
        <x:v>UNVERIFIED</x:v>
      </x:c>
    </x:row>
    <x:row r="21">
      <x:c r="A21" t="str">
        <x:v>BK-17</x:v>
      </x:c>
      <x:c r="B21" t="str">
        <x:v>Final documentation package, manifests and external checksums</x:v>
      </x:c>
      <x:c r="C21" t="str">
        <x:v>Clean allowlisted folder + immutable ZIP + external checksum set</x:v>
      </x:c>
      <x:c r="D21" t="str">
        <x:v>Documentation</x:v>
      </x:c>
      <x:c r="E21" t="str">
        <x:v>Per approved baseline / after last change</x:v>
      </x:c>
      <x:c r="F21" t="str">
        <x:v>Permanent; all approved baselines</x:v>
      </x:c>
      <x:c r="G21" t="str">
        <x:v>Read-only; secrets excluded; restricted evidence separated</x:v>
      </x:c>
      <x:c r="H21" t="str">
        <x:v>Offsite + offline immutable</x:v>
      </x:c>
      <x:c r="I21" t="str">
        <x:v>Per final freeze</x:v>
      </x:c>
      <x:c r="J21" t="str">
        <x:v>24 h</x:v>
      </x:c>
      <x:c r="K21" t="str">
        <x:v>Extract to clean target; verify every hash; open XLSX/Markdown; compare inventory</x:v>
      </x:c>
      <x:c r="L21" t="str">
        <x:v>Per baseline</x:v>
      </x:c>
      <x:c r="M21" t="str">
        <x:v>UNVERIFIED</x:v>
      </x:c>
    </x:row>
    <x:row r="22">
      <x:c r="A22" t="str">
        <x:v>BK-18</x:v>
      </x:c>
      <x:c r="B22" t="str">
        <x:v>Repository commit/tag and reproducible environment metadata</x:v>
      </x:c>
      <x:c r="C22" t="str">
        <x:v>Git bundle/clone + tag + Unity/package manifests and installer references</x:v>
      </x:c>
      <x:c r="D22" t="str">
        <x:v>Engineering</x:v>
      </x:c>
      <x:c r="E22" t="str">
        <x:v>Per documentation freeze and accepted build</x:v>
      </x:c>
      <x:c r="F22" t="str">
        <x:v>All release/documentation baselines</x:v>
      </x:c>
      <x:c r="G22" t="str">
        <x:v>Access controlled; no secrets in metadata</x:v>
      </x:c>
      <x:c r="H22" t="str">
        <x:v>Alternate remote + offline bundle</x:v>
      </x:c>
      <x:c r="I22" t="str">
        <x:v>4 h</x:v>
      </x:c>
      <x:c r="J22" t="str">
        <x:v>24 h</x:v>
      </x:c>
      <x:c r="K22" t="str">
        <x:v>Restore refs; checkout tag; import pinned Unity/packages; clean build smoke</x:v>
      </x:c>
      <x:c r="L22" t="str">
        <x:v>Per baseline</x:v>
      </x:c>
      <x:c r="M22" t="str">
        <x:v>UNVERIFIED</x:v>
      </x:c>
    </x:row>
    <x:row r="23">
      <x:c r="A23" t="str">
        <x:v>BK-19</x:v>
      </x:c>
      <x:c r="B23" t="str">
        <x:v>Handoff package, role/access map and restoration evidence</x:v>
      </x:c>
      <x:c r="C23" t="str">
        <x:v>Manual 34 + Binder/Guide + restricted contact/access record + drill evidence</x:v>
      </x:c>
      <x:c r="D23" t="str">
        <x:v>Project Owner</x:v>
      </x:c>
      <x:c r="E23" t="str">
        <x:v>Per handoff/change of owner or critical access</x:v>
      </x:c>
      <x:c r="F23" t="str">
        <x:v>Current + previous approved handoff</x:v>
      </x:c>
      <x:c r="G23" t="str">
        <x:v>Public docs separated from restricted recovery data</x:v>
      </x:c>
      <x:c r="H23" t="str">
        <x:v>Offsite restricted copy</x:v>
      </x:c>
      <x:c r="I23" t="str">
        <x:v>24 h</x:v>
      </x:c>
      <x:c r="J23" t="str">
        <x:v>24 h</x:v>
      </x:c>
      <x:c r="K23" t="str">
        <x:v>Alternate locates package, validates status and completes independent-resumption checklist</x:v>
      </x:c>
      <x:c r="L23" t="str">
        <x:v>Semiannual / per handoff</x:v>
      </x:c>
      <x:c r="M23" t="str">
        <x:v>UNVERIFIED</x:v>
      </x:c>
    </x:row>
  </x:sheetData>
  <x:mergeCells>
    <x:mergeCell ref="A1:M1"/>
    <x:mergeCell ref="A2:M2"/>
  </x:mergeCells>
  <x:conditionalFormatting sqref="M5:M20">
    <x:cfRule type="expression" dxfId="17" priority="1">
      <x:formula>M5="VERIFIED"</x:formula>
    </x:cfRule>
    <x:cfRule type="expression" dxfId="18" priority="2">
      <x:formula>OR(M5="UNVERIFIED",M5="FAILED",M5="EXPIRED")</x:formula>
    </x:cfRule>
  </x:conditionalFormatting>
  <x:dataValidations count="1">
    <x:dataValidation type="list" sqref="M5:M20">
      <x:formula1>"UNVERIFIED,PARTIAL EVIDENCE,VERIFIED,FAILED,EXPIRED"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52e2e377a744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48" hidden="0" customWidth="1"/>
    <x:col min="5" max="5" width="14" hidden="0" customWidth="1"/>
    <x:col min="6" max="6" width="52" hidden="0" customWidth="1"/>
    <x:col min="7" max="7" width="52" hidden="0" customWidth="1"/>
    <x:col min="8" max="8" width="18" hidden="0" customWidth="1"/>
    <x:col min="9" max="9" width="26" hidden="0" customWidth="1"/>
    <x:col min="10" max="10" width="16" hidden="0" customWidth="1"/>
    <x:col min="11" max="11" width="48" hidden="0" customWidth="1"/>
  </x:cols>
  <x:sheetData>
    <x:row r="1" ht="36" customHeight="1">
      <x:c r="A1" s="5" t="str">
        <x:v>07 — Critical Dependencies and Single Points of Failure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2" customHeight="1">
      <x:c r="A2" s="13" t="str">
        <x:v>Inventory of people, tools, services, accounts, information assets and physical resources required for project continuity.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Dependency ID</x:v>
      </x:c>
      <x:c r="B4" s="21" t="str">
        <x:v>Dependency</x:v>
      </x:c>
      <x:c r="C4" s="21" t="str">
        <x:v>Type</x:v>
      </x:c>
      <x:c r="D4" s="21" t="str">
        <x:v>Capabilities / Assets Affected</x:v>
      </x:c>
      <x:c r="E4" s="21" t="str">
        <x:v>Criticality</x:v>
      </x:c>
      <x:c r="F4" s="21" t="str">
        <x:v>Current Weakness / Single Point</x:v>
      </x:c>
      <x:c r="G4" s="21" t="str">
        <x:v>Alternative / Workaround</x:v>
      </x:c>
      <x:c r="H4" s="21" t="str">
        <x:v>Target Recovery</x:v>
      </x:c>
      <x:c r="I4" s="21" t="str">
        <x:v>Owner</x:v>
      </x:c>
      <x:c r="J4" s="21" t="str">
        <x:v>State</x:v>
      </x:c>
      <x:c r="K4" s="21" t="str">
        <x:v>Sources / Notes</x:v>
      </x:c>
    </x:row>
    <x:row r="5">
      <x:c r="A5" s="27" t="str">
        <x:v>DEP-001</x:v>
      </x:c>
      <x:c r="B5" s="36" t="str">
        <x:v>Project Owner</x:v>
      </x:c>
      <x:c r="C5" s="36" t="str">
        <x:v>Person</x:v>
      </x:c>
      <x:c r="D5" s="36" t="str">
        <x:v>All governance, credentials and approvals</x:v>
      </x:c>
      <x:c r="E5" s="36" t="str">
        <x:v>Critical</x:v>
      </x:c>
      <x:c r="F5" s="36" t="str">
        <x:v>No direct substitute currently demonstrated</x:v>
      </x:c>
      <x:c r="G5" s="36" t="str">
        <x:v>Designated alternate + manual 34</x:v>
      </x:c>
      <x:c r="H5" s="36" t="str">
        <x:v>4 h</x:v>
      </x:c>
      <x:c r="I5" s="36" t="str">
        <x:v>Project Owner</x:v>
      </x:c>
      <x:c r="J5" s="36" t="str">
        <x:v>OPEN</x:v>
      </x:c>
      <x:c r="K5" s="36" t="str">
        <x:v>Docs 15, 27, 33, 34</x:v>
      </x:c>
    </x:row>
    <x:row r="6">
      <x:c r="A6" s="27" t="str">
        <x:v>DEP-002</x:v>
      </x:c>
      <x:c r="B6" s="36" t="str">
        <x:v>GitHub / Git remote</x:v>
      </x:c>
      <x:c r="C6" s="36" t="str">
        <x:v>External service</x:v>
      </x:c>
      <x:c r="D6" s="36" t="str">
        <x:v>Source collaboration and history</x:v>
      </x:c>
      <x:c r="E6" s="36" t="str">
        <x:v>Critical</x:v>
      </x:c>
      <x:c r="F6" s="36" t="str">
        <x:v>Local clones may exist but coverage unverified</x:v>
      </x:c>
      <x:c r="G6" s="36" t="str">
        <x:v>Local bundle + alternate remote</x:v>
      </x:c>
      <x:c r="H6" s="36" t="str">
        <x:v>24 h</x:v>
      </x:c>
      <x:c r="I6" s="36" t="str">
        <x:v>Engineering</x:v>
      </x:c>
      <x:c r="J6" s="36" t="str">
        <x:v>OPEN</x:v>
      </x:c>
      <x:c r="K6" s="36" t="str">
        <x:v>Docs 11, 27</x:v>
      </x:c>
    </x:row>
    <x:row r="7">
      <x:c r="A7" s="27" t="str">
        <x:v>DEP-003</x:v>
      </x:c>
      <x:c r="B7" s="36" t="str">
        <x:v>Unity 6000.3.18f1</x:v>
      </x:c>
      <x:c r="C7" s="36" t="str">
        <x:v>Toolchain</x:v>
      </x:c>
      <x:c r="D7" s="36" t="str">
        <x:v>Open/build project reproducibly</x:v>
      </x:c>
      <x:c r="E7" s="36" t="str">
        <x:v>Critical</x:v>
      </x:c>
      <x:c r="F7" s="36" t="str">
        <x:v>Version-specific behavior</x:v>
      </x:c>
      <x:c r="G7" s="36" t="str">
        <x:v>Installer/archive + setup guide</x:v>
      </x:c>
      <x:c r="H7" s="36" t="str">
        <x:v>48 h</x:v>
      </x:c>
      <x:c r="I7" s="36" t="str">
        <x:v>Engineering</x:v>
      </x:c>
      <x:c r="J7" s="36" t="str">
        <x:v>OPEN</x:v>
      </x:c>
      <x:c r="K7" s="36" t="str">
        <x:v>Docs 10, 30</x:v>
      </x:c>
    </x:row>
    <x:row r="8">
      <x:c r="A8" s="27" t="str">
        <x:v>DEP-004</x:v>
      </x:c>
      <x:c r="B8" s="36" t="str">
        <x:v>URP 17.3.0 and package lock</x:v>
      </x:c>
      <x:c r="C8" s="36" t="str">
        <x:v>Toolchain</x:v>
      </x:c>
      <x:c r="D8" s="36" t="str">
        <x:v>Rendering and package resolution</x:v>
      </x:c>
      <x:c r="E8" s="36" t="str">
        <x:v>Critical</x:v>
      </x:c>
      <x:c r="F8" s="36" t="str">
        <x:v>Package drift can break project</x:v>
      </x:c>
      <x:c r="G8" s="36" t="str">
        <x:v>manifest/lock + cache/registry fallback</x:v>
      </x:c>
      <x:c r="H8" s="36" t="str">
        <x:v>24 h</x:v>
      </x:c>
      <x:c r="I8" s="36" t="str">
        <x:v>Engineering</x:v>
      </x:c>
      <x:c r="J8" s="36" t="str">
        <x:v>OPEN</x:v>
      </x:c>
      <x:c r="K8" s="36" t="str">
        <x:v>Docs 10, 30</x:v>
      </x:c>
    </x:row>
    <x:row r="9">
      <x:c r="A9" s="27" t="str">
        <x:v>DEP-005</x:v>
      </x:c>
      <x:c r="B9" s="36" t="str">
        <x:v>Development workstation</x:v>
      </x:c>
      <x:c r="C9" s="36" t="str">
        <x:v>Hardware</x:v>
      </x:c>
      <x:c r="D9" s="36" t="str">
        <x:v>Primary production environment</x:v>
      </x:c>
      <x:c r="E9" s="36" t="str">
        <x:v>Critical</x:v>
      </x:c>
      <x:c r="F9" s="36" t="str">
        <x:v>Single primary device</x:v>
      </x:c>
      <x:c r="G9" s="36" t="str">
        <x:v>Alternate hardware + restore runbook</x:v>
      </x:c>
      <x:c r="H9" s="36" t="str">
        <x:v>48 h</x:v>
      </x:c>
      <x:c r="I9" s="36" t="str">
        <x:v>Project Owner</x:v>
      </x:c>
      <x:c r="J9" s="36" t="str">
        <x:v>OPEN</x:v>
      </x:c>
      <x:c r="K9" s="36" t="str">
        <x:v>Docs 27, 30</x:v>
      </x:c>
    </x:row>
    <x:row r="10">
      <x:c r="A10" s="27" t="str">
        <x:v>DEP-006</x:v>
      </x:c>
      <x:c r="B10" s="36" t="str">
        <x:v>Internet connectivity</x:v>
      </x:c>
      <x:c r="C10" s="36" t="str">
        <x:v>Infrastructure</x:v>
      </x:c>
      <x:c r="D10" s="36" t="str">
        <x:v>Remote repo, Steam, vendors</x:v>
      </x:c>
      <x:c r="E10" s="36" t="str">
        <x:v>High</x:v>
      </x:c>
      <x:c r="F10" s="36" t="str">
        <x:v>Local work possible temporarily</x:v>
      </x:c>
      <x:c r="G10" s="36" t="str">
        <x:v>Mobile/alternate network + offline queue</x:v>
      </x:c>
      <x:c r="H10" s="36" t="str">
        <x:v>8 h</x:v>
      </x:c>
      <x:c r="I10" s="36" t="str">
        <x:v>Project Owner</x:v>
      </x:c>
      <x:c r="J10" s="36" t="str">
        <x:v>OPEN</x:v>
      </x:c>
      <x:c r="K10" s="36" t="str">
        <x:v>Docs 27</x:v>
      </x:c>
    </x:row>
    <x:row r="11">
      <x:c r="A11" s="27" t="str">
        <x:v>DEP-007</x:v>
      </x:c>
      <x:c r="B11" s="36" t="str">
        <x:v>Steamworks account</x:v>
      </x:c>
      <x:c r="C11" s="36" t="str">
        <x:v>External service/account</x:v>
      </x:c>
      <x:c r="D11" s="36" t="str">
        <x:v>Store, depots, branches, release</x:v>
      </x:c>
      <x:c r="E11" s="36" t="str">
        <x:v>Critical</x:v>
      </x:c>
      <x:c r="F11" s="36" t="str">
        <x:v>No release without access</x:v>
      </x:c>
      <x:c r="G11" s="36" t="str">
        <x:v>Alternate admin + recovery codes</x:v>
      </x:c>
      <x:c r="H11" s="36" t="str">
        <x:v>4 h</x:v>
      </x:c>
      <x:c r="I11" s="36" t="str">
        <x:v>Publishing</x:v>
      </x:c>
      <x:c r="J11" s="36" t="str">
        <x:v>OPEN</x:v>
      </x:c>
      <x:c r="K11" s="36" t="str">
        <x:v>Docs 24, 27</x:v>
      </x:c>
    </x:row>
    <x:row r="12">
      <x:c r="A12" s="27" t="str">
        <x:v>DEP-008</x:v>
      </x:c>
      <x:c r="B12" s="36" t="str">
        <x:v>Email account</x:v>
      </x:c>
      <x:c r="C12" s="36" t="str">
        <x:v>Account</x:v>
      </x:c>
      <x:c r="D12" s="36" t="str">
        <x:v>Recovery for critical services</x:v>
      </x:c>
      <x:c r="E12" s="36" t="str">
        <x:v>Critical</x:v>
      </x:c>
      <x:c r="F12" s="36" t="str">
        <x:v>Compromise cascades</x:v>
      </x:c>
      <x:c r="G12" s="36" t="str">
        <x:v>MFA + alternate recovery</x:v>
      </x:c>
      <x:c r="H12" s="36" t="str">
        <x:v>4 h</x:v>
      </x:c>
      <x:c r="I12" s="36" t="str">
        <x:v>Project Owner</x:v>
      </x:c>
      <x:c r="J12" s="36" t="str">
        <x:v>OPEN</x:v>
      </x:c>
      <x:c r="K12" s="36" t="str">
        <x:v>Docs 27</x:v>
      </x:c>
    </x:row>
    <x:row r="13">
      <x:c r="A13" s="27" t="str">
        <x:v>DEP-009</x:v>
      </x:c>
      <x:c r="B13" s="36" t="str">
        <x:v>Password manager</x:v>
      </x:c>
      <x:c r="C13" s="36" t="str">
        <x:v>Security service</x:v>
      </x:c>
      <x:c r="D13" s="36" t="str">
        <x:v>Credential access and rotation</x:v>
      </x:c>
      <x:c r="E13" s="36" t="str">
        <x:v>Critical</x:v>
      </x:c>
      <x:c r="F13" s="36" t="str">
        <x:v>Lockout blocks services</x:v>
      </x:c>
      <x:c r="G13" s="36" t="str">
        <x:v>Offline emergency copy</x:v>
      </x:c>
      <x:c r="H13" s="36" t="str">
        <x:v>4 h</x:v>
      </x:c>
      <x:c r="I13" s="36" t="str">
        <x:v>Security</x:v>
      </x:c>
      <x:c r="J13" s="36" t="str">
        <x:v>OPEN</x:v>
      </x:c>
      <x:c r="K13" s="36" t="str">
        <x:v>Docs 27</x:v>
      </x:c>
    </x:row>
    <x:row r="14">
      <x:c r="A14" s="27" t="str">
        <x:v>DEP-010</x:v>
      </x:c>
      <x:c r="B14" s="36" t="str">
        <x:v>Primary storage</x:v>
      </x:c>
      <x:c r="C14" s="36" t="str">
        <x:v>Hardware</x:v>
      </x:c>
      <x:c r="D14" s="36" t="str">
        <x:v>Source art/audio/local work</x:v>
      </x:c>
      <x:c r="E14" s="36" t="str">
        <x:v>Critical</x:v>
      </x:c>
      <x:c r="F14" s="36" t="str">
        <x:v>Failure may lose uncommitted work</x:v>
      </x:c>
      <x:c r="G14" s="36" t="str">
        <x:v>Versioned offsite backup</x:v>
      </x:c>
      <x:c r="H14" s="36" t="str">
        <x:v>24 h</x:v>
      </x:c>
      <x:c r="I14" s="36" t="str">
        <x:v>Project Owner</x:v>
      </x:c>
      <x:c r="J14" s="36" t="str">
        <x:v>OPEN</x:v>
      </x:c>
      <x:c r="K14" s="36" t="str">
        <x:v>Docs 27</x:v>
      </x:c>
    </x:row>
    <x:row r="15">
      <x:c r="A15" s="27" t="str">
        <x:v>DEP-011</x:v>
      </x:c>
      <x:c r="B15" s="36" t="str">
        <x:v>Backup provider/location</x:v>
      </x:c>
      <x:c r="C15" s="36" t="str">
        <x:v>External service/storage</x:v>
      </x:c>
      <x:c r="D15" s="36" t="str">
        <x:v>Offsite recovery</x:v>
      </x:c>
      <x:c r="E15" s="36" t="str">
        <x:v>Critical</x:v>
      </x:c>
      <x:c r="F15" s="36" t="str">
        <x:v>Same-provider failure risk</x:v>
      </x:c>
      <x:c r="G15" s="36" t="str">
        <x:v>Offline/second-provider copy</x:v>
      </x:c>
      <x:c r="H15" s="36" t="str">
        <x:v>72 h</x:v>
      </x:c>
      <x:c r="I15" s="36" t="str">
        <x:v>Project Owner</x:v>
      </x:c>
      <x:c r="J15" s="36" t="str">
        <x:v>OPEN</x:v>
      </x:c>
      <x:c r="K15" s="36" t="str">
        <x:v>Docs 27, 33</x:v>
      </x:c>
    </x:row>
    <x:row r="16">
      <x:c r="A16" s="27" t="str">
        <x:v>DEP-012</x:v>
      </x:c>
      <x:c r="B16" s="36" t="str">
        <x:v>Domain registrar/DNS</x:v>
      </x:c>
      <x:c r="C16" s="36" t="str">
        <x:v>External service/account</x:v>
      </x:c>
      <x:c r="D16" s="36" t="str">
        <x:v>Website/email/identity</x:v>
      </x:c>
      <x:c r="E16" s="36" t="str">
        <x:v>High</x:v>
      </x:c>
      <x:c r="F16" s="36" t="str">
        <x:v>Expiry or compromise impacts trust</x:v>
      </x:c>
      <x:c r="G16" s="36" t="str">
        <x:v>Auto-renew + offline records</x:v>
      </x:c>
      <x:c r="H16" s="36" t="str">
        <x:v>8 h</x:v>
      </x:c>
      <x:c r="I16" s="36" t="str">
        <x:v>Marketing/IT</x:v>
      </x:c>
      <x:c r="J16" s="36" t="str">
        <x:v>OPEN</x:v>
      </x:c>
      <x:c r="K16" s="36" t="str">
        <x:v>Docs 28</x:v>
      </x:c>
    </x:row>
    <x:row r="17">
      <x:c r="A17" s="27" t="str">
        <x:v>DEP-013</x:v>
      </x:c>
      <x:c r="B17" s="36" t="str">
        <x:v>Legal/license evidence</x:v>
      </x:c>
      <x:c r="C17" s="36" t="str">
        <x:v>Information asset</x:v>
      </x:c>
      <x:c r="D17" s="36" t="str">
        <x:v>Right to distribute</x:v>
      </x:c>
      <x:c r="E17" s="36" t="str">
        <x:v>Critical</x:v>
      </x:c>
      <x:c r="F17" s="36" t="str">
        <x:v>Missing proof blocks release</x:v>
      </x:c>
      <x:c r="G17" s="36" t="str">
        <x:v>Redundant read-only archive</x:v>
      </x:c>
      <x:c r="H17" s="36" t="str">
        <x:v>24 h</x:v>
      </x:c>
      <x:c r="I17" s="36" t="str">
        <x:v>Legal</x:v>
      </x:c>
      <x:c r="J17" s="36" t="str">
        <x:v>OPEN</x:v>
      </x:c>
      <x:c r="K17" s="36" t="str">
        <x:v>Docs 23</x:v>
      </x:c>
    </x:row>
    <x:row r="18">
      <x:c r="A18" s="27" t="str">
        <x:v>DEP-014</x:v>
      </x:c>
      <x:c r="B18" s="36" t="str">
        <x:v>StoreInitial scene</x:v>
      </x:c>
      <x:c r="C18" s="36" t="str">
        <x:v>Project asset</x:v>
      </x:c>
      <x:c r="D18" s="36" t="str">
        <x:v>Representative H6 environment</x:v>
      </x:c>
      <x:c r="E18" s="36" t="str">
        <x:v>Critical</x:v>
      </x:c>
      <x:c r="F18" s="36" t="str">
        <x:v>H6 cannot close without it</x:v>
      </x:c>
      <x:c r="G18" s="36" t="str">
        <x:v>Version control + prefab/source backup</x:v>
      </x:c>
      <x:c r="H18" s="36" t="str">
        <x:v>24 h</x:v>
      </x:c>
      <x:c r="I18" s="36" t="str">
        <x:v>Level/Art</x:v>
      </x:c>
      <x:c r="J18" s="36" t="str">
        <x:v>OPEN</x:v>
      </x:c>
      <x:c r="K18" s="36" t="str">
        <x:v>Docs 02, 17, 31</x:v>
      </x:c>
    </x:row>
    <x:row r="19">
      <x:c r="A19" s="27" t="str">
        <x:v>DEP-015</x:v>
      </x:c>
      <x:c r="B19" s="36" t="str">
        <x:v>Save/recovery subsystem</x:v>
      </x:c>
      <x:c r="C19" s="36" t="str">
        <x:v>Software capability</x:v>
      </x:c>
      <x:c r="D19" s="36" t="str">
        <x:v>Player data integrity</x:v>
      </x:c>
      <x:c r="E19" s="36" t="str">
        <x:v>Critical</x:v>
      </x:c>
      <x:c r="F19" s="36" t="str">
        <x:v>Failure causes S0</x:v>
      </x:c>
      <x:c r="G19" s="36" t="str">
        <x:v>Tests, corpus and rollback</x:v>
      </x:c>
      <x:c r="H19" s="36" t="str">
        <x:v>4 h</x:v>
      </x:c>
      <x:c r="I19" s="36" t="str">
        <x:v>Engineering/Data</x:v>
      </x:c>
      <x:c r="J19" s="36" t="str">
        <x:v>OPEN</x:v>
      </x:c>
      <x:c r="K19" s="36" t="str">
        <x:v>Docs 04, 07, 31</x:v>
      </x:c>
    </x:row>
    <x:row r="20">
      <x:c r="A20" s="27" t="str">
        <x:v>DEP-016</x:v>
      </x:c>
      <x:c r="B20" s="36" t="str">
        <x:v>QA evidence and build hashes</x:v>
      </x:c>
      <x:c r="C20" s="36" t="str">
        <x:v>Information asset</x:v>
      </x:c>
      <x:c r="D20" s="36" t="str">
        <x:v>Trusted gate decision</x:v>
      </x:c>
      <x:c r="E20" s="36" t="str">
        <x:v>Critical</x:v>
      </x:c>
      <x:c r="F20" s="36" t="str">
        <x:v>No auditable PASS</x:v>
      </x:c>
      <x:c r="G20" s="36" t="str">
        <x:v>Artifact archive + checklist</x:v>
      </x:c>
      <x:c r="H20" s="36" t="str">
        <x:v>8 h</x:v>
      </x:c>
      <x:c r="I20" s="36" t="str">
        <x:v>QA</x:v>
      </x:c>
      <x:c r="J20" s="36" t="str">
        <x:v>OPEN</x:v>
      </x:c>
      <x:c r="K20" s="36" t="str">
        <x:v>Docs 31, 32</x:v>
      </x:c>
    </x:row>
    <x:row r="21">
      <x:c r="A21" s="27" t="str">
        <x:v>DEP-017</x:v>
      </x:c>
      <x:c r="B21" s="36" t="str">
        <x:v>Documentation baseline</x:v>
      </x:c>
      <x:c r="C21" s="36" t="str">
        <x:v>Information asset</x:v>
      </x:c>
      <x:c r="D21" s="36" t="str">
        <x:v>Project continuation/handoff</x:v>
      </x:c>
      <x:c r="E21" s="36" t="str">
        <x:v>Critical</x:v>
      </x:c>
      <x:c r="F21" s="36" t="str">
        <x:v>Candidate/final ambiguity, stale hashes or history mixed with current baseline</x:v>
      </x:c>
      <x:c r="G21" s="36" t="str">
        <x:v>Clean immutable ZIP + external checksums + verified restore</x:v>
      </x:c>
      <x:c r="H21" s="36" t="str">
        <x:v>24 h</x:v>
      </x:c>
      <x:c r="I21" s="36" t="str">
        <x:v>Documentation</x:v>
      </x:c>
      <x:c r="J21" s="36" t="str">
        <x:v>OPEN</x:v>
      </x:c>
      <x:c r="K21" s="36" t="str">
        <x:v>Docs 32, 33, 34</x:v>
      </x:c>
    </x:row>
    <x:row r="22">
      <x:c r="A22" s="27" t="str">
        <x:v>DEP-018</x:v>
      </x:c>
      <x:c r="B22" s="36" t="str">
        <x:v>Source art and DCC tools</x:v>
      </x:c>
      <x:c r="C22" s="36" t="str">
        <x:v>Content/toolchain</x:v>
      </x:c>
      <x:c r="D22" s="36" t="str">
        <x:v>Repair and regenerate assets</x:v>
      </x:c>
      <x:c r="E22" s="36" t="str">
        <x:v>High</x:v>
      </x:c>
      <x:c r="F22" s="36" t="str">
        <x:v>Derived files alone insufficient</x:v>
      </x:c>
      <x:c r="G22" s="36" t="str">
        <x:v>Source backups + installer list</x:v>
      </x:c>
      <x:c r="H22" s="36" t="str">
        <x:v>72 h</x:v>
      </x:c>
      <x:c r="I22" s="36" t="str">
        <x:v>Art</x:v>
      </x:c>
      <x:c r="J22" s="36" t="str">
        <x:v>OPEN</x:v>
      </x:c>
      <x:c r="K22" s="36" t="str">
        <x:v>Docs 17, 23</x:v>
      </x:c>
    </x:row>
    <x:row r="23">
      <x:c r="A23" s="27" t="str">
        <x:v>DEP-019</x:v>
      </x:c>
      <x:c r="B23" s="36" t="str">
        <x:v>Source audio and audio tools</x:v>
      </x:c>
      <x:c r="C23" s="36" t="str">
        <x:v>Content/toolchain</x:v>
      </x:c>
      <x:c r="D23" s="36" t="str">
        <x:v>Repair and regenerate audio</x:v>
      </x:c>
      <x:c r="E23" s="36" t="str">
        <x:v>High</x:v>
      </x:c>
      <x:c r="F23" s="36" t="str">
        <x:v>Derived files alone insufficient</x:v>
      </x:c>
      <x:c r="G23" s="36" t="str">
        <x:v>Source backups + installer list</x:v>
      </x:c>
      <x:c r="H23" s="36" t="str">
        <x:v>72 h</x:v>
      </x:c>
      <x:c r="I23" s="36" t="str">
        <x:v>Audio</x:v>
      </x:c>
      <x:c r="J23" s="36" t="str">
        <x:v>OPEN</x:v>
      </x:c>
      <x:c r="K23" s="36" t="str">
        <x:v>Docs 18, 23</x:v>
      </x:c>
    </x:row>
    <x:row r="24">
      <x:c r="A24" s="27" t="str">
        <x:v>DEP-020</x:v>
      </x:c>
      <x:c r="B24" s="36" t="str">
        <x:v>Text/font/localization assets</x:v>
      </x:c>
      <x:c r="C24" s="36" t="str">
        <x:v>Content/legal</x:v>
      </x:c>
      <x:c r="D24" s="36" t="str">
        <x:v>Readable localized UI</x:v>
      </x:c>
      <x:c r="E24" s="36" t="str">
        <x:v>High</x:v>
      </x:c>
      <x:c r="F24" s="36" t="str">
        <x:v>Licensing/clipping can block release</x:v>
      </x:c>
      <x:c r="G24" s="36" t="str">
        <x:v>Source, license and fallback font</x:v>
      </x:c>
      <x:c r="H24" s="36" t="str">
        <x:v>72 h</x:v>
      </x:c>
      <x:c r="I24" s="36" t="str">
        <x:v>UI/Localization</x:v>
      </x:c>
      <x:c r="J24" s="36" t="str">
        <x:v>OPEN</x:v>
      </x:c>
      <x:c r="K24" s="36" t="str">
        <x:v>Docs 19, 22, 23</x:v>
      </x:c>
    </x:row>
    <x:row r="25">
      <x:c r="A25" s="27" t="str">
        <x:v>DEP-021</x:v>
      </x:c>
      <x:c r="B25" s="36" t="str">
        <x:v>Build signing/distribution configuration</x:v>
      </x:c>
      <x:c r="C25" s="36" t="str">
        <x:v>Security/publishing</x:v>
      </x:c>
      <x:c r="D25" s="36" t="str">
        <x:v>Trusted candidate distribution</x:v>
      </x:c>
      <x:c r="E25" s="36" t="str">
        <x:v>Critical</x:v>
      </x:c>
      <x:c r="F25" s="36" t="str">
        <x:v>Wrong config can leak/brick release</x:v>
      </x:c>
      <x:c r="G25" s="36" t="str">
        <x:v>Restricted scripts + hash review</x:v>
      </x:c>
      <x:c r="H25" s="36" t="str">
        <x:v>8 h</x:v>
      </x:c>
      <x:c r="I25" s="36" t="str">
        <x:v>Build/Publishing</x:v>
      </x:c>
      <x:c r="J25" s="36" t="str">
        <x:v>OPEN</x:v>
      </x:c>
      <x:c r="K25" s="36" t="str">
        <x:v>Docs 11, 24, 27</x:v>
      </x:c>
    </x:row>
    <x:row r="26">
      <x:c r="A26" s="27" t="str">
        <x:v>DEP-022</x:v>
      </x:c>
      <x:c r="B26" s="36" t="str">
        <x:v>Payment method/budget reserve</x:v>
      </x:c>
      <x:c r="C26" s="36" t="str">
        <x:v>Financial</x:v>
      </x:c>
      <x:c r="D26" s="36" t="str">
        <x:v>Keep services/domains/tools active</x:v>
      </x:c>
      <x:c r="E26" s="36" t="str">
        <x:v>High</x:v>
      </x:c>
      <x:c r="F26" s="36" t="str">
        <x:v>Expiry can cascade</x:v>
      </x:c>
      <x:c r="G26" s="36" t="str">
        <x:v>Alternate payment + renewal calendar</x:v>
      </x:c>
      <x:c r="H26" s="36" t="str">
        <x:v>72 h</x:v>
      </x:c>
      <x:c r="I26" s="36" t="str">
        <x:v>Project Owner</x:v>
      </x:c>
      <x:c r="J26" s="36" t="str">
        <x:v>OPEN</x:v>
      </x:c>
      <x:c r="K26" s="36" t="str">
        <x:v>Docs 28, 33</x:v>
      </x:c>
    </x:row>
    <x:row r="27">
      <x:c r="A27" s="27" t="str">
        <x:v>DEP-023</x:v>
      </x:c>
      <x:c r="B27" s="36" t="str">
        <x:v>Security update/advisory sources</x:v>
      </x:c>
      <x:c r="C27" s="36" t="str">
        <x:v>External information</x:v>
      </x:c>
      <x:c r="D27" s="36" t="str">
        <x:v>Vulnerability response</x:v>
      </x:c>
      <x:c r="E27" s="36" t="str">
        <x:v>High</x:v>
      </x:c>
      <x:c r="F27" s="36" t="str">
        <x:v>Unknown exposure persists</x:v>
      </x:c>
      <x:c r="G27" s="36" t="str">
        <x:v>Periodic dependency review</x:v>
      </x:c>
      <x:c r="H27" s="36" t="str">
        <x:v>7 d</x:v>
      </x:c>
      <x:c r="I27" s="36" t="str">
        <x:v>Security</x:v>
      </x:c>
      <x:c r="J27" s="36" t="str">
        <x:v>OPEN</x:v>
      </x:c>
      <x:c r="K27" s="36" t="str">
        <x:v>Docs 27</x:v>
      </x:c>
    </x:row>
    <x:row r="28">
      <x:c r="A28" s="27" t="str">
        <x:v>DEP-024</x:v>
      </x:c>
      <x:c r="B28" s="36" t="str">
        <x:v>Community/press accounts</x:v>
      </x:c>
      <x:c r="C28" s="36" t="str">
        <x:v>External account</x:v>
      </x:c>
      <x:c r="D28" s="36" t="str">
        <x:v>Public communication</x:v>
      </x:c>
      <x:c r="E28" s="36" t="str">
        <x:v>Medium</x:v>
      </x:c>
      <x:c r="F28" s="36" t="str">
        <x:v>Can be paused but compromise harms trust</x:v>
      </x:c>
      <x:c r="G28" s="36" t="str">
        <x:v>MFA + ownership registry</x:v>
      </x:c>
      <x:c r="H28" s="36" t="str">
        <x:v>24 h</x:v>
      </x:c>
      <x:c r="I28" s="36" t="str">
        <x:v>Marketing</x:v>
      </x:c>
      <x:c r="J28" s="36" t="str">
        <x:v>OPEN</x:v>
      </x:c>
      <x:c r="K28" s="36" t="str">
        <x:v>Docs 28</x:v>
      </x:c>
    </x:row>
    <x:row r="29">
      <x:c r="A29" s="27" t="str">
        <x:v>DEP-025</x:v>
      </x:c>
      <x:c r="B29" s="36" t="str">
        <x:v>Clean recovery environment</x:v>
      </x:c>
      <x:c r="C29" s="36" t="str">
        <x:v>Hardware/process</x:v>
      </x:c>
      <x:c r="D29" s="36" t="str">
        <x:v>Prove total-loss recovery</x:v>
      </x:c>
      <x:c r="E29" s="36" t="str">
        <x:v>Critical</x:v>
      </x:c>
      <x:c r="F29" s="36" t="str">
        <x:v>Backups untrustworthy without it</x:v>
      </x:c>
      <x:c r="G29" s="36" t="str">
        <x:v>Periodic clean-room drill</x:v>
      </x:c>
      <x:c r="H29" s="36" t="str">
        <x:v>72 h</x:v>
      </x:c>
      <x:c r="I29" s="36" t="str">
        <x:v>Project Owner</x:v>
      </x:c>
      <x:c r="J29" s="36" t="str">
        <x:v>OPEN</x:v>
      </x:c>
      <x:c r="K29" s="36" t="str">
        <x:v>Docs 27, 33</x:v>
      </x:c>
    </x:row>
    <x:row r="30">
      <x:c r="A30" t="str">
        <x:v>DEP-026</x:v>
      </x:c>
      <x:c r="B30" t="str">
        <x:v>Approved final documentation package</x:v>
      </x:c>
      <x:c r="C30" t="str">
        <x:v>Information asset</x:v>
      </x:c>
      <x:c r="D30" t="str">
        <x:v>Audit, handoff, restoration and project resumption</x:v>
      </x:c>
      <x:c r="E30" t="str">
        <x:v>Critical</x:v>
      </x:c>
      <x:c r="F30" t="str">
        <x:v>Candidate/final ambiguity or mixed files</x:v>
      </x:c>
      <x:c r="G30" t="str">
        <x:v>Clean allowlisted package + last verified baseline</x:v>
      </x:c>
      <x:c r="H30" t="str">
        <x:v>24 h</x:v>
      </x:c>
      <x:c r="I30" t="str">
        <x:v>Documentation</x:v>
      </x:c>
      <x:c r="J30" t="str">
        <x:v>OPEN</x:v>
      </x:c>
      <x:c r="K30" t="str">
        <x:v>Docs 13, 14, 15, 16, 31, 32, 33, 34</x:v>
      </x:c>
    </x:row>
    <x:row r="31">
      <x:c r="A31" t="str">
        <x:v>DEP-027</x:v>
      </x:c>
      <x:c r="B31" t="str">
        <x:v>External checksum set and ZIP checksum</x:v>
      </x:c>
      <x:c r="C31" t="str">
        <x:v>Integrity artifact</x:v>
      </x:c>
      <x:c r="D31" t="str">
        <x:v>Independent verification of delivered package</x:v>
      </x:c>
      <x:c r="E31" t="str">
        <x:v>Critical</x:v>
      </x:c>
      <x:c r="F31" t="str">
        <x:v>Self-reference or stale hash can invalidate proof</x:v>
      </x:c>
      <x:c r="G31" t="str">
        <x:v>Checksums generated after freeze and stored externally</x:v>
      </x:c>
      <x:c r="H31" t="str">
        <x:v>8 h</x:v>
      </x:c>
      <x:c r="I31" t="str">
        <x:v>Documentation / QA</x:v>
      </x:c>
      <x:c r="J31" t="str">
        <x:v>OPEN</x:v>
      </x:c>
      <x:c r="K31" t="str">
        <x:v>Docs 16, 31, 32, 33, 34</x:v>
      </x:c>
    </x:row>
    <x:row r="32">
      <x:c r="A32" t="str">
        <x:v>DEP-028</x:v>
      </x:c>
      <x:c r="B32" t="str">
        <x:v>Git commit/tag and Unity/package baseline</x:v>
      </x:c>
      <x:c r="C32" t="str">
        <x:v>Toolchain / source reference</x:v>
      </x:c>
      <x:c r="D32" t="str">
        <x:v>Reproduce the project state associated with documentation</x:v>
      </x:c>
      <x:c r="E32" t="str">
        <x:v>Critical</x:v>
      </x:c>
      <x:c r="F32" t="str">
        <x:v>Missing ref or dependency drift</x:v>
      </x:c>
      <x:c r="G32" t="str">
        <x:v>Offline Git bundle, pinned Unity and manifests</x:v>
      </x:c>
      <x:c r="H32" t="str">
        <x:v>24 h</x:v>
      </x:c>
      <x:c r="I32" t="str">
        <x:v>Engineering</x:v>
      </x:c>
      <x:c r="J32" t="str">
        <x:v>OPEN</x:v>
      </x:c>
      <x:c r="K32" t="str">
        <x:v>Docs 10, 11, 13, 31, 32, 34</x:v>
      </x:c>
    </x:row>
    <x:row r="33">
      <x:c r="A33" t="str">
        <x:v>DEP-029</x:v>
      </x:c>
      <x:c r="B33" t="str">
        <x:v>Designated independent handoff operator</x:v>
      </x:c>
      <x:c r="C33" t="str">
        <x:v>Person / role</x:v>
      </x:c>
      <x:c r="D33" t="str">
        <x:v>Resume project when owner is absent</x:v>
      </x:c>
      <x:c r="E33" t="str">
        <x:v>Critical</x:v>
      </x:c>
      <x:c r="F33" t="str">
        <x:v>No demonstrated alternate</x:v>
      </x:c>
      <x:c r="G33" t="str">
        <x:v>Named alternate, least-privilege access and drill</x:v>
      </x:c>
      <x:c r="H33" t="str">
        <x:v>24 h</x:v>
      </x:c>
      <x:c r="I33" t="str">
        <x:v>Project Owner</x:v>
      </x:c>
      <x:c r="J33" t="str">
        <x:v>OPEN</x:v>
      </x:c>
      <x:c r="K33" t="str">
        <x:v>Docs 14, 15, 27, 33, 34</x:v>
      </x:c>
    </x:row>
    <x:row r="34">
      <x:c r="A34" t="str">
        <x:v>DEP-030</x:v>
      </x:c>
      <x:c r="B34" t="str">
        <x:v>Sanitized and access-controlled evidence store</x:v>
      </x:c>
      <x:c r="C34" t="str">
        <x:v>Information/security</x:v>
      </x:c>
      <x:c r="D34" t="str">
        <x:v>Retain audit/restore evidence without exposing secrets</x:v>
      </x:c>
      <x:c r="E34" t="str">
        <x:v>High</x:v>
      </x:c>
      <x:c r="F34" t="str">
        <x:v>Logs/screenshots may contain secrets or PII</x:v>
      </x:c>
      <x:c r="G34" t="str">
        <x:v>Restricted evidence area + redacted package copy</x:v>
      </x:c>
      <x:c r="H34" t="str">
        <x:v>8 h</x:v>
      </x:c>
      <x:c r="I34" t="str">
        <x:v>Security / QA</x:v>
      </x:c>
      <x:c r="J34" t="str">
        <x:v>OPEN</x:v>
      </x:c>
      <x:c r="K34" t="str">
        <x:v>Docs 23, 26, 27, 31, 33, 34</x:v>
      </x:c>
    </x:row>
  </x:sheetData>
  <x:mergeCells>
    <x:mergeCell ref="A1:K1"/>
    <x:mergeCell ref="A2:K2"/>
  </x:mergeCells>
  <x:conditionalFormatting sqref="E5:E29">
    <x:cfRule type="expression" dxfId="19" priority="1">
      <x:formula>E5="Critical"</x:formula>
    </x:cfRule>
  </x:conditionalFormatting>
  <x:conditionalFormatting sqref="J5:J29">
    <x:cfRule type="expression" dxfId="20" priority="2">
      <x:formula>J5="REDUNDANT"</x:formula>
    </x:cfRule>
  </x:conditionalFormatting>
  <x:dataValidations count="1">
    <x:dataValidation type="list" sqref="J5:J29">
      <x:formula1>"OPEN,MITIGATING,REDUNDANT,ACCEPTED,RETIRED"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465fc6bffb4f0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45" hidden="0" customWidth="1"/>
    <x:col min="4" max="4" width="25" hidden="0" customWidth="1"/>
    <x:col min="5" max="5" width="25" hidden="0" customWidth="1"/>
    <x:col min="6" max="6" width="58" hidden="0" customWidth="1"/>
    <x:col min="7" max="7" width="58" hidden="0" customWidth="1"/>
    <x:col min="8" max="8" width="62" hidden="0" customWidth="1"/>
    <x:col min="9" max="9" width="48" hidden="0" customWidth="1"/>
    <x:col min="10" max="10" width="52" hidden="0" customWidth="1"/>
    <x:col min="11" max="11" width="55" hidden="0" customWidth="1"/>
  </x:cols>
  <x:sheetData>
    <x:row r="1" ht="36" customHeight="1">
      <x:c r="A1" s="5" t="str">
        <x:v>08 — Crisis and Incident Playbooks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2" customHeight="1">
      <x:c r="A2" s="13" t="str">
        <x:v>Scenario-oriented response instructions. Detailed ordered recovery steps are maintained in sheet 09.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Playbook ID</x:v>
      </x:c>
      <x:c r="B4" s="21" t="str">
        <x:v>Scenario</x:v>
      </x:c>
      <x:c r="C4" s="21" t="str">
        <x:v>Activation Trigger</x:v>
      </x:c>
      <x:c r="D4" s="21" t="str">
        <x:v>Incident Lead</x:v>
      </x:c>
      <x:c r="E4" s="21" t="str">
        <x:v>Deputy / Support</x:v>
      </x:c>
      <x:c r="F4" s="21" t="str">
        <x:v>First 15 Minutes</x:v>
      </x:c>
      <x:c r="G4" s="21" t="str">
        <x:v>First Hour</x:v>
      </x:c>
      <x:c r="H4" s="21" t="str">
        <x:v>First 4 Hours / Stabilization</x:v>
      </x:c>
      <x:c r="I4" s="21" t="str">
        <x:v>Communication Rule</x:v>
      </x:c>
      <x:c r="J4" s="21" t="str">
        <x:v>Evidence to Preserve</x:v>
      </x:c>
      <x:c r="K4" s="21" t="str">
        <x:v>Exit / Recovery Criteria</x:v>
      </x:c>
    </x:row>
    <x:row r="5">
      <x:c r="A5" s="27" t="str">
        <x:v>PB-01</x:v>
      </x:c>
      <x:c r="B5" s="36" t="str">
        <x:v>Scope/authority conflict</x:v>
      </x:c>
      <x:c r="C5" s="36" t="str">
        <x:v>Contradiction, unauthorized scope or premature gate</x:v>
      </x:c>
      <x:c r="D5" s="36" t="str">
        <x:v>Project Owner</x:v>
      </x:c>
      <x:c r="E5" s="36" t="str">
        <x:v>Production</x:v>
      </x:c>
      <x:c r="F5" s="36" t="str">
        <x:v>Freeze affected decision; preserve baseline; identify governing source.</x:v>
      </x:c>
      <x:c r="G5" s="36" t="str">
        <x:v>Map affected documents, builds and tests; choose temporary safe state.</x:v>
      </x:c>
      <x:c r="H5" s="36" t="str">
        <x:v>Issue formal decision/change record; replan and propagate.</x:v>
      </x:c>
      <x:c r="I5" s="36" t="str">
        <x:v>Internal only unless public claim affected.</x:v>
      </x:c>
      <x:c r="J5" s="36" t="str">
        <x:v>Baseline snapshot, decision log, affected IDs.</x:v>
      </x:c>
      <x:c r="K5" s="36" t="str">
        <x:v>Authority resolved, all dependent artifacts updated, gate re-evaluated.</x:v>
      </x:c>
    </x:row>
    <x:row r="6">
      <x:c r="A6" s="27" t="str">
        <x:v>PB-02</x:v>
      </x:c>
      <x:c r="B6" s="36" t="str">
        <x:v>Owner unavailable / key-person continuity</x:v>
      </x:c>
      <x:c r="C6" s="36" t="str">
        <x:v>Owner unavailable &gt;24 h or critical decision/access blocked</x:v>
      </x:c>
      <x:c r="D6" s="36" t="str">
        <x:v>Designated Alternate</x:v>
      </x:c>
      <x:c r="E6" s="36" t="str">
        <x:v>Production</x:v>
      </x:c>
      <x:c r="F6" s="36" t="str">
        <x:v>Confirm availability; freeze irreversible decisions; secure critical accounts and current package.</x:v>
      </x:c>
      <x:c r="G6" s="36" t="str">
        <x:v>Activate manual 34, Binder/Guide, role map and last verified baseline; name temporary authority.</x:v>
      </x:c>
      <x:c r="H6" s="36" t="str">
        <x:v>Alternate validates project status, commit/tag, open risks and next gate; record all decisions.</x:v>
      </x:c>
      <x:c r="I6" s="36" t="str">
        <x:v>Neutral status only; no personal details or unverified promises.</x:v>
      </x:c>
      <x:c r="J6" s="36" t="str">
        <x:v>Activation record, access changes, package/hash verification and handoff checklist.</x:v>
      </x:c>
      <x:c r="K6" s="36" t="str">
        <x:v>Alternate resumes minimum operations independently and responsibilities are formally accepted.</x:v>
      </x:c>
    </x:row>
    <x:row r="7">
      <x:c r="A7" s="27" t="str">
        <x:v>PB-03</x:v>
      </x:c>
      <x:c r="B7" s="36" t="str">
        <x:v>Milestone delay / critical-path blockage</x:v>
      </x:c>
      <x:c r="C7" s="36" t="str">
        <x:v>Critical dependency blocked or H6 progress stalls</x:v>
      </x:c>
      <x:c r="D7" s="36" t="str">
        <x:v>Production</x:v>
      </x:c>
      <x:c r="E7" s="36" t="str">
        <x:v>Stop noncritical WIP; identify blocker and owner.</x:v>
      </x:c>
      <x:c r="F7" s="36" t="str">
        <x:v>Build recovery plan with scope reduction and checkpoints.</x:v>
      </x:c>
      <x:c r="G7" s="36" t="str">
        <x:v>Rebaseline only with owner approval; update roadmap/risk/checklist.</x:v>
      </x:c>
      <x:c r="H7" s="36" t="str">
        <x:v>No external date until validated.</x:v>
      </x:c>
      <x:c r="I7" s="36" t="str">
        <x:v>Updated dependency map, decisions, revised forecast.</x:v>
      </x:c>
      <x:c r="J7" s="36" t="str">
        <x:v>Critical path executable and next gate criteria explicit.</x:v>
      </x:c>
      <x:c r="K7" s="36"/>
    </x:row>
    <x:row r="8">
      <x:c r="A8" s="27" t="str">
        <x:v>PB-04</x:v>
      </x:c>
      <x:c r="B8" s="36" t="str">
        <x:v>Toolchain/build failure</x:v>
      </x:c>
      <x:c r="C8" s="36" t="str">
        <x:v>Clean build fails or toolchain cannot open project</x:v>
      </x:c>
      <x:c r="D8" s="36" t="str">
        <x:v>Engineering</x:v>
      </x:c>
      <x:c r="E8" s="36" t="str">
        <x:v>Preserve logs; freeze upgrades; identify last known good commit/toolchain.</x:v>
      </x:c>
      <x:c r="F8" s="36" t="str">
        <x:v>Reproduce on clean environment and compare manifest/settings.</x:v>
      </x:c>
      <x:c r="G8" s="36" t="str">
        <x:v>Restore pinned versions or approve controlled upgrade via ADR.</x:v>
      </x:c>
      <x:c r="H8" s="36" t="str">
        <x:v>Internal technical status.</x:v>
      </x:c>
      <x:c r="I8" s="36" t="str">
        <x:v>Editor/build logs, package diff, commit/build hashes.</x:v>
      </x:c>
      <x:c r="J8" s="36" t="str">
        <x:v>Reproducible clean build and smoke test pass.</x:v>
      </x:c>
      <x:c r="K8" s="36"/>
    </x:row>
    <x:row r="9">
      <x:c r="A9" s="27" t="str">
        <x:v>PB-05</x:v>
      </x:c>
      <x:c r="B9" s="36" t="str">
        <x:v>Save corruption / data loss</x:v>
      </x:c>
      <x:c r="C9" s="36" t="str">
        <x:v>Checksum, migration or recovery fails</x:v>
      </x:c>
      <x:c r="D9" s="36" t="str">
        <x:v>Engineering/Data</x:v>
      </x:c>
      <x:c r="E9" s="36" t="str">
        <x:v>Stop writes; copy primary, backup and logs read-only.</x:v>
      </x:c>
      <x:c r="F9" s="36" t="str">
        <x:v>Classify scope; attempt recovery on copies; protect unaffected slots.</x:v>
      </x:c>
      <x:c r="G9" s="36" t="str">
        <x:v>Ship repair/hotfix only after destructive tests and rollback plan.</x:v>
      </x:c>
      <x:c r="H9" s="36" t="str">
        <x:v>Clear non-blaming user guidance if external.</x:v>
      </x:c>
      <x:c r="I9" s="36" t="str">
        <x:v>Affected files/hashes, build/schema, timeline, test output.</x:v>
      </x:c>
      <x:c r="J9" s="36" t="str">
        <x:v>Recovery verified or loss quantified; root cause/action closed.</x:v>
      </x:c>
      <x:c r="K9" s="36"/>
    </x:row>
    <x:row r="10">
      <x:c r="A10" s="27" t="str">
        <x:v>PB-06</x:v>
      </x:c>
      <x:c r="B10" s="36" t="str">
        <x:v>Critical quality escape</x:v>
      </x:c>
      <x:c r="C10" s="36" t="str">
        <x:v>S0/S1 or false PASS found in candidate</x:v>
      </x:c>
      <x:c r="D10" s="36" t="str">
        <x:v>QA Lead</x:v>
      </x:c>
      <x:c r="E10" s="36" t="str">
        <x:v>Production</x:v>
      </x:c>
      <x:c r="F10" s="36" t="str">
        <x:v>Quarantine build; revoke candidate status; open defect.</x:v>
      </x:c>
      <x:c r="G10" s="36" t="str">
        <x:v>Reproduce, assess affected paths and expand regression.</x:v>
      </x:c>
      <x:c r="H10" s="36" t="str">
        <x:v>Fix/rebuild/retest with new hash; update evidence and signoff.</x:v>
      </x:c>
      <x:c r="I10" s="36" t="str">
        <x:v>Pause distribution; factual status if external.</x:v>
      </x:c>
      <x:c r="J10" s="36" t="str">
        <x:v>Build hash, logs, repro, defect/evidence links.</x:v>
      </x:c>
      <x:c r="K10" s="36" t="str">
        <x:v>No open S0/S1 and regression evidence accepted.</x:v>
      </x:c>
    </x:row>
    <x:row r="11">
      <x:c r="A11" s="27" t="str">
        <x:v>PB-07</x:v>
      </x:c>
      <x:c r="B11" s="36" t="str">
        <x:v>Performance/stability regression</x:v>
      </x:c>
      <x:c r="C11" s="36" t="str">
        <x:v>Frame, memory, load or crash gate fails</x:v>
      </x:c>
      <x:c r="D11" s="36" t="str">
        <x:v>Engineering/QA</x:v>
      </x:c>
      <x:c r="E11" s="36" t="str">
        <x:v>Capture baseline and profiler/log before changes.</x:v>
      </x:c>
      <x:c r="F11" s="36" t="str">
        <x:v>Identify regression window and safe preset/commit.</x:v>
      </x:c>
      <x:c r="G11" s="36" t="str">
        <x:v>Optimize or revert; rerun representative and long-session tests.</x:v>
      </x:c>
      <x:c r="H11" s="36" t="str">
        <x:v>Do not claim performance until verified.</x:v>
      </x:c>
      <x:c r="I11" s="36" t="str">
        <x:v>Hardware, settings, build, profiler captures.</x:v>
      </x:c>
      <x:c r="J11" s="36" t="str">
        <x:v>Targets met or formally accepted exception with user-safe fallback.</x:v>
      </x:c>
      <x:c r="K11" s="36"/>
    </x:row>
    <x:row r="12">
      <x:c r="A12" s="27" t="str">
        <x:v>PB-08</x:v>
      </x:c>
      <x:c r="B12" s="36" t="str">
        <x:v>Credential/security compromise</x:v>
      </x:c>
      <x:c r="C12" s="36" t="str">
        <x:v>Secret leak, takeover, malware or integrity alert</x:v>
      </x:c>
      <x:c r="D12" s="36" t="str">
        <x:v>Security Lead</x:v>
      </x:c>
      <x:c r="E12" s="36" t="str">
        <x:v>Project Owner</x:v>
      </x:c>
      <x:c r="F12" s="36" t="str">
        <x:v>Isolate, revoke/rotate, preserve evidence, secure recovery channel.</x:v>
      </x:c>
      <x:c r="G12" s="36" t="str">
        <x:v>Determine blast radius; verify repo/build/accounts; notify providers.</x:v>
      </x:c>
      <x:c r="H12" s="36" t="str">
        <x:v>Rebuild trust chain, patch, restore least privilege and monitor.</x:v>
      </x:c>
      <x:c r="I12" s="36" t="str">
        <x:v>Need-to-know; public notice only if justified/required.</x:v>
      </x:c>
      <x:c r="J12" s="36" t="str">
        <x:v>Timeline, logs, hashes, affected credentials/actions.</x:v>
      </x:c>
      <x:c r="K12" s="36" t="str">
        <x:v>No active compromise; credentials rotated; integrity verified.</x:v>
      </x:c>
    </x:row>
    <x:row r="13">
      <x:c r="A13" s="27" t="str">
        <x:v>PB-09</x:v>
      </x:c>
      <x:c r="B13" s="36" t="str">
        <x:v>Privacy incident</x:v>
      </x:c>
      <x:c r="C13" s="36" t="str">
        <x:v>Personal data exposed, collected unlawfully or rights request blocked</x:v>
      </x:c>
      <x:c r="D13" s="36" t="str">
        <x:v>Privacy Lead</x:v>
      </x:c>
      <x:c r="E13" s="36" t="str">
        <x:v>Security/Legal</x:v>
      </x:c>
      <x:c r="F13" s="36" t="str">
        <x:v>Suspend affected processing; preserve minimum evidence.</x:v>
      </x:c>
      <x:c r="G13" s="36" t="str">
        <x:v>Determine data, people, territories, vendors and obligations.</x:v>
      </x:c>
      <x:c r="H13" s="36" t="str">
        <x:v>Remediate/delete/notify as required; update notice/process.</x:v>
      </x:c>
      <x:c r="I13" s="36" t="str">
        <x:v>Approved privacy/legal message only.</x:v>
      </x:c>
      <x:c r="J13" s="36" t="str">
        <x:v>Data map, logs, decisions, notification records.</x:v>
      </x:c>
      <x:c r="K13" s="36" t="str">
        <x:v>Processing lawful and incident obligations complete.</x:v>
      </x:c>
    </x:row>
    <x:row r="14">
      <x:c r="A14" s="27" t="str">
        <x:v>PB-10</x:v>
      </x:c>
      <x:c r="B14" s="36" t="str">
        <x:v>Legal/IP/license blocker</x:v>
      </x:c>
      <x:c r="C14" s="36" t="str">
        <x:v>Claim, takedown or missing rights evidence</x:v>
      </x:c>
      <x:c r="D14" s="36" t="str">
        <x:v>Project Owner / Legal</x:v>
      </x:c>
      <x:c r="E14" s="36" t="str">
        <x:v>Production</x:v>
      </x:c>
      <x:c r="F14" s="36" t="str">
        <x:v>Stop use/publication of affected item; preserve evidence.</x:v>
      </x:c>
      <x:c r="G14" s="36" t="str">
        <x:v>Verify license/provenance and distribution scope.</x:v>
      </x:c>
      <x:c r="H14" s="36" t="str">
        <x:v>Obtain rights or replace and rebuild all affected artifacts.</x:v>
      </x:c>
      <x:c r="I14" s="36" t="str">
        <x:v>No admission/speculation; use approved factual response.</x:v>
      </x:c>
      <x:c r="J14" s="36" t="str">
        <x:v>License records, source, notices, build/store assets.</x:v>
      </x:c>
      <x:c r="K14" s="36" t="str">
        <x:v>Rights confirmed or affected content fully removed.</x:v>
      </x:c>
    </x:row>
    <x:row r="15">
      <x:c r="A15" s="27" t="str">
        <x:v>PB-11</x:v>
      </x:c>
      <x:c r="B15" s="36" t="str">
        <x:v>Steam/release/publication incident</x:v>
      </x:c>
      <x:c r="C15" s="36" t="str">
        <x:v>Wrong build/store copy, outage or public release problem</x:v>
      </x:c>
      <x:c r="D15" s="36" t="str">
        <x:v>Publishing Lead</x:v>
      </x:c>
      <x:c r="E15" s="36" t="str">
        <x:v>Build/Marketing</x:v>
      </x:c>
      <x:c r="F15" s="36" t="str">
        <x:v>Pause rollout/campaign; record live state and build IDs.</x:v>
      </x:c>
      <x:c r="G15" s="36" t="str">
        <x:v>Assess rollback, branch visibility, store corrections and user impact.</x:v>
      </x:c>
      <x:c r="H15" s="36" t="str">
        <x:v>Restore known-good build/config; communicate patch/status.</x:v>
      </x:c>
      <x:c r="I15" s="36" t="str">
        <x:v>One source of truth with timestamps.</x:v>
      </x:c>
      <x:c r="J15" s="36" t="str">
        <x:v>Steam screenshots, VDF/logs, build hashes, messages.</x:v>
      </x:c>
      <x:c r="K15" s="36" t="str">
        <x:v>Correct build/store state live and monitored.</x:v>
      </x:c>
    </x:row>
    <x:row r="16">
      <x:c r="A16" s="27" t="str">
        <x:v>PB-12</x:v>
      </x:c>
      <x:c r="B16" s="36" t="str">
        <x:v>Accessibility/safety blocker</x:v>
      </x:c>
      <x:c r="C16" s="36" t="str">
        <x:v>Golden Path inaccessible or photosensitivity concern</x:v>
      </x:c>
      <x:c r="D16" s="36" t="str">
        <x:v>Accessibility/QA</x:v>
      </x:c>
      <x:c r="E16" s="36" t="str">
        <x:v>Production</x:v>
      </x:c>
      <x:c r="F16" s="36" t="str">
        <x:v>Withdraw claim or affected content; provide safe workaround.</x:v>
      </x:c>
      <x:c r="G16" s="36" t="str">
        <x:v>Reproduce with modality/settings and classify severity.</x:v>
      </x:c>
      <x:c r="H16" s="36" t="str">
        <x:v>Correct design, retest and update Steam/accessibility copy.</x:v>
      </x:c>
      <x:c r="I16" s="36" t="str">
        <x:v>Clear limitation without blaming users.</x:v>
      </x:c>
      <x:c r="J16" s="36" t="str">
        <x:v>Settings, video/captures, test profiles, evidence.</x:v>
      </x:c>
      <x:c r="K16" s="36" t="str">
        <x:v>Barrier removed or claim/feature scope accurately limited.</x:v>
      </x:c>
    </x:row>
    <x:row r="17">
      <x:c r="A17" s="27" t="str">
        <x:v>PB-13</x:v>
      </x:c>
      <x:c r="B17" s="36" t="str">
        <x:v>Content/source asset loss</x:v>
      </x:c>
      <x:c r="C17" s="36" t="str">
        <x:v>Art/audio/content source missing or corrupted</x:v>
      </x:c>
      <x:c r="D17" s="36" t="str">
        <x:v>Content Lead</x:v>
      </x:c>
      <x:c r="E17" s="36" t="str">
        <x:v>Production</x:v>
      </x:c>
      <x:c r="F17" s="36" t="str">
        <x:v>Preserve remaining copies and stop destructive reimport.</x:v>
      </x:c>
      <x:c r="G17" s="36" t="str">
        <x:v>Locate source/backup/license and identify derived dependencies.</x:v>
      </x:c>
      <x:c r="H17" s="36" t="str">
        <x:v>Restore/recreate, reimport, verify GUIDs/scenes and rebuild.</x:v>
      </x:c>
      <x:c r="I17" s="36" t="str">
        <x:v>Internal unless release asset affected.</x:v>
      </x:c>
      <x:c r="J17" s="36" t="str">
        <x:v>Source/derived hashes, paths, import/build evidence.</x:v>
      </x:c>
      <x:c r="K17" s="36" t="str">
        <x:v>Editable source and all integrations verified.</x:v>
      </x:c>
    </x:row>
    <x:row r="18">
      <x:c r="A18" s="27" t="str">
        <x:v>PB-14</x:v>
      </x:c>
      <x:c r="B18" s="36" t="str">
        <x:v>Financial/vendor continuity</x:v>
      </x:c>
      <x:c r="C18" s="36" t="str">
        <x:v>Runway or payment issue threatens critical services</x:v>
      </x:c>
      <x:c r="D18" s="36" t="str">
        <x:v>Project Owner</x:v>
      </x:c>
      <x:c r="E18" s="36" t="str">
        <x:v>Production</x:v>
      </x:c>
      <x:c r="F18" s="36" t="str">
        <x:v>Freeze discretionary spend; list deadlines and critical renewals.</x:v>
      </x:c>
      <x:c r="G18" s="36" t="str">
        <x:v>Secure payment alternative, negotiate, prioritize continuity services.</x:v>
      </x:c>
      <x:c r="H18" s="36" t="str">
        <x:v>Rebaseline budget/scope and document commitments.</x:v>
      </x:c>
      <x:c r="I18" s="36" t="str">
        <x:v>Private; external only when service impact occurs.</x:v>
      </x:c>
      <x:c r="J18" s="36" t="str">
        <x:v>Budget snapshot, invoices, renewal decisions.</x:v>
      </x:c>
      <x:c r="K18" s="36" t="str">
        <x:v>Critical services funded and sustainable plan approved.</x:v>
      </x:c>
    </x:row>
    <x:row r="19">
      <x:c r="A19" s="27" t="str">
        <x:v>PB-15</x:v>
      </x:c>
      <x:c r="B19" s="36" t="str">
        <x:v>External service outage/EOL</x:v>
      </x:c>
      <x:c r="C19" s="36" t="str">
        <x:v>GitHub/Steam/cloud/domain/vendor unavailable</x:v>
      </x:c>
      <x:c r="D19" s="36" t="str">
        <x:v>Operations Lead</x:v>
      </x:c>
      <x:c r="E19" s="36" t="str">
        <x:v>Engineering/Publishing</x:v>
      </x:c>
      <x:c r="F19" s="36" t="str">
        <x:v>Confirm provider status; switch to degraded/offline mode.</x:v>
      </x:c>
      <x:c r="G19" s="36" t="str">
        <x:v>Protect local work and queue operations; test alternative.</x:v>
      </x:c>
      <x:c r="H19" s="36" t="str">
        <x:v>Restore or migrate; reconcile changes and verify integrity.</x:v>
      </x:c>
      <x:c r="I19" s="36" t="str">
        <x:v>Status proportional to user impact.</x:v>
      </x:c>
      <x:c r="J19" s="36" t="str">
        <x:v>Provider status, local hashes, migration/reconciliation log.</x:v>
      </x:c>
      <x:c r="K19" s="36" t="str">
        <x:v>Service restored or alternative operational without data loss.</x:v>
      </x:c>
    </x:row>
    <x:row r="20">
      <x:c r="A20" s="27" t="str">
        <x:v>PB-16</x:v>
      </x:c>
      <x:c r="B20" s="36" t="str">
        <x:v>Hardware/facility loss</x:v>
      </x:c>
      <x:c r="C20" s="36" t="str">
        <x:v>Disk/device/power/location unavailable</x:v>
      </x:c>
      <x:c r="D20" s="36" t="str">
        <x:v>Project Owner / IT</x:v>
      </x:c>
      <x:c r="E20" s="36" t="str">
        <x:v>Security/Engineering</x:v>
      </x:c>
      <x:c r="F20" s="36" t="str">
        <x:v>Ensure safety; isolate lost device; revoke credentials if needed.</x:v>
      </x:c>
      <x:c r="G20" s="36" t="str">
        <x:v>Activate alternate hardware/location and restore critical data.</x:v>
      </x:c>
      <x:c r="H20" s="36" t="str">
        <x:v>Rebuild environment, verify integrity and replace failed controls.</x:v>
      </x:c>
      <x:c r="I20" s="36" t="str">
        <x:v>Need-to-know unless data/user impact.</x:v>
      </x:c>
      <x:c r="J20" s="36" t="str">
        <x:v>Asset inventory, police/provider records if applicable, restore logs.</x:v>
      </x:c>
      <x:c r="K20" s="36" t="str">
        <x:v>RTO met or exception documented; primary controls restored.</x:v>
      </x:c>
    </x:row>
    <x:row r="21">
      <x:c r="A21" s="27" t="str">
        <x:v>PB-17</x:v>
      </x:c>
      <x:c r="B21" s="36" t="str">
        <x:v>Documentation/baseline integrity failure</x:v>
      </x:c>
      <x:c r="C21" s="36" t="str">
        <x:v>Missing history, stale authority or hash mismatch</x:v>
      </x:c>
      <x:c r="D21" s="36" t="str">
        <x:v>Documentation Lead</x:v>
      </x:c>
      <x:c r="E21" s="36" t="str">
        <x:v>QA/Production</x:v>
      </x:c>
      <x:c r="F21" s="36" t="str">
        <x:v>Freeze candidate/final package; preserve every copy; identify last verified manifest/checksum.</x:v>
      </x:c>
      <x:c r="G21" s="36" t="str">
        <x:v>Compare 13/16/32, file inventory, hashes, history separation and commit/tag binding.</x:v>
      </x:c>
      <x:c r="H21" s="36" t="str">
        <x:v>Restore or regenerate affected artifacts; rerun audit, secret scan and clean-room validation.</x:v>
      </x:c>
      <x:c r="I21" s="36" t="str">
        <x:v>No package distribution or baseline claim until independent verification.</x:v>
      </x:c>
      <x:c r="J21" s="36" t="str">
        <x:v>Manifests, external checksums, diffs, validation report, approval and extraction logs.</x:v>
      </x:c>
      <x:c r="K21" s="36" t="str">
        <x:v>00–34 plus external artifacts verify from a clean extraction and are approved immutable.</x:v>
      </x:c>
    </x:row>
    <x:row r="22">
      <x:c r="A22" s="27" t="str">
        <x:v>PB-18</x:v>
      </x:c>
      <x:c r="B22" s="36" t="str">
        <x:v>Total project loss / disaster recovery</x:v>
      </x:c>
      <x:c r="C22" s="36" t="str">
        <x:v>Primary environment, repository or multiple services lost</x:v>
      </x:c>
      <x:c r="D22" s="36" t="str">
        <x:v>Project Owner</x:v>
      </x:c>
      <x:c r="E22" s="36" t="str">
        <x:v>All leads</x:v>
      </x:c>
      <x:c r="F22" s="36" t="str">
        <x:v>Declare disaster; protect people, credentials and evidence; select recovery coordinator and last verified package.</x:v>
      </x:c>
      <x:c r="G22" s="36" t="str">
        <x:v>Recover Tier 0/1 assets, repository refs, documentation package and role/access map from independent copies.</x:v>
      </x:c>
      <x:c r="H22" s="36" t="str">
        <x:v>Rebuild clean environment; verify hashes, open artifacts, import project and resume reduced operations.</x:v>
      </x:c>
      <x:c r="I22" s="36" t="str">
        <x:v>Controlled factual status; do not claim recovery until tests and signoff complete.</x:v>
      </x:c>
      <x:c r="J22" s="36" t="str">
        <x:v>Disaster timeline, inventory, checksums, restore logs, build/test results and decisions.</x:v>
      </x:c>
      <x:c r="K22" s="36" t="str">
        <x:v>Critical capabilities restored within RTO/RPO or formal exception; independent operator can continue.</x:v>
      </x:c>
    </x:row>
    <x:row r="23">
      <x:c r="A23" s="27" t="str">
        <x:v>PB-19</x:v>
      </x:c>
      <x:c r="B23" s="36" t="str">
        <x:v>Domain/email/account identity loss</x:v>
      </x:c>
      <x:c r="C23" s="36" t="str">
        <x:v>Domain, email or social identity compromised/expired</x:v>
      </x:c>
      <x:c r="D23" s="36" t="str">
        <x:v>Marketing/IT</x:v>
      </x:c>
      <x:c r="E23" s="36" t="str">
        <x:v>Security</x:v>
      </x:c>
      <x:c r="F23" s="36" t="str">
        <x:v>Secure registrar/recovery accounts; warn team not to trust messages.</x:v>
      </x:c>
      <x:c r="G23" s="36" t="str">
        <x:v>Restore DNS/MX/access and verify dependent accounts.</x:v>
      </x:c>
      <x:c r="H23" s="36" t="str">
        <x:v>Rotate recovery addresses, publish verified status if impersonation occurred.</x:v>
      </x:c>
      <x:c r="I23" s="36" t="str">
        <x:v>Use unaffected verified channel.</x:v>
      </x:c>
      <x:c r="J23" s="36" t="str">
        <x:v>DNS history, account logs, renewal/payment records.</x:v>
      </x:c>
      <x:c r="K23" s="36" t="str">
        <x:v>Identity controlled and dependent accounts verified.</x:v>
      </x:c>
    </x:row>
    <x:row r="24">
      <x:c r="A24" s="27" t="str">
        <x:v>PB-20</x:v>
      </x:c>
      <x:c r="B24" s="36" t="str">
        <x:v>Community harassment or moderation crisis</x:v>
      </x:c>
      <x:c r="C24" s="36" t="str">
        <x:v>Abuse, doxxing, brigading or unsafe community event</x:v>
      </x:c>
      <x:c r="D24" s="36" t="str">
        <x:v>Community Lead</x:v>
      </x:c>
      <x:c r="E24" s="36" t="str">
        <x:v>Project Owner/Security</x:v>
      </x:c>
      <x:c r="F24" s="36" t="str">
        <x:v>Protect affected people; preserve evidence; enforce rules.</x:v>
      </x:c>
      <x:c r="G24" s="36" t="str">
        <x:v>Limit channels, coordinate platform reports and safety measures.</x:v>
      </x:c>
      <x:c r="H24" s="36" t="str">
        <x:v>Review moderation policy/capacity and communicate boundaries.</x:v>
      </x:c>
      <x:c r="I24" s="36" t="str">
        <x:v>Calm, factual and privacy-preserving.</x:v>
      </x:c>
      <x:c r="J24" s="36" t="str">
        <x:v>Moderation logs, reports, decisions.</x:v>
      </x:c>
      <x:c r="K24" s="36" t="str">
        <x:v>Immediate safety risk ended and controls updated.</x:v>
      </x:c>
    </x:row>
    <x:row r="25">
      <x:c r="A25" s="27" t="str">
        <x:v>PB-21</x:v>
      </x:c>
      <x:c r="B25" s="36" t="str">
        <x:v>Malicious/tampered build report</x:v>
      </x:c>
      <x:c r="C25" s="36" t="str">
        <x:v>User or tool reports altered package/malware</x:v>
      </x:c>
      <x:c r="D25" s="36" t="str">
        <x:v>Security/Build</x:v>
      </x:c>
      <x:c r="E25" s="36" t="str">
        <x:v>Publishing</x:v>
      </x:c>
      <x:c r="F25" s="36" t="str">
        <x:v>Pause distribution; capture reported sample/hash without executing unsafely.</x:v>
      </x:c>
      <x:c r="G25" s="36" t="str">
        <x:v>Compare official hashes/signatures and investigate pipeline.</x:v>
      </x:c>
      <x:c r="H25" s="36" t="str">
        <x:v>Replace/revoke affected artifacts; publish verified hashes/status.</x:v>
      </x:c>
      <x:c r="I25" s="36" t="str">
        <x:v>Treat report seriously without confirming until evidence.</x:v>
      </x:c>
      <x:c r="J25" s="36" t="str">
        <x:v>Samples, hashes, scan results, build provenance.</x:v>
      </x:c>
      <x:c r="K25" s="36" t="str">
        <x:v>Official pipeline trusted and public artifact status clear.</x:v>
      </x:c>
    </x:row>
    <x:row r="26">
      <x:c r="A26" s="27" t="str">
        <x:v>PB-22</x:v>
      </x:c>
      <x:c r="B26" s="36" t="str">
        <x:v>Mass regression after update</x:v>
      </x:c>
      <x:c r="C26" s="36" t="str">
        <x:v>Patch causes widespread saves/crashes/gameplay failures</x:v>
      </x:c>
      <x:c r="D26" s="36" t="str">
        <x:v>Live Ops Lead</x:v>
      </x:c>
      <x:c r="E26" s="36" t="str">
        <x:v>QA/Engineering</x:v>
      </x:c>
      <x:c r="F26" s="36" t="str">
        <x:v>Pause rollout; preserve affected saves/logs; prepare rollback.</x:v>
      </x:c>
      <x:c r="G26" s="36" t="str">
        <x:v>Measure scope and choose rollback/hotfix/recovery tool.</x:v>
      </x:c>
      <x:c r="H26" s="36" t="str">
        <x:v>Deploy, monitor and document postmortem.</x:v>
      </x:c>
      <x:c r="I26" s="36" t="str">
        <x:v>Fast acknowledgement, known workaround and update cadence.</x:v>
      </x:c>
      <x:c r="J26" s="36" t="str">
        <x:v>Version/build, metrics, tickets, repro and rollback logs.</x:v>
      </x:c>
      <x:c r="K26" s="36" t="str">
        <x:v>Failure rate normal and recovery complete.</x:v>
      </x:c>
    </x:row>
    <x:row r="27">
      <x:c r="A27" s="27" t="str">
        <x:v>PB-23</x:v>
      </x:c>
      <x:c r="B27" s="36" t="str">
        <x:v>Supplier/contractor non-delivery</x:v>
      </x:c>
      <x:c r="C27" s="36" t="str">
        <x:v>Critical external deliverable missed or unusable</x:v>
      </x:c>
      <x:c r="D27" s="36" t="str">
        <x:v>Production</x:v>
      </x:c>
      <x:c r="E27" s="36" t="str">
        <x:v>Project Owner</x:v>
      </x:c>
      <x:c r="F27" s="36" t="str">
        <x:v>Confirm scope/status and stop dependent commitments.</x:v>
      </x:c>
      <x:c r="G27" s="36" t="str">
        <x:v>Assess substitute, internal fallback and rights to existing work.</x:v>
      </x:c>
      <x:c r="H27" s="36" t="str">
        <x:v>Terminate/renegotiate or replan with replacement.</x:v>
      </x:c>
      <x:c r="I27" s="36" t="str">
        <x:v>Private contractual handling.</x:v>
      </x:c>
      <x:c r="J27" s="36" t="str">
        <x:v>Contract, milestones, communications, files delivered.</x:v>
      </x:c>
      <x:c r="K27" s="36" t="str">
        <x:v>Dependency removed or new delivery plan accepted.</x:v>
      </x:c>
    </x:row>
    <x:row r="28">
      <x:c r="A28" s="27" t="str">
        <x:v>PB-24</x:v>
      </x:c>
      <x:c r="B28" s="36" t="str">
        <x:v>Misinformation/impersonation</x:v>
      </x:c>
      <x:c r="C28" s="36" t="str">
        <x:v>False statements or fake accounts confuse users</x:v>
      </x:c>
      <x:c r="D28" s="36" t="str">
        <x:v>Marketing Lead</x:v>
      </x:c>
      <x:c r="E28" s="36" t="str">
        <x:v>Security/Legal</x:v>
      </x:c>
      <x:c r="F28" s="36" t="str">
        <x:v>Capture evidence; secure official accounts; report impersonation.</x:v>
      </x:c>
      <x:c r="G28" s="36" t="str">
        <x:v>Publish verified clarification only if impact warrants.</x:v>
      </x:c>
      <x:c r="H28" s="36" t="str">
        <x:v>Strengthen identity links and monitor recurrence.</x:v>
      </x:c>
      <x:c r="I28" s="36" t="str">
        <x:v>Point to official sources; avoid amplifying unnecessarily.</x:v>
      </x:c>
      <x:c r="J28" s="36" t="str">
        <x:v>Screenshots/URLs, platform reports, official post.</x:v>
      </x:c>
      <x:c r="K28" s="36" t="str">
        <x:v>False source removed/contained and users redirected.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03b4c95d69e476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9" hidden="0" customWidth="1"/>
    <x:col min="6" max="6" width="72" hidden="0" customWidth="1"/>
    <x:col min="7" max="7" width="28" hidden="0" customWidth="1"/>
    <x:col min="8" max="8" width="40" hidden="0" customWidth="1"/>
    <x:col min="9" max="9" width="60" hidden="0" customWidth="1"/>
    <x:col min="10" max="10" width="18" hidden="0" customWidth="1"/>
  </x:cols>
  <x:sheetData>
    <x:row r="1" ht="36" customHeight="1">
      <x:c r="A1" s="5" t="str">
        <x:v>09 — Ordered Recovery Runbooks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3" t="str">
        <x:v>Step-by-step procedures for clean recovery. Operators must record result and evidence rather than treating the text as proof of execution.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1" t="str">
        <x:v>Runbook ID</x:v>
      </x:c>
      <x:c r="B4" s="21" t="str">
        <x:v>Runbook</x:v>
      </x:c>
      <x:c r="C4" s="21" t="str">
        <x:v>BIA ID</x:v>
      </x:c>
      <x:c r="D4" s="21" t="str">
        <x:v>Playbook ID</x:v>
      </x:c>
      <x:c r="E4" s="21" t="str">
        <x:v>Step</x:v>
      </x:c>
      <x:c r="F4" s="21" t="str">
        <x:v>Procedure</x:v>
      </x:c>
      <x:c r="G4" s="21" t="str">
        <x:v>Responsible Role</x:v>
      </x:c>
      <x:c r="H4" s="21" t="str">
        <x:v>Execution Result</x:v>
      </x:c>
      <x:c r="I4" s="21" t="str">
        <x:v>Required Evidence / Notes</x:v>
      </x:c>
      <x:c r="J4" s="21" t="str">
        <x:v>State</x:v>
      </x:c>
    </x:row>
    <x:row r="5">
      <x:c r="A5" s="27" t="str">
        <x:v>RB-01</x:v>
      </x:c>
      <x:c r="B5" s="36" t="str">
        <x:v>Clean repository recovery</x:v>
      </x:c>
      <x:c r="C5" s="36" t="str">
        <x:v>BIA-04</x:v>
      </x:c>
      <x:c r="D5" s="36" t="str">
        <x:v>PB-04</x:v>
      </x:c>
      <x:c r="E5" s="36" t="n">
        <x:v>1</x:v>
      </x:c>
      <x:c r="F5" s="36" t="str">
        <x:v>Select clean hardware/network</x:v>
      </x:c>
      <x:c r="G5" s="36" t="str">
        <x:v>Owner named in playbook</x:v>
      </x:c>
      <x:c r="H5" s="36" t="str">
        <x:v>Not started</x:v>
      </x:c>
      <x:c r="I5" s="36" t="str">
        <x:v>Required evidence: timestamp, operator, result and link.</x:v>
      </x:c>
      <x:c r="J5" s="36" t="str">
        <x:v>OPEN</x:v>
      </x:c>
    </x:row>
    <x:row r="6">
      <x:c r="A6" s="27" t="str">
        <x:v>RB-01</x:v>
      </x:c>
      <x:c r="B6" s="36" t="str">
        <x:v>Clean repository recovery</x:v>
      </x:c>
      <x:c r="C6" s="36" t="str">
        <x:v>BIA-04</x:v>
      </x:c>
      <x:c r="D6" s="36" t="str">
        <x:v>PB-04</x:v>
      </x:c>
      <x:c r="E6" s="36" t="n">
        <x:v>2</x:v>
      </x:c>
      <x:c r="F6" s="36" t="str">
        <x:v>Retrieve offline/remote repository copy</x:v>
      </x:c>
      <x:c r="G6" s="36" t="str">
        <x:v>Owner named in playbook</x:v>
      </x:c>
      <x:c r="H6" s="36" t="str">
        <x:v>Not started</x:v>
      </x:c>
      <x:c r="I6" s="36" t="str">
        <x:v>Required evidence: timestamp, operator, result and link.</x:v>
      </x:c>
      <x:c r="J6" s="36" t="str">
        <x:v>OPEN</x:v>
      </x:c>
    </x:row>
    <x:row r="7">
      <x:c r="A7" s="27" t="str">
        <x:v>RB-01</x:v>
      </x:c>
      <x:c r="B7" s="36" t="str">
        <x:v>Clean repository recovery</x:v>
      </x:c>
      <x:c r="C7" s="36" t="str">
        <x:v>BIA-04</x:v>
      </x:c>
      <x:c r="D7" s="36" t="str">
        <x:v>PB-04</x:v>
      </x:c>
      <x:c r="E7" s="36" t="n">
        <x:v>3</x:v>
      </x:c>
      <x:c r="F7" s="36" t="str">
        <x:v>Verify bundle/clone hash and Git integrity</x:v>
      </x:c>
      <x:c r="G7" s="36" t="str">
        <x:v>Owner named in playbook</x:v>
      </x:c>
      <x:c r="H7" s="36" t="str">
        <x:v>Not started</x:v>
      </x:c>
      <x:c r="I7" s="36" t="str">
        <x:v>Required evidence: timestamp, operator, result and link.</x:v>
      </x:c>
      <x:c r="J7" s="36" t="str">
        <x:v>OPEN</x:v>
      </x:c>
    </x:row>
    <x:row r="8">
      <x:c r="A8" s="27" t="str">
        <x:v>RB-01</x:v>
      </x:c>
      <x:c r="B8" s="36" t="str">
        <x:v>Clean repository recovery</x:v>
      </x:c>
      <x:c r="C8" s="36" t="str">
        <x:v>BIA-04</x:v>
      </x:c>
      <x:c r="D8" s="36" t="str">
        <x:v>PB-04</x:v>
      </x:c>
      <x:c r="E8" s="36" t="n">
        <x:v>4</x:v>
      </x:c>
      <x:c r="F8" s="36" t="str">
        <x:v>Checkout last approved commit/tag</x:v>
      </x:c>
      <x:c r="G8" s="36" t="str">
        <x:v>Owner named in playbook</x:v>
      </x:c>
      <x:c r="H8" s="36" t="str">
        <x:v>Not started</x:v>
      </x:c>
      <x:c r="I8" s="36" t="str">
        <x:v>Required evidence: timestamp, operator, result and link.</x:v>
      </x:c>
      <x:c r="J8" s="36" t="str">
        <x:v>OPEN</x:v>
      </x:c>
    </x:row>
    <x:row r="9">
      <x:c r="A9" s="27" t="str">
        <x:v>RB-01</x:v>
      </x:c>
      <x:c r="B9" s="36" t="str">
        <x:v>Clean repository recovery</x:v>
      </x:c>
      <x:c r="C9" s="36" t="str">
        <x:v>BIA-04</x:v>
      </x:c>
      <x:c r="D9" s="36" t="str">
        <x:v>PB-04</x:v>
      </x:c>
      <x:c r="E9" s="36" t="n">
        <x:v>5</x:v>
      </x:c>
      <x:c r="F9" s="36" t="str">
        <x:v>Restore pinned Unity and package versions</x:v>
      </x:c>
      <x:c r="G9" s="36" t="str">
        <x:v>Owner named in playbook</x:v>
      </x:c>
      <x:c r="H9" s="36" t="str">
        <x:v>Not started</x:v>
      </x:c>
      <x:c r="I9" s="36" t="str">
        <x:v>Required evidence: timestamp, operator, result and link.</x:v>
      </x:c>
      <x:c r="J9" s="36" t="str">
        <x:v>OPEN</x:v>
      </x:c>
    </x:row>
    <x:row r="10">
      <x:c r="A10" s="27" t="str">
        <x:v>RB-01</x:v>
      </x:c>
      <x:c r="B10" s="36" t="str">
        <x:v>Clean repository recovery</x:v>
      </x:c>
      <x:c r="C10" s="36" t="str">
        <x:v>BIA-04</x:v>
      </x:c>
      <x:c r="D10" s="36" t="str">
        <x:v>PB-04</x:v>
      </x:c>
      <x:c r="E10" s="36" t="n">
        <x:v>6</x:v>
      </x:c>
      <x:c r="F10" s="36" t="str">
        <x:v>Open project and capture import log</x:v>
      </x:c>
      <x:c r="G10" s="36" t="str">
        <x:v>Owner named in playbook</x:v>
      </x:c>
      <x:c r="H10" s="36" t="str">
        <x:v>Not started</x:v>
      </x:c>
      <x:c r="I10" s="36" t="str">
        <x:v>Required evidence: timestamp, operator, result and link.</x:v>
      </x:c>
      <x:c r="J10" s="36" t="str">
        <x:v>OPEN</x:v>
      </x:c>
    </x:row>
    <x:row r="11">
      <x:c r="A11" s="27" t="str">
        <x:v>RB-01</x:v>
      </x:c>
      <x:c r="B11" s="36" t="str">
        <x:v>Clean repository recovery</x:v>
      </x:c>
      <x:c r="C11" s="36" t="str">
        <x:v>BIA-04</x:v>
      </x:c>
      <x:c r="D11" s="36" t="str">
        <x:v>PB-04</x:v>
      </x:c>
      <x:c r="E11" s="36" t="n">
        <x:v>7</x:v>
      </x:c>
      <x:c r="F11" s="36" t="str">
        <x:v>Run automated tests</x:v>
      </x:c>
      <x:c r="G11" s="36" t="str">
        <x:v>Owner named in playbook</x:v>
      </x:c>
      <x:c r="H11" s="36" t="str">
        <x:v>Not started</x:v>
      </x:c>
      <x:c r="I11" s="36" t="str">
        <x:v>Required evidence: timestamp, operator, result and link.</x:v>
      </x:c>
      <x:c r="J11" s="36" t="str">
        <x:v>OPEN</x:v>
      </x:c>
    </x:row>
    <x:row r="12">
      <x:c r="A12" s="27" t="str">
        <x:v>RB-01</x:v>
      </x:c>
      <x:c r="B12" s="36" t="str">
        <x:v>Clean repository recovery</x:v>
      </x:c>
      <x:c r="C12" s="36" t="str">
        <x:v>BIA-04</x:v>
      </x:c>
      <x:c r="D12" s="36" t="str">
        <x:v>PB-04</x:v>
      </x:c>
      <x:c r="E12" s="36" t="n">
        <x:v>8</x:v>
      </x:c>
      <x:c r="F12" s="36" t="str">
        <x:v>Create development build</x:v>
      </x:c>
      <x:c r="G12" s="36" t="str">
        <x:v>Owner named in playbook</x:v>
      </x:c>
      <x:c r="H12" s="36" t="str">
        <x:v>Not started</x:v>
      </x:c>
      <x:c r="I12" s="36" t="str">
        <x:v>Required evidence: timestamp, operator, result and link.</x:v>
      </x:c>
      <x:c r="J12" s="36" t="str">
        <x:v>OPEN</x:v>
      </x:c>
    </x:row>
    <x:row r="13">
      <x:c r="A13" s="27" t="str">
        <x:v>RB-01</x:v>
      </x:c>
      <x:c r="B13" s="36" t="str">
        <x:v>Clean repository recovery</x:v>
      </x:c>
      <x:c r="C13" s="36" t="str">
        <x:v>BIA-04</x:v>
      </x:c>
      <x:c r="D13" s="36" t="str">
        <x:v>PB-04</x:v>
      </x:c>
      <x:c r="E13" s="36" t="n">
        <x:v>9</x:v>
      </x:c>
      <x:c r="F13" s="36" t="str">
        <x:v>Execute smoke/Golden Path subset</x:v>
      </x:c>
      <x:c r="G13" s="36" t="str">
        <x:v>Owner named in playbook</x:v>
      </x:c>
      <x:c r="H13" s="36" t="str">
        <x:v>Not started</x:v>
      </x:c>
      <x:c r="I13" s="36" t="str">
        <x:v>Required evidence: timestamp, operator, result and link.</x:v>
      </x:c>
      <x:c r="J13" s="36" t="str">
        <x:v>OPEN</x:v>
      </x:c>
    </x:row>
    <x:row r="14">
      <x:c r="A14" s="27" t="str">
        <x:v>RB-01</x:v>
      </x:c>
      <x:c r="B14" s="36" t="str">
        <x:v>Clean repository recovery</x:v>
      </x:c>
      <x:c r="C14" s="36" t="str">
        <x:v>BIA-04</x:v>
      </x:c>
      <x:c r="D14" s="36" t="str">
        <x:v>PB-04</x:v>
      </x:c>
      <x:c r="E14" s="36" t="n">
        <x:v>10</x:v>
      </x:c>
      <x:c r="F14" s="36" t="str">
        <x:v>Record recovered state, RPO gap and signoff</x:v>
      </x:c>
      <x:c r="G14" s="36" t="str">
        <x:v>Owner named in playbook</x:v>
      </x:c>
      <x:c r="H14" s="36" t="str">
        <x:v>Not started</x:v>
      </x:c>
      <x:c r="I14" s="36" t="str">
        <x:v>Required evidence: timestamp, operator, result and link.</x:v>
      </x:c>
      <x:c r="J14" s="36" t="str">
        <x:v>OPEN</x:v>
      </x:c>
    </x:row>
    <x:row r="15">
      <x:c r="A15" s="27" t="str">
        <x:v>RB-02</x:v>
      </x:c>
      <x:c r="B15" s="36" t="str">
        <x:v>Unity workstation rebuild</x:v>
      </x:c>
      <x:c r="C15" s="36" t="str">
        <x:v>BIA-16</x:v>
      </x:c>
      <x:c r="D15" s="36" t="str">
        <x:v>PB-16</x:v>
      </x:c>
      <x:c r="E15" s="36" t="n">
        <x:v>1</x:v>
      </x:c>
      <x:c r="F15" s="36" t="str">
        <x:v>Inventory replacement hardware</x:v>
      </x:c>
      <x:c r="G15" s="36" t="str">
        <x:v>Owner named in playbook</x:v>
      </x:c>
      <x:c r="H15" s="36" t="str">
        <x:v>Not started</x:v>
      </x:c>
      <x:c r="I15" s="36" t="str">
        <x:v>Required evidence: timestamp, operator, result and link.</x:v>
      </x:c>
      <x:c r="J15" s="36" t="str">
        <x:v>OPEN</x:v>
      </x:c>
    </x:row>
    <x:row r="16">
      <x:c r="A16" s="27" t="str">
        <x:v>RB-02</x:v>
      </x:c>
      <x:c r="B16" s="36" t="str">
        <x:v>Unity workstation rebuild</x:v>
      </x:c>
      <x:c r="C16" s="36" t="str">
        <x:v>BIA-16</x:v>
      </x:c>
      <x:c r="D16" s="36" t="str">
        <x:v>PB-16</x:v>
      </x:c>
      <x:c r="E16" s="36" t="n">
        <x:v>2</x:v>
      </x:c>
      <x:c r="F16" s="36" t="str">
        <x:v>Apply OS updates and security baseline</x:v>
      </x:c>
      <x:c r="G16" s="36" t="str">
        <x:v>Owner named in playbook</x:v>
      </x:c>
      <x:c r="H16" s="36" t="str">
        <x:v>Not started</x:v>
      </x:c>
      <x:c r="I16" s="36" t="str">
        <x:v>Required evidence: timestamp, operator, result and link.</x:v>
      </x:c>
      <x:c r="J16" s="36" t="str">
        <x:v>OPEN</x:v>
      </x:c>
    </x:row>
    <x:row r="17">
      <x:c r="A17" s="27" t="str">
        <x:v>RB-02</x:v>
      </x:c>
      <x:c r="B17" s="36" t="str">
        <x:v>Unity workstation rebuild</x:v>
      </x:c>
      <x:c r="C17" s="36" t="str">
        <x:v>BIA-16</x:v>
      </x:c>
      <x:c r="D17" s="36" t="str">
        <x:v>PB-16</x:v>
      </x:c>
      <x:c r="E17" s="36" t="n">
        <x:v>3</x:v>
      </x:c>
      <x:c r="F17" s="36" t="str">
        <x:v>Install approved Unity Hub/editor version</x:v>
      </x:c>
      <x:c r="G17" s="36" t="str">
        <x:v>Owner named in playbook</x:v>
      </x:c>
      <x:c r="H17" s="36" t="str">
        <x:v>Not started</x:v>
      </x:c>
      <x:c r="I17" s="36" t="str">
        <x:v>Required evidence: timestamp, operator, result and link.</x:v>
      </x:c>
      <x:c r="J17" s="36" t="str">
        <x:v>OPEN</x:v>
      </x:c>
    </x:row>
    <x:row r="18">
      <x:c r="A18" s="27" t="str">
        <x:v>RB-02</x:v>
      </x:c>
      <x:c r="B18" s="36" t="str">
        <x:v>Unity workstation rebuild</x:v>
      </x:c>
      <x:c r="C18" s="36" t="str">
        <x:v>BIA-16</x:v>
      </x:c>
      <x:c r="D18" s="36" t="str">
        <x:v>PB-16</x:v>
      </x:c>
      <x:c r="E18" s="36" t="n">
        <x:v>4</x:v>
      </x:c>
      <x:c r="F18" s="36" t="str">
        <x:v>Install required SDK/tools</x:v>
      </x:c>
      <x:c r="G18" s="36" t="str">
        <x:v>Owner named in playbook</x:v>
      </x:c>
      <x:c r="H18" s="36" t="str">
        <x:v>Not started</x:v>
      </x:c>
      <x:c r="I18" s="36" t="str">
        <x:v>Required evidence: timestamp, operator, result and link.</x:v>
      </x:c>
      <x:c r="J18" s="36" t="str">
        <x:v>OPEN</x:v>
      </x:c>
    </x:row>
    <x:row r="19">
      <x:c r="A19" s="27" t="str">
        <x:v>RB-02</x:v>
      </x:c>
      <x:c r="B19" s="36" t="str">
        <x:v>Unity workstation rebuild</x:v>
      </x:c>
      <x:c r="C19" s="36" t="str">
        <x:v>BIA-16</x:v>
      </x:c>
      <x:c r="D19" s="36" t="str">
        <x:v>PB-16</x:v>
      </x:c>
      <x:c r="E19" s="36" t="n">
        <x:v>5</x:v>
      </x:c>
      <x:c r="F19" s="36" t="str">
        <x:v>Restore credentials through secure channel</x:v>
      </x:c>
      <x:c r="G19" s="36" t="str">
        <x:v>Owner named in playbook</x:v>
      </x:c>
      <x:c r="H19" s="36" t="str">
        <x:v>Not started</x:v>
      </x:c>
      <x:c r="I19" s="36" t="str">
        <x:v>Required evidence: timestamp, operator, result and link.</x:v>
      </x:c>
      <x:c r="J19" s="36" t="str">
        <x:v>OPEN</x:v>
      </x:c>
    </x:row>
    <x:row r="20">
      <x:c r="A20" s="27" t="str">
        <x:v>RB-02</x:v>
      </x:c>
      <x:c r="B20" s="36" t="str">
        <x:v>Unity workstation rebuild</x:v>
      </x:c>
      <x:c r="C20" s="36" t="str">
        <x:v>BIA-16</x:v>
      </x:c>
      <x:c r="D20" s="36" t="str">
        <x:v>PB-16</x:v>
      </x:c>
      <x:c r="E20" s="36" t="n">
        <x:v>6</x:v>
      </x:c>
      <x:c r="F20" s="36" t="str">
        <x:v>Clone verified repository</x:v>
      </x:c>
      <x:c r="G20" s="36" t="str">
        <x:v>Owner named in playbook</x:v>
      </x:c>
      <x:c r="H20" s="36" t="str">
        <x:v>Not started</x:v>
      </x:c>
      <x:c r="I20" s="36" t="str">
        <x:v>Required evidence: timestamp, operator, result and link.</x:v>
      </x:c>
      <x:c r="J20" s="36" t="str">
        <x:v>OPEN</x:v>
      </x:c>
    </x:row>
    <x:row r="21">
      <x:c r="A21" s="27" t="str">
        <x:v>RB-02</x:v>
      </x:c>
      <x:c r="B21" s="36" t="str">
        <x:v>Unity workstation rebuild</x:v>
      </x:c>
      <x:c r="C21" s="36" t="str">
        <x:v>BIA-16</x:v>
      </x:c>
      <x:c r="D21" s="36" t="str">
        <x:v>PB-16</x:v>
      </x:c>
      <x:c r="E21" s="36" t="n">
        <x:v>7</x:v>
      </x:c>
      <x:c r="F21" s="36" t="str">
        <x:v>Restore DCC/tool configuration</x:v>
      </x:c>
      <x:c r="G21" s="36" t="str">
        <x:v>Owner named in playbook</x:v>
      </x:c>
      <x:c r="H21" s="36" t="str">
        <x:v>Not started</x:v>
      </x:c>
      <x:c r="I21" s="36" t="str">
        <x:v>Required evidence: timestamp, operator, result and link.</x:v>
      </x:c>
      <x:c r="J21" s="36" t="str">
        <x:v>OPEN</x:v>
      </x:c>
    </x:row>
    <x:row r="22">
      <x:c r="A22" s="27" t="str">
        <x:v>RB-02</x:v>
      </x:c>
      <x:c r="B22" s="36" t="str">
        <x:v>Unity workstation rebuild</x:v>
      </x:c>
      <x:c r="C22" s="36" t="str">
        <x:v>BIA-16</x:v>
      </x:c>
      <x:c r="D22" s="36" t="str">
        <x:v>PB-16</x:v>
      </x:c>
      <x:c r="E22" s="36" t="n">
        <x:v>8</x:v>
      </x:c>
      <x:c r="F22" s="36" t="str">
        <x:v>Import project and compare settings</x:v>
      </x:c>
      <x:c r="G22" s="36" t="str">
        <x:v>Owner named in playbook</x:v>
      </x:c>
      <x:c r="H22" s="36" t="str">
        <x:v>Not started</x:v>
      </x:c>
      <x:c r="I22" s="36" t="str">
        <x:v>Required evidence: timestamp, operator, result and link.</x:v>
      </x:c>
      <x:c r="J22" s="36" t="str">
        <x:v>OPEN</x:v>
      </x:c>
    </x:row>
    <x:row r="23">
      <x:c r="A23" s="27" t="str">
        <x:v>RB-02</x:v>
      </x:c>
      <x:c r="B23" s="36" t="str">
        <x:v>Unity workstation rebuild</x:v>
      </x:c>
      <x:c r="C23" s="36" t="str">
        <x:v>BIA-16</x:v>
      </x:c>
      <x:c r="D23" s="36" t="str">
        <x:v>PB-16</x:v>
      </x:c>
      <x:c r="E23" s="36" t="n">
        <x:v>9</x:v>
      </x:c>
      <x:c r="F23" s="36" t="str">
        <x:v>Build and run validation suite</x:v>
      </x:c>
      <x:c r="G23" s="36" t="str">
        <x:v>Owner named in playbook</x:v>
      </x:c>
      <x:c r="H23" s="36" t="str">
        <x:v>Not started</x:v>
      </x:c>
      <x:c r="I23" s="36" t="str">
        <x:v>Required evidence: timestamp, operator, result and link.</x:v>
      </x:c>
      <x:c r="J23" s="36" t="str">
        <x:v>OPEN</x:v>
      </x:c>
    </x:row>
    <x:row r="24">
      <x:c r="A24" s="27" t="str">
        <x:v>RB-02</x:v>
      </x:c>
      <x:c r="B24" s="36" t="str">
        <x:v>Unity workstation rebuild</x:v>
      </x:c>
      <x:c r="C24" s="36" t="str">
        <x:v>BIA-16</x:v>
      </x:c>
      <x:c r="D24" s="36" t="str">
        <x:v>PB-16</x:v>
      </x:c>
      <x:c r="E24" s="36" t="n">
        <x:v>10</x:v>
      </x:c>
      <x:c r="F24" s="36" t="str">
        <x:v>Document elapsed time and deviations</x:v>
      </x:c>
      <x:c r="G24" s="36" t="str">
        <x:v>Owner named in playbook</x:v>
      </x:c>
      <x:c r="H24" s="36" t="str">
        <x:v>Not started</x:v>
      </x:c>
      <x:c r="I24" s="36" t="str">
        <x:v>Required evidence: timestamp, operator, result and link.</x:v>
      </x:c>
      <x:c r="J24" s="36" t="str">
        <x:v>OPEN</x:v>
      </x:c>
    </x:row>
    <x:row r="25">
      <x:c r="A25" s="27" t="str">
        <x:v>RB-03</x:v>
      </x:c>
      <x:c r="B25" s="36" t="str">
        <x:v>Documentation baseline restore</x:v>
      </x:c>
      <x:c r="C25" s="36" t="str">
        <x:v>BIA-17</x:v>
      </x:c>
      <x:c r="D25" s="36" t="str">
        <x:v>PB-17</x:v>
      </x:c>
      <x:c r="E25" s="36" t="n">
        <x:v>1</x:v>
      </x:c>
      <x:c r="F25" s="36" t="str">
        <x:v>Locate latest immutable ZIP and checksums</x:v>
      </x:c>
      <x:c r="G25" s="36" t="str">
        <x:v>Owner named in playbook</x:v>
      </x:c>
      <x:c r="H25" s="36" t="str">
        <x:v>Not started</x:v>
      </x:c>
      <x:c r="I25" s="36" t="str">
        <x:v>Required evidence: timestamp, operator, result and link.</x:v>
      </x:c>
      <x:c r="J25" s="36" t="str">
        <x:v>OPEN</x:v>
      </x:c>
    </x:row>
    <x:row r="26">
      <x:c r="A26" s="27" t="str">
        <x:v>RB-03</x:v>
      </x:c>
      <x:c r="B26" s="36" t="str">
        <x:v>Documentation baseline restore</x:v>
      </x:c>
      <x:c r="C26" s="36" t="str">
        <x:v>BIA-17</x:v>
      </x:c>
      <x:c r="D26" s="36" t="str">
        <x:v>PB-17</x:v>
      </x:c>
      <x:c r="E26" s="36" t="n">
        <x:v>2</x:v>
      </x:c>
      <x:c r="F26" s="36" t="str">
        <x:v>Copy archive to clean target</x:v>
      </x:c>
      <x:c r="G26" s="36" t="str">
        <x:v>Owner named in playbook</x:v>
      </x:c>
      <x:c r="H26" s="36" t="str">
        <x:v>Not started</x:v>
      </x:c>
      <x:c r="I26" s="36" t="str">
        <x:v>Required evidence: timestamp, operator, result and link.</x:v>
      </x:c>
      <x:c r="J26" s="36" t="str">
        <x:v>OPEN</x:v>
      </x:c>
    </x:row>
    <x:row r="27">
      <x:c r="A27" s="27" t="str">
        <x:v>RB-03</x:v>
      </x:c>
      <x:c r="B27" s="36" t="str">
        <x:v>Documentation baseline restore</x:v>
      </x:c>
      <x:c r="C27" s="36" t="str">
        <x:v>BIA-17</x:v>
      </x:c>
      <x:c r="D27" s="36" t="str">
        <x:v>PB-17</x:v>
      </x:c>
      <x:c r="E27" s="36" t="n">
        <x:v>3</x:v>
      </x:c>
      <x:c r="F27" s="36" t="str">
        <x:v>Verify package checksum</x:v>
      </x:c>
      <x:c r="G27" s="36" t="str">
        <x:v>Owner named in playbook</x:v>
      </x:c>
      <x:c r="H27" s="36" t="str">
        <x:v>Not started</x:v>
      </x:c>
      <x:c r="I27" s="36" t="str">
        <x:v>Required evidence: timestamp, operator, result and link.</x:v>
      </x:c>
      <x:c r="J27" s="36" t="str">
        <x:v>OPEN</x:v>
      </x:c>
    </x:row>
    <x:row r="28">
      <x:c r="A28" s="27" t="str">
        <x:v>RB-03</x:v>
      </x:c>
      <x:c r="B28" s="36" t="str">
        <x:v>Documentation baseline restore</x:v>
      </x:c>
      <x:c r="C28" s="36" t="str">
        <x:v>BIA-17</x:v>
      </x:c>
      <x:c r="D28" s="36" t="str">
        <x:v>PB-17</x:v>
      </x:c>
      <x:c r="E28" s="36" t="n">
        <x:v>4</x:v>
      </x:c>
      <x:c r="F28" s="36" t="str">
        <x:v>Extract without overwriting source</x:v>
      </x:c>
      <x:c r="G28" s="36" t="str">
        <x:v>Owner named in playbook</x:v>
      </x:c>
      <x:c r="H28" s="36" t="str">
        <x:v>Not started</x:v>
      </x:c>
      <x:c r="I28" s="36" t="str">
        <x:v>Required evidence: timestamp, operator, result and link.</x:v>
      </x:c>
      <x:c r="J28" s="36" t="str">
        <x:v>OPEN</x:v>
      </x:c>
    </x:row>
    <x:row r="29">
      <x:c r="A29" s="27" t="str">
        <x:v>RB-03</x:v>
      </x:c>
      <x:c r="B29" s="36" t="str">
        <x:v>Documentation baseline restore</x:v>
      </x:c>
      <x:c r="C29" s="36" t="str">
        <x:v>BIA-17</x:v>
      </x:c>
      <x:c r="D29" s="36" t="str">
        <x:v>PB-17</x:v>
      </x:c>
      <x:c r="E29" s="36" t="n">
        <x:v>5</x:v>
      </x:c>
      <x:c r="F29" s="36" t="str">
        <x:v>Verify each artifact against manifest</x:v>
      </x:c>
      <x:c r="G29" s="36" t="str">
        <x:v>Owner named in playbook</x:v>
      </x:c>
      <x:c r="H29" s="36" t="str">
        <x:v>Not started</x:v>
      </x:c>
      <x:c r="I29" s="36" t="str">
        <x:v>Required evidence: timestamp, operator, result and link.</x:v>
      </x:c>
      <x:c r="J29" s="36" t="str">
        <x:v>OPEN</x:v>
      </x:c>
    </x:row>
    <x:row r="30">
      <x:c r="A30" s="27" t="str">
        <x:v>RB-03</x:v>
      </x:c>
      <x:c r="B30" s="36" t="str">
        <x:v>Documentation baseline restore</x:v>
      </x:c>
      <x:c r="C30" s="36" t="str">
        <x:v>BIA-17</x:v>
      </x:c>
      <x:c r="D30" s="36" t="str">
        <x:v>PB-17</x:v>
      </x:c>
      <x:c r="E30" s="36" t="n">
        <x:v>6</x:v>
      </x:c>
      <x:c r="F30" s="36" t="str">
        <x:v>Open Markdown/Excel/PDF samples</x:v>
      </x:c>
      <x:c r="G30" s="36" t="str">
        <x:v>Owner named in playbook</x:v>
      </x:c>
      <x:c r="H30" s="36" t="str">
        <x:v>Not started</x:v>
      </x:c>
      <x:c r="I30" s="36" t="str">
        <x:v>Required evidence: timestamp, operator, result and link.</x:v>
      </x:c>
      <x:c r="J30" s="36" t="str">
        <x:v>OPEN</x:v>
      </x:c>
    </x:row>
    <x:row r="31">
      <x:c r="A31" s="27" t="str">
        <x:v>RB-03</x:v>
      </x:c>
      <x:c r="B31" s="36" t="str">
        <x:v>Documentation baseline restore</x:v>
      </x:c>
      <x:c r="C31" s="36" t="str">
        <x:v>BIA-17</x:v>
      </x:c>
      <x:c r="D31" s="36" t="str">
        <x:v>PB-17</x:v>
      </x:c>
      <x:c r="E31" s="36" t="n">
        <x:v>7</x:v>
      </x:c>
      <x:c r="F31" s="36" t="str">
        <x:v>Reconcile 00–34 presence and versions</x:v>
      </x:c>
      <x:c r="G31" s="36" t="str">
        <x:v>Owner named in playbook</x:v>
      </x:c>
      <x:c r="H31" s="36" t="str">
        <x:v>Not started</x:v>
      </x:c>
      <x:c r="I31" s="36" t="str">
        <x:v>Required evidence: timestamp, operator, result and link.</x:v>
      </x:c>
      <x:c r="J31" s="36" t="str">
        <x:v>OPEN</x:v>
      </x:c>
    </x:row>
    <x:row r="32">
      <x:c r="A32" s="27" t="str">
        <x:v>RB-03</x:v>
      </x:c>
      <x:c r="B32" s="36" t="str">
        <x:v>Documentation baseline restore</x:v>
      </x:c>
      <x:c r="C32" s="36" t="str">
        <x:v>BIA-17</x:v>
      </x:c>
      <x:c r="D32" s="36" t="str">
        <x:v>PB-17</x:v>
      </x:c>
      <x:c r="E32" s="36" t="n">
        <x:v>8</x:v>
      </x:c>
      <x:c r="F32" s="36" t="str">
        <x:v>Restore historical read-only archive</x:v>
      </x:c>
      <x:c r="G32" s="36" t="str">
        <x:v>Owner named in playbook</x:v>
      </x:c>
      <x:c r="H32" s="36" t="str">
        <x:v>Not started</x:v>
      </x:c>
      <x:c r="I32" s="36" t="str">
        <x:v>Required evidence: timestamp, operator, result and link.</x:v>
      </x:c>
      <x:c r="J32" s="36" t="str">
        <x:v>OPEN</x:v>
      </x:c>
    </x:row>
    <x:row r="33">
      <x:c r="A33" s="27" t="str">
        <x:v>RB-03</x:v>
      </x:c>
      <x:c r="B33" s="36" t="str">
        <x:v>Documentation baseline restore</x:v>
      </x:c>
      <x:c r="C33" s="36" t="str">
        <x:v>BIA-17</x:v>
      </x:c>
      <x:c r="D33" s="36" t="str">
        <x:v>PB-17</x:v>
      </x:c>
      <x:c r="E33" s="36" t="n">
        <x:v>9</x:v>
      </x:c>
      <x:c r="F33" s="36" t="str">
        <x:v>Run formula/link/error checks</x:v>
      </x:c>
      <x:c r="G33" s="36" t="str">
        <x:v>Owner named in playbook</x:v>
      </x:c>
      <x:c r="H33" s="36" t="str">
        <x:v>Not started</x:v>
      </x:c>
      <x:c r="I33" s="36" t="str">
        <x:v>Required evidence: timestamp, operator, result and link.</x:v>
      </x:c>
      <x:c r="J33" s="36" t="str">
        <x:v>OPEN</x:v>
      </x:c>
    </x:row>
    <x:row r="34">
      <x:c r="A34" s="27" t="str">
        <x:v>RB-03</x:v>
      </x:c>
      <x:c r="B34" s="36" t="str">
        <x:v>Documentation baseline restore</x:v>
      </x:c>
      <x:c r="C34" s="36" t="str">
        <x:v>BIA-17</x:v>
      </x:c>
      <x:c r="D34" s="36" t="str">
        <x:v>PB-17</x:v>
      </x:c>
      <x:c r="E34" s="36" t="n">
        <x:v>10</x:v>
      </x:c>
      <x:c r="F34" s="36" t="str">
        <x:v>Record result and update manifest/test log</x:v>
      </x:c>
      <x:c r="G34" s="36" t="str">
        <x:v>Owner named in playbook</x:v>
      </x:c>
      <x:c r="H34" s="36" t="str">
        <x:v>Not started</x:v>
      </x:c>
      <x:c r="I34" s="36" t="str">
        <x:v>Required evidence: timestamp, operator, result and link.</x:v>
      </x:c>
      <x:c r="J34" s="36" t="str">
        <x:v>OPEN</x:v>
      </x:c>
    </x:row>
    <x:row r="35">
      <x:c r="A35" s="27" t="str">
        <x:v>RB-04</x:v>
      </x:c>
      <x:c r="B35" s="36" t="str">
        <x:v>Save data recovery</x:v>
      </x:c>
      <x:c r="C35" s="36" t="str">
        <x:v>BIA-05</x:v>
      </x:c>
      <x:c r="D35" s="36" t="str">
        <x:v>PB-05</x:v>
      </x:c>
      <x:c r="E35" s="36" t="n">
        <x:v>1</x:v>
      </x:c>
      <x:c r="F35" s="36" t="str">
        <x:v>Stop all writes</x:v>
      </x:c>
      <x:c r="G35" s="36" t="str">
        <x:v>Owner named in playbook</x:v>
      </x:c>
      <x:c r="H35" s="36" t="str">
        <x:v>Not started</x:v>
      </x:c>
      <x:c r="I35" s="36" t="str">
        <x:v>Required evidence: timestamp, operator, result and link.</x:v>
      </x:c>
      <x:c r="J35" s="36" t="str">
        <x:v>OPEN</x:v>
      </x:c>
    </x:row>
    <x:row r="36">
      <x:c r="A36" s="27" t="str">
        <x:v>RB-04</x:v>
      </x:c>
      <x:c r="B36" s="36" t="str">
        <x:v>Save data recovery</x:v>
      </x:c>
      <x:c r="C36" s="36" t="str">
        <x:v>BIA-05</x:v>
      </x:c>
      <x:c r="D36" s="36" t="str">
        <x:v>PB-05</x:v>
      </x:c>
      <x:c r="E36" s="36" t="n">
        <x:v>2</x:v>
      </x:c>
      <x:c r="F36" s="36" t="str">
        <x:v>Duplicate primary/backup/logs read-only</x:v>
      </x:c>
      <x:c r="G36" s="36" t="str">
        <x:v>Owner named in playbook</x:v>
      </x:c>
      <x:c r="H36" s="36" t="str">
        <x:v>Not started</x:v>
      </x:c>
      <x:c r="I36" s="36" t="str">
        <x:v>Required evidence: timestamp, operator, result and link.</x:v>
      </x:c>
      <x:c r="J36" s="36" t="str">
        <x:v>OPEN</x:v>
      </x:c>
    </x:row>
    <x:row r="37">
      <x:c r="A37" s="27" t="str">
        <x:v>RB-04</x:v>
      </x:c>
      <x:c r="B37" s="36" t="str">
        <x:v>Save data recovery</x:v>
      </x:c>
      <x:c r="C37" s="36" t="str">
        <x:v>BIA-05</x:v>
      </x:c>
      <x:c r="D37" s="36" t="str">
        <x:v>PB-05</x:v>
      </x:c>
      <x:c r="E37" s="36" t="n">
        <x:v>3</x:v>
      </x:c>
      <x:c r="F37" s="36" t="str">
        <x:v>Record build/schema/slot and hashes</x:v>
      </x:c>
      <x:c r="G37" s="36" t="str">
        <x:v>Owner named in playbook</x:v>
      </x:c>
      <x:c r="H37" s="36" t="str">
        <x:v>Not started</x:v>
      </x:c>
      <x:c r="I37" s="36" t="str">
        <x:v>Required evidence: timestamp, operator, result and link.</x:v>
      </x:c>
      <x:c r="J37" s="36" t="str">
        <x:v>OPEN</x:v>
      </x:c>
    </x:row>
    <x:row r="38">
      <x:c r="A38" s="27" t="str">
        <x:v>RB-04</x:v>
      </x:c>
      <x:c r="B38" s="36" t="str">
        <x:v>Save data recovery</x:v>
      </x:c>
      <x:c r="C38" s="36" t="str">
        <x:v>BIA-05</x:v>
      </x:c>
      <x:c r="D38" s="36" t="str">
        <x:v>PB-05</x:v>
      </x:c>
      <x:c r="E38" s="36" t="n">
        <x:v>4</x:v>
      </x:c>
      <x:c r="F38" s="36" t="str">
        <x:v>Validate primary checksum/schema</x:v>
      </x:c>
      <x:c r="G38" s="36" t="str">
        <x:v>Owner named in playbook</x:v>
      </x:c>
      <x:c r="H38" s="36" t="str">
        <x:v>Not started</x:v>
      </x:c>
      <x:c r="I38" s="36" t="str">
        <x:v>Required evidence: timestamp, operator, result and link.</x:v>
      </x:c>
      <x:c r="J38" s="36" t="str">
        <x:v>OPEN</x:v>
      </x:c>
    </x:row>
    <x:row r="39">
      <x:c r="A39" s="27" t="str">
        <x:v>RB-04</x:v>
      </x:c>
      <x:c r="B39" s="36" t="str">
        <x:v>Save data recovery</x:v>
      </x:c>
      <x:c r="C39" s="36" t="str">
        <x:v>BIA-05</x:v>
      </x:c>
      <x:c r="D39" s="36" t="str">
        <x:v>PB-05</x:v>
      </x:c>
      <x:c r="E39" s="36" t="n">
        <x:v>5</x:v>
      </x:c>
      <x:c r="F39" s="36" t="str">
        <x:v>Validate backup independently</x:v>
      </x:c>
      <x:c r="G39" s="36" t="str">
        <x:v>Owner named in playbook</x:v>
      </x:c>
      <x:c r="H39" s="36" t="str">
        <x:v>Not started</x:v>
      </x:c>
      <x:c r="I39" s="36" t="str">
        <x:v>Required evidence: timestamp, operator, result and link.</x:v>
      </x:c>
      <x:c r="J39" s="36" t="str">
        <x:v>OPEN</x:v>
      </x:c>
    </x:row>
    <x:row r="40">
      <x:c r="A40" s="27" t="str">
        <x:v>RB-04</x:v>
      </x:c>
      <x:c r="B40" s="36" t="str">
        <x:v>Save data recovery</x:v>
      </x:c>
      <x:c r="C40" s="36" t="str">
        <x:v>BIA-05</x:v>
      </x:c>
      <x:c r="D40" s="36" t="str">
        <x:v>PB-05</x:v>
      </x:c>
      <x:c r="E40" s="36" t="n">
        <x:v>6</x:v>
      </x:c>
      <x:c r="F40" s="36" t="str">
        <x:v>Attempt recovery on copies only</x:v>
      </x:c>
      <x:c r="G40" s="36" t="str">
        <x:v>Owner named in playbook</x:v>
      </x:c>
      <x:c r="H40" s="36" t="str">
        <x:v>Not started</x:v>
      </x:c>
      <x:c r="I40" s="36" t="str">
        <x:v>Required evidence: timestamp, operator, result and link.</x:v>
      </x:c>
      <x:c r="J40" s="36" t="str">
        <x:v>OPEN</x:v>
      </x:c>
    </x:row>
    <x:row r="41">
      <x:c r="A41" s="27" t="str">
        <x:v>RB-04</x:v>
      </x:c>
      <x:c r="B41" s="36" t="str">
        <x:v>Save data recovery</x:v>
      </x:c>
      <x:c r="C41" s="36" t="str">
        <x:v>BIA-05</x:v>
      </x:c>
      <x:c r="D41" s="36" t="str">
        <x:v>PB-05</x:v>
      </x:c>
      <x:c r="E41" s="36" t="n">
        <x:v>7</x:v>
      </x:c>
      <x:c r="F41" s="36" t="str">
        <x:v>Run migration/repair tool if approved</x:v>
      </x:c>
      <x:c r="G41" s="36" t="str">
        <x:v>Owner named in playbook</x:v>
      </x:c>
      <x:c r="H41" s="36" t="str">
        <x:v>Not started</x:v>
      </x:c>
      <x:c r="I41" s="36" t="str">
        <x:v>Required evidence: timestamp, operator, result and link.</x:v>
      </x:c>
      <x:c r="J41" s="36" t="str">
        <x:v>OPEN</x:v>
      </x:c>
    </x:row>
    <x:row r="42">
      <x:c r="A42" s="27" t="str">
        <x:v>RB-04</x:v>
      </x:c>
      <x:c r="B42" s="36" t="str">
        <x:v>Save data recovery</x:v>
      </x:c>
      <x:c r="C42" s="36" t="str">
        <x:v>BIA-05</x:v>
      </x:c>
      <x:c r="D42" s="36" t="str">
        <x:v>PB-05</x:v>
      </x:c>
      <x:c r="E42" s="36" t="n">
        <x:v>8</x:v>
      </x:c>
      <x:c r="F42" s="36" t="str">
        <x:v>Launch isolated build and verify state</x:v>
      </x:c>
      <x:c r="G42" s="36" t="str">
        <x:v>Owner named in playbook</x:v>
      </x:c>
      <x:c r="H42" s="36" t="str">
        <x:v>Not started</x:v>
      </x:c>
      <x:c r="I42" s="36" t="str">
        <x:v>Required evidence: timestamp, operator, result and link.</x:v>
      </x:c>
      <x:c r="J42" s="36" t="str">
        <x:v>OPEN</x:v>
      </x:c>
    </x:row>
    <x:row r="43">
      <x:c r="A43" s="27" t="str">
        <x:v>RB-04</x:v>
      </x:c>
      <x:c r="B43" s="36" t="str">
        <x:v>Save data recovery</x:v>
      </x:c>
      <x:c r="C43" s="36" t="str">
        <x:v>BIA-05</x:v>
      </x:c>
      <x:c r="D43" s="36" t="str">
        <x:v>PB-05</x:v>
      </x:c>
      <x:c r="E43" s="36" t="n">
        <x:v>9</x:v>
      </x:c>
      <x:c r="F43" s="36" t="str">
        <x:v>Promote recovered file atomically</x:v>
      </x:c>
      <x:c r="G43" s="36" t="str">
        <x:v>Owner named in playbook</x:v>
      </x:c>
      <x:c r="H43" s="36" t="str">
        <x:v>Not started</x:v>
      </x:c>
      <x:c r="I43" s="36" t="str">
        <x:v>Required evidence: timestamp, operator, result and link.</x:v>
      </x:c>
      <x:c r="J43" s="36" t="str">
        <x:v>OPEN</x:v>
      </x:c>
    </x:row>
    <x:row r="44">
      <x:c r="A44" s="27" t="str">
        <x:v>RB-04</x:v>
      </x:c>
      <x:c r="B44" s="36" t="str">
        <x:v>Save data recovery</x:v>
      </x:c>
      <x:c r="C44" s="36" t="str">
        <x:v>BIA-05</x:v>
      </x:c>
      <x:c r="D44" s="36" t="str">
        <x:v>PB-05</x:v>
      </x:c>
      <x:c r="E44" s="36" t="n">
        <x:v>10</x:v>
      </x:c>
      <x:c r="F44" s="36" t="str">
        <x:v>Inform user/test record and preserve evidence</x:v>
      </x:c>
      <x:c r="G44" s="36" t="str">
        <x:v>Owner named in playbook</x:v>
      </x:c>
      <x:c r="H44" s="36" t="str">
        <x:v>Not started</x:v>
      </x:c>
      <x:c r="I44" s="36" t="str">
        <x:v>Required evidence: timestamp, operator, result and link.</x:v>
      </x:c>
      <x:c r="J44" s="36" t="str">
        <x:v>OPEN</x:v>
      </x:c>
    </x:row>
    <x:row r="45">
      <x:c r="A45" s="27" t="str">
        <x:v>RB-05</x:v>
      </x:c>
      <x:c r="B45" s="36" t="str">
        <x:v>Credential/account recovery</x:v>
      </x:c>
      <x:c r="C45" s="36" t="str">
        <x:v>BIA-08</x:v>
      </x:c>
      <x:c r="D45" s="36" t="str">
        <x:v>PB-08</x:v>
      </x:c>
      <x:c r="E45" s="36" t="n">
        <x:v>1</x:v>
      </x:c>
      <x:c r="F45" s="36" t="str">
        <x:v>Use trusted clean device</x:v>
      </x:c>
      <x:c r="G45" s="36" t="str">
        <x:v>Owner named in playbook</x:v>
      </x:c>
      <x:c r="H45" s="36" t="str">
        <x:v>Not started</x:v>
      </x:c>
      <x:c r="I45" s="36" t="str">
        <x:v>Required evidence: timestamp, operator, result and link.</x:v>
      </x:c>
      <x:c r="J45" s="36" t="str">
        <x:v>OPEN</x:v>
      </x:c>
    </x:row>
    <x:row r="46">
      <x:c r="A46" s="27" t="str">
        <x:v>RB-05</x:v>
      </x:c>
      <x:c r="B46" s="36" t="str">
        <x:v>Credential/account recovery</x:v>
      </x:c>
      <x:c r="C46" s="36" t="str">
        <x:v>BIA-08</x:v>
      </x:c>
      <x:c r="D46" s="36" t="str">
        <x:v>PB-08</x:v>
      </x:c>
      <x:c r="E46" s="36" t="n">
        <x:v>2</x:v>
      </x:c>
      <x:c r="F46" s="36" t="str">
        <x:v>Verify incident lead and owner identity</x:v>
      </x:c>
      <x:c r="G46" s="36" t="str">
        <x:v>Owner named in playbook</x:v>
      </x:c>
      <x:c r="H46" s="36" t="str">
        <x:v>Not started</x:v>
      </x:c>
      <x:c r="I46" s="36" t="str">
        <x:v>Required evidence: timestamp, operator, result and link.</x:v>
      </x:c>
      <x:c r="J46" s="36" t="str">
        <x:v>OPEN</x:v>
      </x:c>
    </x:row>
    <x:row r="47">
      <x:c r="A47" s="27" t="str">
        <x:v>RB-05</x:v>
      </x:c>
      <x:c r="B47" s="36" t="str">
        <x:v>Credential/account recovery</x:v>
      </x:c>
      <x:c r="C47" s="36" t="str">
        <x:v>BIA-08</x:v>
      </x:c>
      <x:c r="D47" s="36" t="str">
        <x:v>PB-08</x:v>
      </x:c>
      <x:c r="E47" s="36" t="n">
        <x:v>3</x:v>
      </x:c>
      <x:c r="F47" s="36" t="str">
        <x:v>Revoke active sessions/tokens</x:v>
      </x:c>
      <x:c r="G47" s="36" t="str">
        <x:v>Owner named in playbook</x:v>
      </x:c>
      <x:c r="H47" s="36" t="str">
        <x:v>Not started</x:v>
      </x:c>
      <x:c r="I47" s="36" t="str">
        <x:v>Required evidence: timestamp, operator, result and link.</x:v>
      </x:c>
      <x:c r="J47" s="36" t="str">
        <x:v>OPEN</x:v>
      </x:c>
    </x:row>
    <x:row r="48">
      <x:c r="A48" s="27" t="str">
        <x:v>RB-05</x:v>
      </x:c>
      <x:c r="B48" s="36" t="str">
        <x:v>Credential/account recovery</x:v>
      </x:c>
      <x:c r="C48" s="36" t="str">
        <x:v>BIA-08</x:v>
      </x:c>
      <x:c r="D48" s="36" t="str">
        <x:v>PB-08</x:v>
      </x:c>
      <x:c r="E48" s="36" t="n">
        <x:v>4</x:v>
      </x:c>
      <x:c r="F48" s="36" t="str">
        <x:v>Recover primary email/password manager</x:v>
      </x:c>
      <x:c r="G48" s="36" t="str">
        <x:v>Owner named in playbook</x:v>
      </x:c>
      <x:c r="H48" s="36" t="str">
        <x:v>Not started</x:v>
      </x:c>
      <x:c r="I48" s="36" t="str">
        <x:v>Required evidence: timestamp, operator, result and link.</x:v>
      </x:c>
      <x:c r="J48" s="36" t="str">
        <x:v>OPEN</x:v>
      </x:c>
    </x:row>
    <x:row r="49">
      <x:c r="A49" s="27" t="str">
        <x:v>RB-05</x:v>
      </x:c>
      <x:c r="B49" s="36" t="str">
        <x:v>Credential/account recovery</x:v>
      </x:c>
      <x:c r="C49" s="36" t="str">
        <x:v>BIA-08</x:v>
      </x:c>
      <x:c r="D49" s="36" t="str">
        <x:v>PB-08</x:v>
      </x:c>
      <x:c r="E49" s="36" t="n">
        <x:v>5</x:v>
      </x:c>
      <x:c r="F49" s="36" t="str">
        <x:v>Use offline recovery codes if required</x:v>
      </x:c>
      <x:c r="G49" s="36" t="str">
        <x:v>Owner named in playbook</x:v>
      </x:c>
      <x:c r="H49" s="36" t="str">
        <x:v>Not started</x:v>
      </x:c>
      <x:c r="I49" s="36" t="str">
        <x:v>Required evidence: timestamp, operator, result and link.</x:v>
      </x:c>
      <x:c r="J49" s="36" t="str">
        <x:v>OPEN</x:v>
      </x:c>
    </x:row>
    <x:row r="50">
      <x:c r="A50" s="27" t="str">
        <x:v>RB-05</x:v>
      </x:c>
      <x:c r="B50" s="36" t="str">
        <x:v>Credential/account recovery</x:v>
      </x:c>
      <x:c r="C50" s="36" t="str">
        <x:v>BIA-08</x:v>
      </x:c>
      <x:c r="D50" s="36" t="str">
        <x:v>PB-08</x:v>
      </x:c>
      <x:c r="E50" s="36" t="n">
        <x:v>6</x:v>
      </x:c>
      <x:c r="F50" s="36" t="str">
        <x:v>Rotate affected credentials</x:v>
      </x:c>
      <x:c r="G50" s="36" t="str">
        <x:v>Owner named in playbook</x:v>
      </x:c>
      <x:c r="H50" s="36" t="str">
        <x:v>Not started</x:v>
      </x:c>
      <x:c r="I50" s="36" t="str">
        <x:v>Required evidence: timestamp, operator, result and link.</x:v>
      </x:c>
      <x:c r="J50" s="36" t="str">
        <x:v>OPEN</x:v>
      </x:c>
    </x:row>
    <x:row r="51">
      <x:c r="A51" s="27" t="str">
        <x:v>RB-05</x:v>
      </x:c>
      <x:c r="B51" s="36" t="str">
        <x:v>Credential/account recovery</x:v>
      </x:c>
      <x:c r="C51" s="36" t="str">
        <x:v>BIA-08</x:v>
      </x:c>
      <x:c r="D51" s="36" t="str">
        <x:v>PB-08</x:v>
      </x:c>
      <x:c r="E51" s="36" t="n">
        <x:v>7</x:v>
      </x:c>
      <x:c r="F51" s="36" t="str">
        <x:v>Re-enrol MFA and regenerate backup codes</x:v>
      </x:c>
      <x:c r="G51" s="36" t="str">
        <x:v>Owner named in playbook</x:v>
      </x:c>
      <x:c r="H51" s="36" t="str">
        <x:v>Not started</x:v>
      </x:c>
      <x:c r="I51" s="36" t="str">
        <x:v>Required evidence: timestamp, operator, result and link.</x:v>
      </x:c>
      <x:c r="J51" s="36" t="str">
        <x:v>OPEN</x:v>
      </x:c>
    </x:row>
    <x:row r="52">
      <x:c r="A52" s="27" t="str">
        <x:v>RB-05</x:v>
      </x:c>
      <x:c r="B52" s="36" t="str">
        <x:v>Credential/account recovery</x:v>
      </x:c>
      <x:c r="C52" s="36" t="str">
        <x:v>BIA-08</x:v>
      </x:c>
      <x:c r="D52" s="36" t="str">
        <x:v>PB-08</x:v>
      </x:c>
      <x:c r="E52" s="36" t="n">
        <x:v>8</x:v>
      </x:c>
      <x:c r="F52" s="36" t="str">
        <x:v>Review roles/apps/keys</x:v>
      </x:c>
      <x:c r="G52" s="36" t="str">
        <x:v>Owner named in playbook</x:v>
      </x:c>
      <x:c r="H52" s="36" t="str">
        <x:v>Not started</x:v>
      </x:c>
      <x:c r="I52" s="36" t="str">
        <x:v>Required evidence: timestamp, operator, result and link.</x:v>
      </x:c>
      <x:c r="J52" s="36" t="str">
        <x:v>OPEN</x:v>
      </x:c>
    </x:row>
    <x:row r="53">
      <x:c r="A53" s="27" t="str">
        <x:v>RB-05</x:v>
      </x:c>
      <x:c r="B53" s="36" t="str">
        <x:v>Credential/account recovery</x:v>
      </x:c>
      <x:c r="C53" s="36" t="str">
        <x:v>BIA-08</x:v>
      </x:c>
      <x:c r="D53" s="36" t="str">
        <x:v>PB-08</x:v>
      </x:c>
      <x:c r="E53" s="36" t="n">
        <x:v>9</x:v>
      </x:c>
      <x:c r="F53" s="36" t="str">
        <x:v>Verify GitHub/Steam/domain access</x:v>
      </x:c>
      <x:c r="G53" s="36" t="str">
        <x:v>Owner named in playbook</x:v>
      </x:c>
      <x:c r="H53" s="36" t="str">
        <x:v>Not started</x:v>
      </x:c>
      <x:c r="I53" s="36" t="str">
        <x:v>Required evidence: timestamp, operator, result and link.</x:v>
      </x:c>
      <x:c r="J53" s="36" t="str">
        <x:v>OPEN</x:v>
      </x:c>
    </x:row>
    <x:row r="54">
      <x:c r="A54" s="27" t="str">
        <x:v>RB-05</x:v>
      </x:c>
      <x:c r="B54" s="36" t="str">
        <x:v>Credential/account recovery</x:v>
      </x:c>
      <x:c r="C54" s="36" t="str">
        <x:v>BIA-08</x:v>
      </x:c>
      <x:c r="D54" s="36" t="str">
        <x:v>PB-08</x:v>
      </x:c>
      <x:c r="E54" s="36" t="n">
        <x:v>10</x:v>
      </x:c>
      <x:c r="F54" s="36" t="str">
        <x:v>Seal new recovery copy and close timeline</x:v>
      </x:c>
      <x:c r="G54" s="36" t="str">
        <x:v>Owner named in playbook</x:v>
      </x:c>
      <x:c r="H54" s="36" t="str">
        <x:v>Not started</x:v>
      </x:c>
      <x:c r="I54" s="36" t="str">
        <x:v>Required evidence: timestamp, operator, result and link.</x:v>
      </x:c>
      <x:c r="J54" s="36" t="str">
        <x:v>OPEN</x:v>
      </x:c>
    </x:row>
    <x:row r="55">
      <x:c r="A55" s="27" t="str">
        <x:v>RB-06</x:v>
      </x:c>
      <x:c r="B55" s="36" t="str">
        <x:v>Steam publishing recovery</x:v>
      </x:c>
      <x:c r="C55" s="36" t="str">
        <x:v>BIA-11</x:v>
      </x:c>
      <x:c r="D55" s="36" t="str">
        <x:v>PB-11</x:v>
      </x:c>
      <x:c r="E55" s="36" t="n">
        <x:v>1</x:v>
      </x:c>
      <x:c r="F55" s="36" t="str">
        <x:v>Pause release/campaign</x:v>
      </x:c>
      <x:c r="G55" s="36" t="str">
        <x:v>Owner named in playbook</x:v>
      </x:c>
      <x:c r="H55" s="36" t="str">
        <x:v>Not started</x:v>
      </x:c>
      <x:c r="I55" s="36" t="str">
        <x:v>Required evidence: timestamp, operator, result and link.</x:v>
      </x:c>
      <x:c r="J55" s="36" t="str">
        <x:v>OPEN</x:v>
      </x:c>
    </x:row>
    <x:row r="56">
      <x:c r="A56" s="27" t="str">
        <x:v>RB-06</x:v>
      </x:c>
      <x:c r="B56" s="36" t="str">
        <x:v>Steam publishing recovery</x:v>
      </x:c>
      <x:c r="C56" s="36" t="str">
        <x:v>BIA-11</x:v>
      </x:c>
      <x:c r="D56" s="36" t="str">
        <x:v>PB-11</x:v>
      </x:c>
      <x:c r="E56" s="36" t="n">
        <x:v>2</x:v>
      </x:c>
      <x:c r="F56" s="36" t="str">
        <x:v>Record live branches/depots/store state</x:v>
      </x:c>
      <x:c r="G56" s="36" t="str">
        <x:v>Owner named in playbook</x:v>
      </x:c>
      <x:c r="H56" s="36" t="str">
        <x:v>Not started</x:v>
      </x:c>
      <x:c r="I56" s="36" t="str">
        <x:v>Required evidence: timestamp, operator, result and link.</x:v>
      </x:c>
      <x:c r="J56" s="36" t="str">
        <x:v>OPEN</x:v>
      </x:c>
    </x:row>
    <x:row r="57">
      <x:c r="A57" s="27" t="str">
        <x:v>RB-06</x:v>
      </x:c>
      <x:c r="B57" s="36" t="str">
        <x:v>Steam publishing recovery</x:v>
      </x:c>
      <x:c r="C57" s="36" t="str">
        <x:v>BIA-11</x:v>
      </x:c>
      <x:c r="D57" s="36" t="str">
        <x:v>PB-11</x:v>
      </x:c>
      <x:c r="E57" s="36" t="n">
        <x:v>3</x:v>
      </x:c>
      <x:c r="F57" s="36" t="str">
        <x:v>Confirm authorized accounts and MFA</x:v>
      </x:c>
      <x:c r="G57" s="36" t="str">
        <x:v>Owner named in playbook</x:v>
      </x:c>
      <x:c r="H57" s="36" t="str">
        <x:v>Not started</x:v>
      </x:c>
      <x:c r="I57" s="36" t="str">
        <x:v>Required evidence: timestamp, operator, result and link.</x:v>
      </x:c>
      <x:c r="J57" s="36" t="str">
        <x:v>OPEN</x:v>
      </x:c>
    </x:row>
    <x:row r="58">
      <x:c r="A58" s="27" t="str">
        <x:v>RB-06</x:v>
      </x:c>
      <x:c r="B58" s="36" t="str">
        <x:v>Steam publishing recovery</x:v>
      </x:c>
      <x:c r="C58" s="36" t="str">
        <x:v>BIA-11</x:v>
      </x:c>
      <x:c r="D58" s="36" t="str">
        <x:v>PB-11</x:v>
      </x:c>
      <x:c r="E58" s="36" t="n">
        <x:v>4</x:v>
      </x:c>
      <x:c r="F58" s="36" t="str">
        <x:v>Identify last known-good build/hash</x:v>
      </x:c>
      <x:c r="G58" s="36" t="str">
        <x:v>Owner named in playbook</x:v>
      </x:c>
      <x:c r="H58" s="36" t="str">
        <x:v>Not started</x:v>
      </x:c>
      <x:c r="I58" s="36" t="str">
        <x:v>Required evidence: timestamp, operator, result and link.</x:v>
      </x:c>
      <x:c r="J58" s="36" t="str">
        <x:v>OPEN</x:v>
      </x:c>
    </x:row>
    <x:row r="59">
      <x:c r="A59" s="27" t="str">
        <x:v>RB-06</x:v>
      </x:c>
      <x:c r="B59" s="36" t="str">
        <x:v>Steam publishing recovery</x:v>
      </x:c>
      <x:c r="C59" s="36" t="str">
        <x:v>BIA-11</x:v>
      </x:c>
      <x:c r="D59" s="36" t="str">
        <x:v>PB-11</x:v>
      </x:c>
      <x:c r="E59" s="36" t="n">
        <x:v>5</x:v>
      </x:c>
      <x:c r="F59" s="36" t="str">
        <x:v>Compare VDF/depot configuration</x:v>
      </x:c>
      <x:c r="G59" s="36" t="str">
        <x:v>Owner named in playbook</x:v>
      </x:c>
      <x:c r="H59" s="36" t="str">
        <x:v>Not started</x:v>
      </x:c>
      <x:c r="I59" s="36" t="str">
        <x:v>Required evidence: timestamp, operator, result and link.</x:v>
      </x:c>
      <x:c r="J59" s="36" t="str">
        <x:v>OPEN</x:v>
      </x:c>
    </x:row>
    <x:row r="60">
      <x:c r="A60" s="27" t="str">
        <x:v>RB-06</x:v>
      </x:c>
      <x:c r="B60" s="36" t="str">
        <x:v>Steam publishing recovery</x:v>
      </x:c>
      <x:c r="C60" s="36" t="str">
        <x:v>BIA-11</x:v>
      </x:c>
      <x:c r="D60" s="36" t="str">
        <x:v>PB-11</x:v>
      </x:c>
      <x:c r="E60" s="36" t="n">
        <x:v>6</x:v>
      </x:c>
      <x:c r="F60" s="36" t="str">
        <x:v>Rollback or upload corrected build</x:v>
      </x:c>
      <x:c r="G60" s="36" t="str">
        <x:v>Owner named in playbook</x:v>
      </x:c>
      <x:c r="H60" s="36" t="str">
        <x:v>Not started</x:v>
      </x:c>
      <x:c r="I60" s="36" t="str">
        <x:v>Required evidence: timestamp, operator, result and link.</x:v>
      </x:c>
      <x:c r="J60" s="36" t="str">
        <x:v>OPEN</x:v>
      </x:c>
    </x:row>
    <x:row r="61">
      <x:c r="A61" s="27" t="str">
        <x:v>RB-06</x:v>
      </x:c>
      <x:c r="B61" s="36" t="str">
        <x:v>Steam publishing recovery</x:v>
      </x:c>
      <x:c r="C61" s="36" t="str">
        <x:v>BIA-11</x:v>
      </x:c>
      <x:c r="D61" s="36" t="str">
        <x:v>PB-11</x:v>
      </x:c>
      <x:c r="E61" s="36" t="n">
        <x:v>7</x:v>
      </x:c>
      <x:c r="F61" s="36" t="str">
        <x:v>Run branch smoke test</x:v>
      </x:c>
      <x:c r="G61" s="36" t="str">
        <x:v>Owner named in playbook</x:v>
      </x:c>
      <x:c r="H61" s="36" t="str">
        <x:v>Not started</x:v>
      </x:c>
      <x:c r="I61" s="36" t="str">
        <x:v>Required evidence: timestamp, operator, result and link.</x:v>
      </x:c>
      <x:c r="J61" s="36" t="str">
        <x:v>OPEN</x:v>
      </x:c>
    </x:row>
    <x:row r="62">
      <x:c r="A62" s="27" t="str">
        <x:v>RB-06</x:v>
      </x:c>
      <x:c r="B62" s="36" t="str">
        <x:v>Steam publishing recovery</x:v>
      </x:c>
      <x:c r="C62" s="36" t="str">
        <x:v>BIA-11</x:v>
      </x:c>
      <x:c r="D62" s="36" t="str">
        <x:v>PB-11</x:v>
      </x:c>
      <x:c r="E62" s="36" t="n">
        <x:v>8</x:v>
      </x:c>
      <x:c r="F62" s="36" t="str">
        <x:v>Correct store copy/assets if needed</x:v>
      </x:c>
      <x:c r="G62" s="36" t="str">
        <x:v>Owner named in playbook</x:v>
      </x:c>
      <x:c r="H62" s="36" t="str">
        <x:v>Not started</x:v>
      </x:c>
      <x:c r="I62" s="36" t="str">
        <x:v>Required evidence: timestamp, operator, result and link.</x:v>
      </x:c>
      <x:c r="J62" s="36" t="str">
        <x:v>OPEN</x:v>
      </x:c>
    </x:row>
    <x:row r="63">
      <x:c r="A63" s="27" t="str">
        <x:v>RB-06</x:v>
      </x:c>
      <x:c r="B63" s="36" t="str">
        <x:v>Steam publishing recovery</x:v>
      </x:c>
      <x:c r="C63" s="36" t="str">
        <x:v>BIA-11</x:v>
      </x:c>
      <x:c r="D63" s="36" t="str">
        <x:v>PB-11</x:v>
      </x:c>
      <x:c r="E63" s="36" t="n">
        <x:v>9</x:v>
      </x:c>
      <x:c r="F63" s="36" t="str">
        <x:v>Publish approved status/patch notes</x:v>
      </x:c>
      <x:c r="G63" s="36" t="str">
        <x:v>Owner named in playbook</x:v>
      </x:c>
      <x:c r="H63" s="36" t="str">
        <x:v>Not started</x:v>
      </x:c>
      <x:c r="I63" s="36" t="str">
        <x:v>Required evidence: timestamp, operator, result and link.</x:v>
      </x:c>
      <x:c r="J63" s="36" t="str">
        <x:v>OPEN</x:v>
      </x:c>
    </x:row>
    <x:row r="64">
      <x:c r="A64" s="27" t="str">
        <x:v>RB-06</x:v>
      </x:c>
      <x:c r="B64" s="36" t="str">
        <x:v>Steam publishing recovery</x:v>
      </x:c>
      <x:c r="C64" s="36" t="str">
        <x:v>BIA-11</x:v>
      </x:c>
      <x:c r="D64" s="36" t="str">
        <x:v>PB-11</x:v>
      </x:c>
      <x:c r="E64" s="36" t="n">
        <x:v>10</x:v>
      </x:c>
      <x:c r="F64" s="36" t="str">
        <x:v>Monitor and archive Steam evidence</x:v>
      </x:c>
      <x:c r="G64" s="36" t="str">
        <x:v>Owner named in playbook</x:v>
      </x:c>
      <x:c r="H64" s="36" t="str">
        <x:v>Not started</x:v>
      </x:c>
      <x:c r="I64" s="36" t="str">
        <x:v>Required evidence: timestamp, operator, result and link.</x:v>
      </x:c>
      <x:c r="J64" s="36" t="str">
        <x:v>OPEN</x:v>
      </x:c>
    </x:row>
    <x:row r="65">
      <x:c r="A65" s="27" t="str">
        <x:v>RB-07</x:v>
      </x:c>
      <x:c r="B65" s="36" t="str">
        <x:v>Art/audio source recovery</x:v>
      </x:c>
      <x:c r="C65" s="36" t="str">
        <x:v>BIA-13</x:v>
      </x:c>
      <x:c r="D65" s="36" t="str">
        <x:v>PB-13</x:v>
      </x:c>
      <x:c r="E65" s="36" t="n">
        <x:v>1</x:v>
      </x:c>
      <x:c r="F65" s="36" t="str">
        <x:v>Quarantine damaged/missing asset path</x:v>
      </x:c>
      <x:c r="G65" s="36" t="str">
        <x:v>Owner named in playbook</x:v>
      </x:c>
      <x:c r="H65" s="36" t="str">
        <x:v>Not started</x:v>
      </x:c>
      <x:c r="I65" s="36" t="str">
        <x:v>Required evidence: timestamp, operator, result and link.</x:v>
      </x:c>
      <x:c r="J65" s="36" t="str">
        <x:v>OPEN</x:v>
      </x:c>
    </x:row>
    <x:row r="66">
      <x:c r="A66" s="27" t="str">
        <x:v>RB-07</x:v>
      </x:c>
      <x:c r="B66" s="36" t="str">
        <x:v>Art/audio source recovery</x:v>
      </x:c>
      <x:c r="C66" s="36" t="str">
        <x:v>BIA-13</x:v>
      </x:c>
      <x:c r="D66" s="36" t="str">
        <x:v>PB-13</x:v>
      </x:c>
      <x:c r="E66" s="36" t="n">
        <x:v>2</x:v>
      </x:c>
      <x:c r="F66" s="36" t="str">
        <x:v>Identify source, derivatives and dependencies</x:v>
      </x:c>
      <x:c r="G66" s="36" t="str">
        <x:v>Owner named in playbook</x:v>
      </x:c>
      <x:c r="H66" s="36" t="str">
        <x:v>Not started</x:v>
      </x:c>
      <x:c r="I66" s="36" t="str">
        <x:v>Required evidence: timestamp, operator, result and link.</x:v>
      </x:c>
      <x:c r="J66" s="36" t="str">
        <x:v>OPEN</x:v>
      </x:c>
    </x:row>
    <x:row r="67">
      <x:c r="A67" s="27" t="str">
        <x:v>RB-07</x:v>
      </x:c>
      <x:c r="B67" s="36" t="str">
        <x:v>Art/audio source recovery</x:v>
      </x:c>
      <x:c r="C67" s="36" t="str">
        <x:v>BIA-13</x:v>
      </x:c>
      <x:c r="D67" s="36" t="str">
        <x:v>PB-13</x:v>
      </x:c>
      <x:c r="E67" s="36" t="n">
        <x:v>3</x:v>
      </x:c>
      <x:c r="F67" s="36" t="str">
        <x:v>Locate verified offsite source copy</x:v>
      </x:c>
      <x:c r="G67" s="36" t="str">
        <x:v>Owner named in playbook</x:v>
      </x:c>
      <x:c r="H67" s="36" t="str">
        <x:v>Not started</x:v>
      </x:c>
      <x:c r="I67" s="36" t="str">
        <x:v>Required evidence: timestamp, operator, result and link.</x:v>
      </x:c>
      <x:c r="J67" s="36" t="str">
        <x:v>OPEN</x:v>
      </x:c>
    </x:row>
    <x:row r="68">
      <x:c r="A68" s="27" t="str">
        <x:v>RB-07</x:v>
      </x:c>
      <x:c r="B68" s="36" t="str">
        <x:v>Art/audio source recovery</x:v>
      </x:c>
      <x:c r="C68" s="36" t="str">
        <x:v>BIA-13</x:v>
      </x:c>
      <x:c r="D68" s="36" t="str">
        <x:v>PB-13</x:v>
      </x:c>
      <x:c r="E68" s="36" t="n">
        <x:v>4</x:v>
      </x:c>
      <x:c r="F68" s="36" t="str">
        <x:v>Verify license/provenance</x:v>
      </x:c>
      <x:c r="G68" s="36" t="str">
        <x:v>Owner named in playbook</x:v>
      </x:c>
      <x:c r="H68" s="36" t="str">
        <x:v>Not started</x:v>
      </x:c>
      <x:c r="I68" s="36" t="str">
        <x:v>Required evidence: timestamp, operator, result and link.</x:v>
      </x:c>
      <x:c r="J68" s="36" t="str">
        <x:v>OPEN</x:v>
      </x:c>
    </x:row>
    <x:row r="69">
      <x:c r="A69" s="27" t="str">
        <x:v>RB-07</x:v>
      </x:c>
      <x:c r="B69" s="36" t="str">
        <x:v>Art/audio source recovery</x:v>
      </x:c>
      <x:c r="C69" s="36" t="str">
        <x:v>BIA-13</x:v>
      </x:c>
      <x:c r="D69" s="36" t="str">
        <x:v>PB-13</x:v>
      </x:c>
      <x:c r="E69" s="36" t="n">
        <x:v>5</x:v>
      </x:c>
      <x:c r="F69" s="36" t="str">
        <x:v>Restore without changing GUID unnecessarily</x:v>
      </x:c>
      <x:c r="G69" s="36" t="str">
        <x:v>Owner named in playbook</x:v>
      </x:c>
      <x:c r="H69" s="36" t="str">
        <x:v>Not started</x:v>
      </x:c>
      <x:c r="I69" s="36" t="str">
        <x:v>Required evidence: timestamp, operator, result and link.</x:v>
      </x:c>
      <x:c r="J69" s="36" t="str">
        <x:v>OPEN</x:v>
      </x:c>
    </x:row>
    <x:row r="70">
      <x:c r="A70" s="27" t="str">
        <x:v>RB-07</x:v>
      </x:c>
      <x:c r="B70" s="36" t="str">
        <x:v>Art/audio source recovery</x:v>
      </x:c>
      <x:c r="C70" s="36" t="str">
        <x:v>BIA-13</x:v>
      </x:c>
      <x:c r="D70" s="36" t="str">
        <x:v>PB-13</x:v>
      </x:c>
      <x:c r="E70" s="36" t="n">
        <x:v>6</x:v>
      </x:c>
      <x:c r="F70" s="36" t="str">
        <x:v>Open in approved DCC tool</x:v>
      </x:c>
      <x:c r="G70" s="36" t="str">
        <x:v>Owner named in playbook</x:v>
      </x:c>
      <x:c r="H70" s="36" t="str">
        <x:v>Not started</x:v>
      </x:c>
      <x:c r="I70" s="36" t="str">
        <x:v>Required evidence: timestamp, operator, result and link.</x:v>
      </x:c>
      <x:c r="J70" s="36" t="str">
        <x:v>OPEN</x:v>
      </x:c>
    </x:row>
    <x:row r="71">
      <x:c r="A71" s="27" t="str">
        <x:v>RB-07</x:v>
      </x:c>
      <x:c r="B71" s="36" t="str">
        <x:v>Art/audio source recovery</x:v>
      </x:c>
      <x:c r="C71" s="36" t="str">
        <x:v>BIA-13</x:v>
      </x:c>
      <x:c r="D71" s="36" t="str">
        <x:v>PB-13</x:v>
      </x:c>
      <x:c r="E71" s="36" t="n">
        <x:v>7</x:v>
      </x:c>
      <x:c r="F71" s="36" t="str">
        <x:v>Regenerate exports with documented settings</x:v>
      </x:c>
      <x:c r="G71" s="36" t="str">
        <x:v>Owner named in playbook</x:v>
      </x:c>
      <x:c r="H71" s="36" t="str">
        <x:v>Not started</x:v>
      </x:c>
      <x:c r="I71" s="36" t="str">
        <x:v>Required evidence: timestamp, operator, result and link.</x:v>
      </x:c>
      <x:c r="J71" s="36" t="str">
        <x:v>OPEN</x:v>
      </x:c>
    </x:row>
    <x:row r="72">
      <x:c r="A72" s="27" t="str">
        <x:v>RB-07</x:v>
      </x:c>
      <x:c r="B72" s="36" t="str">
        <x:v>Art/audio source recovery</x:v>
      </x:c>
      <x:c r="C72" s="36" t="str">
        <x:v>BIA-13</x:v>
      </x:c>
      <x:c r="D72" s="36" t="str">
        <x:v>PB-13</x:v>
      </x:c>
      <x:c r="E72" s="36" t="n">
        <x:v>8</x:v>
      </x:c>
      <x:c r="F72" s="36" t="str">
        <x:v>Reimport and inspect scenes/prefabs</x:v>
      </x:c>
      <x:c r="G72" s="36" t="str">
        <x:v>Owner named in playbook</x:v>
      </x:c>
      <x:c r="H72" s="36" t="str">
        <x:v>Not started</x:v>
      </x:c>
      <x:c r="I72" s="36" t="str">
        <x:v>Required evidence: timestamp, operator, result and link.</x:v>
      </x:c>
      <x:c r="J72" s="36" t="str">
        <x:v>OPEN</x:v>
      </x:c>
    </x:row>
    <x:row r="73">
      <x:c r="A73" s="27" t="str">
        <x:v>RB-07</x:v>
      </x:c>
      <x:c r="B73" s="36" t="str">
        <x:v>Art/audio source recovery</x:v>
      </x:c>
      <x:c r="C73" s="36" t="str">
        <x:v>BIA-13</x:v>
      </x:c>
      <x:c r="D73" s="36" t="str">
        <x:v>PB-13</x:v>
      </x:c>
      <x:c r="E73" s="36" t="n">
        <x:v>9</x:v>
      </x:c>
      <x:c r="F73" s="36" t="str">
        <x:v>Profile/build/smoke affected content</x:v>
      </x:c>
      <x:c r="G73" s="36" t="str">
        <x:v>Owner named in playbook</x:v>
      </x:c>
      <x:c r="H73" s="36" t="str">
        <x:v>Not started</x:v>
      </x:c>
      <x:c r="I73" s="36" t="str">
        <x:v>Required evidence: timestamp, operator, result and link.</x:v>
      </x:c>
      <x:c r="J73" s="36" t="str">
        <x:v>OPEN</x:v>
      </x:c>
    </x:row>
    <x:row r="74">
      <x:c r="A74" s="27" t="str">
        <x:v>RB-07</x:v>
      </x:c>
      <x:c r="B74" s="36" t="str">
        <x:v>Art/audio source recovery</x:v>
      </x:c>
      <x:c r="C74" s="36" t="str">
        <x:v>BIA-13</x:v>
      </x:c>
      <x:c r="D74" s="36" t="str">
        <x:v>PB-13</x:v>
      </x:c>
      <x:c r="E74" s="36" t="n">
        <x:v>10</x:v>
      </x:c>
      <x:c r="F74" s="36" t="str">
        <x:v>Record hashes and source-of-truth path</x:v>
      </x:c>
      <x:c r="G74" s="36" t="str">
        <x:v>Owner named in playbook</x:v>
      </x:c>
      <x:c r="H74" s="36" t="str">
        <x:v>Not started</x:v>
      </x:c>
      <x:c r="I74" s="36" t="str">
        <x:v>Required evidence: timestamp, operator, result and link.</x:v>
      </x:c>
      <x:c r="J74" s="36" t="str">
        <x:v>OPEN</x:v>
      </x:c>
    </x:row>
    <x:row r="75">
      <x:c r="A75" s="27" t="str">
        <x:v>RB-08</x:v>
      </x:c>
      <x:c r="B75" s="36" t="str">
        <x:v>Total-loss project recovery</x:v>
      </x:c>
      <x:c r="C75" s="36" t="str">
        <x:v>BIA-18</x:v>
      </x:c>
      <x:c r="D75" s="36" t="str">
        <x:v>PB-18</x:v>
      </x:c>
      <x:c r="E75" s="36" t="n">
        <x:v>1</x:v>
      </x:c>
      <x:c r="F75" s="36" t="str">
        <x:v>Declare recovery coordinator and safe channel</x:v>
      </x:c>
      <x:c r="G75" s="36" t="str">
        <x:v>Owner named in playbook</x:v>
      </x:c>
      <x:c r="H75" s="36" t="str">
        <x:v>Not started</x:v>
      </x:c>
      <x:c r="I75" s="36" t="str">
        <x:v>Required evidence: timestamp, operator, result and link.</x:v>
      </x:c>
      <x:c r="J75" s="36" t="str">
        <x:v>OPEN</x:v>
      </x:c>
    </x:row>
    <x:row r="76">
      <x:c r="A76" s="27" t="str">
        <x:v>RB-08</x:v>
      </x:c>
      <x:c r="B76" s="36" t="str">
        <x:v>Total-loss project recovery</x:v>
      </x:c>
      <x:c r="C76" s="36" t="str">
        <x:v>BIA-18</x:v>
      </x:c>
      <x:c r="D76" s="36" t="str">
        <x:v>PB-18</x:v>
      </x:c>
      <x:c r="E76" s="36" t="n">
        <x:v>2</x:v>
      </x:c>
      <x:c r="F76" s="36" t="str">
        <x:v>Secure accounts and revoke lost devices</x:v>
      </x:c>
      <x:c r="G76" s="36" t="str">
        <x:v>Owner named in playbook</x:v>
      </x:c>
      <x:c r="H76" s="36" t="str">
        <x:v>Not started</x:v>
      </x:c>
      <x:c r="I76" s="36" t="str">
        <x:v>Required evidence: timestamp, operator, result and link.</x:v>
      </x:c>
      <x:c r="J76" s="36" t="str">
        <x:v>OPEN</x:v>
      </x:c>
    </x:row>
    <x:row r="77">
      <x:c r="A77" s="27" t="str">
        <x:v>RB-08</x:v>
      </x:c>
      <x:c r="B77" s="36" t="str">
        <x:v>Total-loss project recovery</x:v>
      </x:c>
      <x:c r="C77" s="36" t="str">
        <x:v>BIA-18</x:v>
      </x:c>
      <x:c r="D77" s="36" t="str">
        <x:v>PB-18</x:v>
      </x:c>
      <x:c r="E77" s="36" t="n">
        <x:v>3</x:v>
      </x:c>
      <x:c r="F77" s="36" t="str">
        <x:v>Acquire clean hardware/location/connectivity</x:v>
      </x:c>
      <x:c r="G77" s="36" t="str">
        <x:v>Owner named in playbook</x:v>
      </x:c>
      <x:c r="H77" s="36" t="str">
        <x:v>Not started</x:v>
      </x:c>
      <x:c r="I77" s="36" t="str">
        <x:v>Required evidence: timestamp, operator, result and link.</x:v>
      </x:c>
      <x:c r="J77" s="36" t="str">
        <x:v>OPEN</x:v>
      </x:c>
    </x:row>
    <x:row r="78">
      <x:c r="A78" s="27" t="str">
        <x:v>RB-08</x:v>
      </x:c>
      <x:c r="B78" s="36" t="str">
        <x:v>Total-loss project recovery</x:v>
      </x:c>
      <x:c r="C78" s="36" t="str">
        <x:v>BIA-18</x:v>
      </x:c>
      <x:c r="D78" s="36" t="str">
        <x:v>PB-18</x:v>
      </x:c>
      <x:c r="E78" s="36" t="n">
        <x:v>4</x:v>
      </x:c>
      <x:c r="F78" s="36" t="str">
        <x:v>Restore credentials and repository</x:v>
      </x:c>
      <x:c r="G78" s="36" t="str">
        <x:v>Owner named in playbook</x:v>
      </x:c>
      <x:c r="H78" s="36" t="str">
        <x:v>Not started</x:v>
      </x:c>
      <x:c r="I78" s="36" t="str">
        <x:v>Required evidence: timestamp, operator, result and link.</x:v>
      </x:c>
      <x:c r="J78" s="36" t="str">
        <x:v>OPEN</x:v>
      </x:c>
    </x:row>
    <x:row r="79">
      <x:c r="A79" s="27" t="str">
        <x:v>RB-08</x:v>
      </x:c>
      <x:c r="B79" s="36" t="str">
        <x:v>Total-loss project recovery</x:v>
      </x:c>
      <x:c r="C79" s="36" t="str">
        <x:v>BIA-18</x:v>
      </x:c>
      <x:c r="D79" s="36" t="str">
        <x:v>PB-18</x:v>
      </x:c>
      <x:c r="E79" s="36" t="n">
        <x:v>5</x:v>
      </x:c>
      <x:c r="F79" s="36" t="str">
        <x:v>Restore documentation and current risk state</x:v>
      </x:c>
      <x:c r="G79" s="36" t="str">
        <x:v>Owner named in playbook</x:v>
      </x:c>
      <x:c r="H79" s="36" t="str">
        <x:v>Not started</x:v>
      </x:c>
      <x:c r="I79" s="36" t="str">
        <x:v>Required evidence: timestamp, operator, result and link.</x:v>
      </x:c>
      <x:c r="J79" s="36" t="str">
        <x:v>OPEN</x:v>
      </x:c>
    </x:row>
    <x:row r="80">
      <x:c r="A80" s="27" t="str">
        <x:v>RB-08</x:v>
      </x:c>
      <x:c r="B80" s="36" t="str">
        <x:v>Total-loss project recovery</x:v>
      </x:c>
      <x:c r="C80" s="36" t="str">
        <x:v>BIA-18</x:v>
      </x:c>
      <x:c r="D80" s="36" t="str">
        <x:v>PB-18</x:v>
      </x:c>
      <x:c r="E80" s="36" t="n">
        <x:v>6</x:v>
      </x:c>
      <x:c r="F80" s="36" t="str">
        <x:v>Restore source assets and legal evidence</x:v>
      </x:c>
      <x:c r="G80" s="36" t="str">
        <x:v>Owner named in playbook</x:v>
      </x:c>
      <x:c r="H80" s="36" t="str">
        <x:v>Not started</x:v>
      </x:c>
      <x:c r="I80" s="36" t="str">
        <x:v>Required evidence: timestamp, operator, result and link.</x:v>
      </x:c>
      <x:c r="J80" s="36" t="str">
        <x:v>OPEN</x:v>
      </x:c>
    </x:row>
    <x:row r="81">
      <x:c r="A81" s="27" t="str">
        <x:v>RB-08</x:v>
      </x:c>
      <x:c r="B81" s="36" t="str">
        <x:v>Total-loss project recovery</x:v>
      </x:c>
      <x:c r="C81" s="36" t="str">
        <x:v>BIA-18</x:v>
      </x:c>
      <x:c r="D81" s="36" t="str">
        <x:v>PB-18</x:v>
      </x:c>
      <x:c r="E81" s="36" t="n">
        <x:v>7</x:v>
      </x:c>
      <x:c r="F81" s="36" t="str">
        <x:v>Rebuild Unity/toolchain from guides</x:v>
      </x:c>
      <x:c r="G81" s="36" t="str">
        <x:v>Owner named in playbook</x:v>
      </x:c>
      <x:c r="H81" s="36" t="str">
        <x:v>Not started</x:v>
      </x:c>
      <x:c r="I81" s="36" t="str">
        <x:v>Required evidence: timestamp, operator, result and link.</x:v>
      </x:c>
      <x:c r="J81" s="36" t="str">
        <x:v>OPEN</x:v>
      </x:c>
    </x:row>
    <x:row r="82">
      <x:c r="A82" s="27" t="str">
        <x:v>RB-08</x:v>
      </x:c>
      <x:c r="B82" s="36" t="str">
        <x:v>Total-loss project recovery</x:v>
      </x:c>
      <x:c r="C82" s="36" t="str">
        <x:v>BIA-18</x:v>
      </x:c>
      <x:c r="D82" s="36" t="str">
        <x:v>PB-18</x:v>
      </x:c>
      <x:c r="E82" s="36" t="n">
        <x:v>8</x:v>
      </x:c>
      <x:c r="F82" s="36" t="str">
        <x:v>Run tests and create known-good build</x:v>
      </x:c>
      <x:c r="G82" s="36" t="str">
        <x:v>Owner named in playbook</x:v>
      </x:c>
      <x:c r="H82" s="36" t="str">
        <x:v>Not started</x:v>
      </x:c>
      <x:c r="I82" s="36" t="str">
        <x:v>Required evidence: timestamp, operator, result and link.</x:v>
      </x:c>
      <x:c r="J82" s="36" t="str">
        <x:v>OPEN</x:v>
      </x:c>
    </x:row>
    <x:row r="83">
      <x:c r="A83" s="27" t="str">
        <x:v>RB-08</x:v>
      </x:c>
      <x:c r="B83" s="36" t="str">
        <x:v>Total-loss project recovery</x:v>
      </x:c>
      <x:c r="C83" s="36" t="str">
        <x:v>BIA-18</x:v>
      </x:c>
      <x:c r="D83" s="36" t="str">
        <x:v>PB-18</x:v>
      </x:c>
      <x:c r="E83" s="36" t="n">
        <x:v>9</x:v>
      </x:c>
      <x:c r="F83" s="36" t="str">
        <x:v>Reconcile RPO gaps and re-enter production</x:v>
      </x:c>
      <x:c r="G83" s="36" t="str">
        <x:v>Owner named in playbook</x:v>
      </x:c>
      <x:c r="H83" s="36" t="str">
        <x:v>Not started</x:v>
      </x:c>
      <x:c r="I83" s="36" t="str">
        <x:v>Required evidence: timestamp, operator, result and link.</x:v>
      </x:c>
      <x:c r="J83" s="36" t="str">
        <x:v>OPEN</x:v>
      </x:c>
    </x:row>
    <x:row r="84">
      <x:c r="A84" s="27" t="str">
        <x:v>RB-08</x:v>
      </x:c>
      <x:c r="B84" s="36" t="str">
        <x:v>Total-loss project recovery</x:v>
      </x:c>
      <x:c r="C84" s="36" t="str">
        <x:v>BIA-18</x:v>
      </x:c>
      <x:c r="D84" s="36" t="str">
        <x:v>PB-18</x:v>
      </x:c>
      <x:c r="E84" s="36" t="n">
        <x:v>10</x:v>
      </x:c>
      <x:c r="F84" s="36" t="str">
        <x:v>Complete disaster review and improve controls</x:v>
      </x:c>
      <x:c r="G84" s="36" t="str">
        <x:v>Owner named in playbook</x:v>
      </x:c>
      <x:c r="H84" s="36" t="str">
        <x:v>Not started</x:v>
      </x:c>
      <x:c r="I84" s="36" t="str">
        <x:v>Required evidence: timestamp, operator, result and link.</x:v>
      </x:c>
      <x:c r="J84" s="36" t="str">
        <x:v>OPEN</x:v>
      </x:c>
    </x:row>
    <x:row r="85">
      <x:c r="A85" s="27" t="str">
        <x:v>RB-09</x:v>
      </x:c>
      <x:c r="B85" s="36" t="str">
        <x:v>QA evidence reconstruction</x:v>
      </x:c>
      <x:c r="C85" s="36" t="str">
        <x:v>BIA-06</x:v>
      </x:c>
      <x:c r="D85" s="36" t="str">
        <x:v>PB-06</x:v>
      </x:c>
      <x:c r="E85" s="36" t="n">
        <x:v>1</x:v>
      </x:c>
      <x:c r="F85" s="36" t="str">
        <x:v>Identify gate/build requiring evidence</x:v>
      </x:c>
      <x:c r="G85" s="36" t="str">
        <x:v>Owner named in playbook</x:v>
      </x:c>
      <x:c r="H85" s="36" t="str">
        <x:v>Not started</x:v>
      </x:c>
      <x:c r="I85" s="36" t="str">
        <x:v>Required evidence: timestamp, operator, result and link.</x:v>
      </x:c>
      <x:c r="J85" s="36" t="str">
        <x:v>OPEN</x:v>
      </x:c>
    </x:row>
    <x:row r="86">
      <x:c r="A86" s="27" t="str">
        <x:v>RB-09</x:v>
      </x:c>
      <x:c r="B86" s="36" t="str">
        <x:v>QA evidence reconstruction</x:v>
      </x:c>
      <x:c r="C86" s="36" t="str">
        <x:v>BIA-06</x:v>
      </x:c>
      <x:c r="D86" s="36" t="str">
        <x:v>PB-06</x:v>
      </x:c>
      <x:c r="E86" s="36" t="n">
        <x:v>2</x:v>
      </x:c>
      <x:c r="F86" s="36" t="str">
        <x:v>Verify build ID/hash and environment</x:v>
      </x:c>
      <x:c r="G86" s="36" t="str">
        <x:v>Owner named in playbook</x:v>
      </x:c>
      <x:c r="H86" s="36" t="str">
        <x:v>Not started</x:v>
      </x:c>
      <x:c r="I86" s="36" t="str">
        <x:v>Required evidence: timestamp, operator, result and link.</x:v>
      </x:c>
      <x:c r="J86" s="36" t="str">
        <x:v>OPEN</x:v>
      </x:c>
    </x:row>
    <x:row r="87">
      <x:c r="A87" s="27" t="str">
        <x:v>RB-09</x:v>
      </x:c>
      <x:c r="B87" s="36" t="str">
        <x:v>QA evidence reconstruction</x:v>
      </x:c>
      <x:c r="C87" s="36" t="str">
        <x:v>BIA-06</x:v>
      </x:c>
      <x:c r="D87" s="36" t="str">
        <x:v>PB-06</x:v>
      </x:c>
      <x:c r="E87" s="36" t="n">
        <x:v>3</x:v>
      </x:c>
      <x:c r="F87" s="36" t="str">
        <x:v>Restore checklist/matrix/defect snapshot</x:v>
      </x:c>
      <x:c r="G87" s="36" t="str">
        <x:v>Owner named in playbook</x:v>
      </x:c>
      <x:c r="H87" s="36" t="str">
        <x:v>Not started</x:v>
      </x:c>
      <x:c r="I87" s="36" t="str">
        <x:v>Required evidence: timestamp, operator, result and link.</x:v>
      </x:c>
      <x:c r="J87" s="36" t="str">
        <x:v>OPEN</x:v>
      </x:c>
    </x:row>
    <x:row r="88">
      <x:c r="A88" s="27" t="str">
        <x:v>RB-09</x:v>
      </x:c>
      <x:c r="B88" s="36" t="str">
        <x:v>QA evidence reconstruction</x:v>
      </x:c>
      <x:c r="C88" s="36" t="str">
        <x:v>BIA-06</x:v>
      </x:c>
      <x:c r="D88" s="36" t="str">
        <x:v>PB-06</x:v>
      </x:c>
      <x:c r="E88" s="36" t="n">
        <x:v>4</x:v>
      </x:c>
      <x:c r="F88" s="36" t="str">
        <x:v>Locate logs/screenshots/videos</x:v>
      </x:c>
      <x:c r="G88" s="36" t="str">
        <x:v>Owner named in playbook</x:v>
      </x:c>
      <x:c r="H88" s="36" t="str">
        <x:v>Not started</x:v>
      </x:c>
      <x:c r="I88" s="36" t="str">
        <x:v>Required evidence: timestamp, operator, result and link.</x:v>
      </x:c>
      <x:c r="J88" s="36" t="str">
        <x:v>OPEN</x:v>
      </x:c>
    </x:row>
    <x:row r="89">
      <x:c r="A89" s="27" t="str">
        <x:v>RB-09</x:v>
      </x:c>
      <x:c r="B89" s="36" t="str">
        <x:v>QA evidence reconstruction</x:v>
      </x:c>
      <x:c r="C89" s="36" t="str">
        <x:v>BIA-06</x:v>
      </x:c>
      <x:c r="D89" s="36" t="str">
        <x:v>PB-06</x:v>
      </x:c>
      <x:c r="E89" s="36" t="n">
        <x:v>5</x:v>
      </x:c>
      <x:c r="F89" s="36" t="str">
        <x:v>Mark unverifiable PASS as NOT RUN</x:v>
      </x:c>
      <x:c r="G89" s="36" t="str">
        <x:v>Owner named in playbook</x:v>
      </x:c>
      <x:c r="H89" s="36" t="str">
        <x:v>Not started</x:v>
      </x:c>
      <x:c r="I89" s="36" t="str">
        <x:v>Required evidence: timestamp, operator, result and link.</x:v>
      </x:c>
      <x:c r="J89" s="36" t="str">
        <x:v>OPEN</x:v>
      </x:c>
    </x:row>
    <x:row r="90">
      <x:c r="A90" s="27" t="str">
        <x:v>RB-09</x:v>
      </x:c>
      <x:c r="B90" s="36" t="str">
        <x:v>QA evidence reconstruction</x:v>
      </x:c>
      <x:c r="C90" s="36" t="str">
        <x:v>BIA-06</x:v>
      </x:c>
      <x:c r="D90" s="36" t="str">
        <x:v>PB-06</x:v>
      </x:c>
      <x:c r="E90" s="36" t="n">
        <x:v>6</x:v>
      </x:c>
      <x:c r="F90" s="36" t="str">
        <x:v>Re-execute critical smoke and Golden Path</x:v>
      </x:c>
      <x:c r="G90" s="36" t="str">
        <x:v>Owner named in playbook</x:v>
      </x:c>
      <x:c r="H90" s="36" t="str">
        <x:v>Not started</x:v>
      </x:c>
      <x:c r="I90" s="36" t="str">
        <x:v>Required evidence: timestamp, operator, result and link.</x:v>
      </x:c>
      <x:c r="J90" s="36" t="str">
        <x:v>OPEN</x:v>
      </x:c>
    </x:row>
    <x:row r="91">
      <x:c r="A91" s="27" t="str">
        <x:v>RB-09</x:v>
      </x:c>
      <x:c r="B91" s="36" t="str">
        <x:v>QA evidence reconstruction</x:v>
      </x:c>
      <x:c r="C91" s="36" t="str">
        <x:v>BIA-06</x:v>
      </x:c>
      <x:c r="D91" s="36" t="str">
        <x:v>PB-06</x:v>
      </x:c>
      <x:c r="E91" s="36" t="n">
        <x:v>7</x:v>
      </x:c>
      <x:c r="F91" s="36" t="str">
        <x:v>Re-execute risk-based regression</x:v>
      </x:c>
      <x:c r="G91" s="36" t="str">
        <x:v>Owner named in playbook</x:v>
      </x:c>
      <x:c r="H91" s="36" t="str">
        <x:v>Not started</x:v>
      </x:c>
      <x:c r="I91" s="36" t="str">
        <x:v>Required evidence: timestamp, operator, result and link.</x:v>
      </x:c>
      <x:c r="J91" s="36" t="str">
        <x:v>OPEN</x:v>
      </x:c>
    </x:row>
    <x:row r="92">
      <x:c r="A92" s="27" t="str">
        <x:v>RB-09</x:v>
      </x:c>
      <x:c r="B92" s="36" t="str">
        <x:v>QA evidence reconstruction</x:v>
      </x:c>
      <x:c r="C92" s="36" t="str">
        <x:v>BIA-06</x:v>
      </x:c>
      <x:c r="D92" s="36" t="str">
        <x:v>PB-06</x:v>
      </x:c>
      <x:c r="E92" s="36" t="n">
        <x:v>8</x:v>
      </x:c>
      <x:c r="F92" s="36" t="str">
        <x:v>Link evidence packages and defects</x:v>
      </x:c>
      <x:c r="G92" s="36" t="str">
        <x:v>Owner named in playbook</x:v>
      </x:c>
      <x:c r="H92" s="36" t="str">
        <x:v>Not started</x:v>
      </x:c>
      <x:c r="I92" s="36" t="str">
        <x:v>Required evidence: timestamp, operator, result and link.</x:v>
      </x:c>
      <x:c r="J92" s="36" t="str">
        <x:v>OPEN</x:v>
      </x:c>
    </x:row>
    <x:row r="93">
      <x:c r="A93" s="27" t="str">
        <x:v>RB-09</x:v>
      </x:c>
      <x:c r="B93" s="36" t="str">
        <x:v>QA evidence reconstruction</x:v>
      </x:c>
      <x:c r="C93" s="36" t="str">
        <x:v>BIA-06</x:v>
      </x:c>
      <x:c r="D93" s="36" t="str">
        <x:v>PB-06</x:v>
      </x:c>
      <x:c r="E93" s="36" t="n">
        <x:v>9</x:v>
      </x:c>
      <x:c r="F93" s="36" t="str">
        <x:v>Obtain reviewer signoff</x:v>
      </x:c>
      <x:c r="G93" s="36" t="str">
        <x:v>Owner named in playbook</x:v>
      </x:c>
      <x:c r="H93" s="36" t="str">
        <x:v>Not started</x:v>
      </x:c>
      <x:c r="I93" s="36" t="str">
        <x:v>Required evidence: timestamp, operator, result and link.</x:v>
      </x:c>
      <x:c r="J93" s="36" t="str">
        <x:v>OPEN</x:v>
      </x:c>
    </x:row>
    <x:row r="94">
      <x:c r="A94" s="27" t="str">
        <x:v>RB-09</x:v>
      </x:c>
      <x:c r="B94" s="36" t="str">
        <x:v>QA evidence reconstruction</x:v>
      </x:c>
      <x:c r="C94" s="36" t="str">
        <x:v>BIA-06</x:v>
      </x:c>
      <x:c r="D94" s="36" t="str">
        <x:v>PB-06</x:v>
      </x:c>
      <x:c r="E94" s="36" t="n">
        <x:v>10</x:v>
      </x:c>
      <x:c r="F94" s="36" t="str">
        <x:v>Archive immutable gate packet</x:v>
      </x:c>
      <x:c r="G94" s="36" t="str">
        <x:v>Owner named in playbook</x:v>
      </x:c>
      <x:c r="H94" s="36" t="str">
        <x:v>Not started</x:v>
      </x:c>
      <x:c r="I94" s="36" t="str">
        <x:v>Required evidence: timestamp, operator, result and link.</x:v>
      </x:c>
      <x:c r="J94" s="36" t="str">
        <x:v>OPEN</x:v>
      </x:c>
    </x:row>
    <x:row r="95">
      <x:c r="A95" s="27" t="str">
        <x:v>RB-10</x:v>
      </x:c>
      <x:c r="B95" s="36" t="str">
        <x:v>Domain/email identity recovery</x:v>
      </x:c>
      <x:c r="C95" s="36" t="str">
        <x:v>BIA-15</x:v>
      </x:c>
      <x:c r="D95" s="36" t="str">
        <x:v>PB-19</x:v>
      </x:c>
      <x:c r="E95" s="36" t="n">
        <x:v>1</x:v>
      </x:c>
      <x:c r="F95" s="36" t="str">
        <x:v>Use unaffected recovery channel</x:v>
      </x:c>
      <x:c r="G95" s="36" t="str">
        <x:v>Owner named in playbook</x:v>
      </x:c>
      <x:c r="H95" s="36" t="str">
        <x:v>Not started</x:v>
      </x:c>
      <x:c r="I95" s="36" t="str">
        <x:v>Required evidence: timestamp, operator, result and link.</x:v>
      </x:c>
      <x:c r="J95" s="36" t="str">
        <x:v>OPEN</x:v>
      </x:c>
    </x:row>
    <x:row r="96">
      <x:c r="A96" s="27" t="str">
        <x:v>RB-10</x:v>
      </x:c>
      <x:c r="B96" s="36" t="str">
        <x:v>Domain/email identity recovery</x:v>
      </x:c>
      <x:c r="C96" s="36" t="str">
        <x:v>BIA-15</x:v>
      </x:c>
      <x:c r="D96" s="36" t="str">
        <x:v>PB-19</x:v>
      </x:c>
      <x:c r="E96" s="36" t="n">
        <x:v>2</x:v>
      </x:c>
      <x:c r="F96" s="36" t="str">
        <x:v>Secure registrar and email admin</x:v>
      </x:c>
      <x:c r="G96" s="36" t="str">
        <x:v>Owner named in playbook</x:v>
      </x:c>
      <x:c r="H96" s="36" t="str">
        <x:v>Not started</x:v>
      </x:c>
      <x:c r="I96" s="36" t="str">
        <x:v>Required evidence: timestamp, operator, result and link.</x:v>
      </x:c>
      <x:c r="J96" s="36" t="str">
        <x:v>OPEN</x:v>
      </x:c>
    </x:row>
    <x:row r="97">
      <x:c r="A97" s="27" t="str">
        <x:v>RB-10</x:v>
      </x:c>
      <x:c r="B97" s="36" t="str">
        <x:v>Domain/email identity recovery</x:v>
      </x:c>
      <x:c r="C97" s="36" t="str">
        <x:v>BIA-15</x:v>
      </x:c>
      <x:c r="D97" s="36" t="str">
        <x:v>PB-19</x:v>
      </x:c>
      <x:c r="E97" s="36" t="n">
        <x:v>3</x:v>
      </x:c>
      <x:c r="F97" s="36" t="str">
        <x:v>Renew/restore domain if expired</x:v>
      </x:c>
      <x:c r="G97" s="36" t="str">
        <x:v>Owner named in playbook</x:v>
      </x:c>
      <x:c r="H97" s="36" t="str">
        <x:v>Not started</x:v>
      </x:c>
      <x:c r="I97" s="36" t="str">
        <x:v>Required evidence: timestamp, operator, result and link.</x:v>
      </x:c>
      <x:c r="J97" s="36" t="str">
        <x:v>OPEN</x:v>
      </x:c>
    </x:row>
    <x:row r="98">
      <x:c r="A98" s="27" t="str">
        <x:v>RB-10</x:v>
      </x:c>
      <x:c r="B98" s="36" t="str">
        <x:v>Domain/email identity recovery</x:v>
      </x:c>
      <x:c r="C98" s="36" t="str">
        <x:v>BIA-15</x:v>
      </x:c>
      <x:c r="D98" s="36" t="str">
        <x:v>PB-19</x:v>
      </x:c>
      <x:c r="E98" s="36" t="n">
        <x:v>4</x:v>
      </x:c>
      <x:c r="F98" s="36" t="str">
        <x:v>Restore DNS/MX/SPF/DKIM/DMARC</x:v>
      </x:c>
      <x:c r="G98" s="36" t="str">
        <x:v>Owner named in playbook</x:v>
      </x:c>
      <x:c r="H98" s="36" t="str">
        <x:v>Not started</x:v>
      </x:c>
      <x:c r="I98" s="36" t="str">
        <x:v>Required evidence: timestamp, operator, result and link.</x:v>
      </x:c>
      <x:c r="J98" s="36" t="str">
        <x:v>OPEN</x:v>
      </x:c>
    </x:row>
    <x:row r="99">
      <x:c r="A99" s="27" t="str">
        <x:v>RB-10</x:v>
      </x:c>
      <x:c r="B99" s="36" t="str">
        <x:v>Domain/email identity recovery</x:v>
      </x:c>
      <x:c r="C99" s="36" t="str">
        <x:v>BIA-15</x:v>
      </x:c>
      <x:c r="D99" s="36" t="str">
        <x:v>PB-19</x:v>
      </x:c>
      <x:c r="E99" s="36" t="n">
        <x:v>5</x:v>
      </x:c>
      <x:c r="F99" s="36" t="str">
        <x:v>Rotate registrar/email credentials</x:v>
      </x:c>
      <x:c r="G99" s="36" t="str">
        <x:v>Owner named in playbook</x:v>
      </x:c>
      <x:c r="H99" s="36" t="str">
        <x:v>Not started</x:v>
      </x:c>
      <x:c r="I99" s="36" t="str">
        <x:v>Required evidence: timestamp, operator, result and link.</x:v>
      </x:c>
      <x:c r="J99" s="36" t="str">
        <x:v>OPEN</x:v>
      </x:c>
    </x:row>
    <x:row r="100">
      <x:c r="A100" s="27" t="str">
        <x:v>RB-10</x:v>
      </x:c>
      <x:c r="B100" s="36" t="str">
        <x:v>Domain/email identity recovery</x:v>
      </x:c>
      <x:c r="C100" s="36" t="str">
        <x:v>BIA-15</x:v>
      </x:c>
      <x:c r="D100" s="36" t="str">
        <x:v>PB-19</x:v>
      </x:c>
      <x:c r="E100" s="36" t="n">
        <x:v>6</x:v>
      </x:c>
      <x:c r="F100" s="36" t="str">
        <x:v>Review forwarding and recovery addresses</x:v>
      </x:c>
      <x:c r="G100" s="36" t="str">
        <x:v>Owner named in playbook</x:v>
      </x:c>
      <x:c r="H100" s="36" t="str">
        <x:v>Not started</x:v>
      </x:c>
      <x:c r="I100" s="36" t="str">
        <x:v>Required evidence: timestamp, operator, result and link.</x:v>
      </x:c>
      <x:c r="J100" s="36" t="str">
        <x:v>OPEN</x:v>
      </x:c>
    </x:row>
    <x:row r="101">
      <x:c r="A101" s="27" t="str">
        <x:v>RB-10</x:v>
      </x:c>
      <x:c r="B101" s="36" t="str">
        <x:v>Domain/email identity recovery</x:v>
      </x:c>
      <x:c r="C101" s="36" t="str">
        <x:v>BIA-15</x:v>
      </x:c>
      <x:c r="D101" s="36" t="str">
        <x:v>PB-19</x:v>
      </x:c>
      <x:c r="E101" s="36" t="n">
        <x:v>7</x:v>
      </x:c>
      <x:c r="F101" s="36" t="str">
        <x:v>Verify website/email delivery</x:v>
      </x:c>
      <x:c r="G101" s="36" t="str">
        <x:v>Owner named in playbook</x:v>
      </x:c>
      <x:c r="H101" s="36" t="str">
        <x:v>Not started</x:v>
      </x:c>
      <x:c r="I101" s="36" t="str">
        <x:v>Required evidence: timestamp, operator, result and link.</x:v>
      </x:c>
      <x:c r="J101" s="36" t="str">
        <x:v>OPEN</x:v>
      </x:c>
    </x:row>
    <x:row r="102">
      <x:c r="A102" s="27" t="str">
        <x:v>RB-10</x:v>
      </x:c>
      <x:c r="B102" s="36" t="str">
        <x:v>Domain/email identity recovery</x:v>
      </x:c>
      <x:c r="C102" s="36" t="str">
        <x:v>BIA-15</x:v>
      </x:c>
      <x:c r="D102" s="36" t="str">
        <x:v>PB-19</x:v>
      </x:c>
      <x:c r="E102" s="36" t="n">
        <x:v>8</x:v>
      </x:c>
      <x:c r="F102" s="36" t="str">
        <x:v>Recover dependent accounts</x:v>
      </x:c>
      <x:c r="G102" s="36" t="str">
        <x:v>Owner named in playbook</x:v>
      </x:c>
      <x:c r="H102" s="36" t="str">
        <x:v>Not started</x:v>
      </x:c>
      <x:c r="I102" s="36" t="str">
        <x:v>Required evidence: timestamp, operator, result and link.</x:v>
      </x:c>
      <x:c r="J102" s="36" t="str">
        <x:v>OPEN</x:v>
      </x:c>
    </x:row>
    <x:row r="103">
      <x:c r="A103" s="27" t="str">
        <x:v>RB-10</x:v>
      </x:c>
      <x:c r="B103" s="36" t="str">
        <x:v>Domain/email identity recovery</x:v>
      </x:c>
      <x:c r="C103" s="36" t="str">
        <x:v>BIA-15</x:v>
      </x:c>
      <x:c r="D103" s="36" t="str">
        <x:v>PB-19</x:v>
      </x:c>
      <x:c r="E103" s="36" t="n">
        <x:v>9</x:v>
      </x:c>
      <x:c r="F103" s="36" t="str">
        <x:v>Publish verified notice if impersonated</x:v>
      </x:c>
      <x:c r="G103" s="36" t="str">
        <x:v>Owner named in playbook</x:v>
      </x:c>
      <x:c r="H103" s="36" t="str">
        <x:v>Not started</x:v>
      </x:c>
      <x:c r="I103" s="36" t="str">
        <x:v>Required evidence: timestamp, operator, result and link.</x:v>
      </x:c>
      <x:c r="J103" s="36" t="str">
        <x:v>OPEN</x:v>
      </x:c>
    </x:row>
    <x:row r="104">
      <x:c r="A104" s="27" t="str">
        <x:v>RB-10</x:v>
      </x:c>
      <x:c r="B104" s="36" t="str">
        <x:v>Domain/email identity recovery</x:v>
      </x:c>
      <x:c r="C104" s="36" t="str">
        <x:v>BIA-15</x:v>
      </x:c>
      <x:c r="D104" s="36" t="str">
        <x:v>PB-19</x:v>
      </x:c>
      <x:c r="E104" s="36" t="n">
        <x:v>10</x:v>
      </x:c>
      <x:c r="F104" s="36" t="str">
        <x:v>Archive configuration and recovery evidence</x:v>
      </x:c>
      <x:c r="G104" s="36" t="str">
        <x:v>Owner named in playbook</x:v>
      </x:c>
      <x:c r="H104" s="36" t="str">
        <x:v>Not started</x:v>
      </x:c>
      <x:c r="I104" s="36" t="str">
        <x:v>Required evidence: timestamp, operator, result and link.</x:v>
      </x:c>
      <x:c r="J104" s="36" t="str">
        <x:v>OPEN</x:v>
      </x:c>
    </x:row>
    <x:row r="105">
      <x:c r="A105" s="27" t="str">
        <x:v>RB-11</x:v>
      </x:c>
      <x:c r="B105" s="36" t="str">
        <x:v>Dependency/package rollback</x:v>
      </x:c>
      <x:c r="C105" s="36" t="str">
        <x:v>BIA-04</x:v>
      </x:c>
      <x:c r="D105" s="36" t="str">
        <x:v>PB-04</x:v>
      </x:c>
      <x:c r="E105" s="36" t="n">
        <x:v>1</x:v>
      </x:c>
      <x:c r="F105" s="36" t="str">
        <x:v>Capture failing manifest/lock and logs</x:v>
      </x:c>
      <x:c r="G105" s="36" t="str">
        <x:v>Owner named in playbook</x:v>
      </x:c>
      <x:c r="H105" s="36" t="str">
        <x:v>Not started</x:v>
      </x:c>
      <x:c r="I105" s="36" t="str">
        <x:v>Required evidence: timestamp, operator, result and link.</x:v>
      </x:c>
      <x:c r="J105" s="36" t="str">
        <x:v>OPEN</x:v>
      </x:c>
    </x:row>
    <x:row r="106">
      <x:c r="A106" s="27" t="str">
        <x:v>RB-11</x:v>
      </x:c>
      <x:c r="B106" s="36" t="str">
        <x:v>Dependency/package rollback</x:v>
      </x:c>
      <x:c r="C106" s="36" t="str">
        <x:v>BIA-04</x:v>
      </x:c>
      <x:c r="D106" s="36" t="str">
        <x:v>PB-04</x:v>
      </x:c>
      <x:c r="E106" s="36" t="n">
        <x:v>2</x:v>
      </x:c>
      <x:c r="F106" s="36" t="str">
        <x:v>Identify last passing build/commit</x:v>
      </x:c>
      <x:c r="G106" s="36" t="str">
        <x:v>Owner named in playbook</x:v>
      </x:c>
      <x:c r="H106" s="36" t="str">
        <x:v>Not started</x:v>
      </x:c>
      <x:c r="I106" s="36" t="str">
        <x:v>Required evidence: timestamp, operator, result and link.</x:v>
      </x:c>
      <x:c r="J106" s="36" t="str">
        <x:v>OPEN</x:v>
      </x:c>
    </x:row>
    <x:row r="107">
      <x:c r="A107" s="27" t="str">
        <x:v>RB-11</x:v>
      </x:c>
      <x:c r="B107" s="36" t="str">
        <x:v>Dependency/package rollback</x:v>
      </x:c>
      <x:c r="C107" s="36" t="str">
        <x:v>BIA-04</x:v>
      </x:c>
      <x:c r="D107" s="36" t="str">
        <x:v>PB-04</x:v>
      </x:c>
      <x:c r="E107" s="36" t="n">
        <x:v>3</x:v>
      </x:c>
      <x:c r="F107" s="36" t="str">
        <x:v>Freeze automatic updates</x:v>
      </x:c>
      <x:c r="G107" s="36" t="str">
        <x:v>Owner named in playbook</x:v>
      </x:c>
      <x:c r="H107" s="36" t="str">
        <x:v>Not started</x:v>
      </x:c>
      <x:c r="I107" s="36" t="str">
        <x:v>Required evidence: timestamp, operator, result and link.</x:v>
      </x:c>
      <x:c r="J107" s="36" t="str">
        <x:v>OPEN</x:v>
      </x:c>
    </x:row>
    <x:row r="108">
      <x:c r="A108" s="27" t="str">
        <x:v>RB-11</x:v>
      </x:c>
      <x:c r="B108" s="36" t="str">
        <x:v>Dependency/package rollback</x:v>
      </x:c>
      <x:c r="C108" s="36" t="str">
        <x:v>BIA-04</x:v>
      </x:c>
      <x:c r="D108" s="36" t="str">
        <x:v>PB-04</x:v>
      </x:c>
      <x:c r="E108" s="36" t="n">
        <x:v>4</x:v>
      </x:c>
      <x:c r="F108" s="36" t="str">
        <x:v>Restore manifest/lock from baseline</x:v>
      </x:c>
      <x:c r="G108" s="36" t="str">
        <x:v>Owner named in playbook</x:v>
      </x:c>
      <x:c r="H108" s="36" t="str">
        <x:v>Not started</x:v>
      </x:c>
      <x:c r="I108" s="36" t="str">
        <x:v>Required evidence: timestamp, operator, result and link.</x:v>
      </x:c>
      <x:c r="J108" s="36" t="str">
        <x:v>OPEN</x:v>
      </x:c>
    </x:row>
    <x:row r="109">
      <x:c r="A109" s="27" t="str">
        <x:v>RB-11</x:v>
      </x:c>
      <x:c r="B109" s="36" t="str">
        <x:v>Dependency/package rollback</x:v>
      </x:c>
      <x:c r="C109" s="36" t="str">
        <x:v>BIA-04</x:v>
      </x:c>
      <x:c r="D109" s="36" t="str">
        <x:v>PB-04</x:v>
      </x:c>
      <x:c r="E109" s="36" t="n">
        <x:v>5</x:v>
      </x:c>
      <x:c r="F109" s="36" t="str">
        <x:v>Clear only documented caches</x:v>
      </x:c>
      <x:c r="G109" s="36" t="str">
        <x:v>Owner named in playbook</x:v>
      </x:c>
      <x:c r="H109" s="36" t="str">
        <x:v>Not started</x:v>
      </x:c>
      <x:c r="I109" s="36" t="str">
        <x:v>Required evidence: timestamp, operator, result and link.</x:v>
      </x:c>
      <x:c r="J109" s="36" t="str">
        <x:v>OPEN</x:v>
      </x:c>
    </x:row>
    <x:row r="110">
      <x:c r="A110" s="27" t="str">
        <x:v>RB-11</x:v>
      </x:c>
      <x:c r="B110" s="36" t="str">
        <x:v>Dependency/package rollback</x:v>
      </x:c>
      <x:c r="C110" s="36" t="str">
        <x:v>BIA-04</x:v>
      </x:c>
      <x:c r="D110" s="36" t="str">
        <x:v>PB-04</x:v>
      </x:c>
      <x:c r="E110" s="36" t="n">
        <x:v>6</x:v>
      </x:c>
      <x:c r="F110" s="36" t="str">
        <x:v>Resolve packages from trusted registry/cache</x:v>
      </x:c>
      <x:c r="G110" s="36" t="str">
        <x:v>Owner named in playbook</x:v>
      </x:c>
      <x:c r="H110" s="36" t="str">
        <x:v>Not started</x:v>
      </x:c>
      <x:c r="I110" s="36" t="str">
        <x:v>Required evidence: timestamp, operator, result and link.</x:v>
      </x:c>
      <x:c r="J110" s="36" t="str">
        <x:v>OPEN</x:v>
      </x:c>
    </x:row>
    <x:row r="111">
      <x:c r="A111" s="27" t="str">
        <x:v>RB-11</x:v>
      </x:c>
      <x:c r="B111" s="36" t="str">
        <x:v>Dependency/package rollback</x:v>
      </x:c>
      <x:c r="C111" s="36" t="str">
        <x:v>BIA-04</x:v>
      </x:c>
      <x:c r="D111" s="36" t="str">
        <x:v>PB-04</x:v>
      </x:c>
      <x:c r="E111" s="36" t="n">
        <x:v>7</x:v>
      </x:c>
      <x:c r="F111" s="36" t="str">
        <x:v>Compile and run tests</x:v>
      </x:c>
      <x:c r="G111" s="36" t="str">
        <x:v>Owner named in playbook</x:v>
      </x:c>
      <x:c r="H111" s="36" t="str">
        <x:v>Not started</x:v>
      </x:c>
      <x:c r="I111" s="36" t="str">
        <x:v>Required evidence: timestamp, operator, result and link.</x:v>
      </x:c>
      <x:c r="J111" s="36" t="str">
        <x:v>OPEN</x:v>
      </x:c>
    </x:row>
    <x:row r="112">
      <x:c r="A112" s="27" t="str">
        <x:v>RB-11</x:v>
      </x:c>
      <x:c r="B112" s="36" t="str">
        <x:v>Dependency/package rollback</x:v>
      </x:c>
      <x:c r="C112" s="36" t="str">
        <x:v>BIA-04</x:v>
      </x:c>
      <x:c r="D112" s="36" t="str">
        <x:v>PB-04</x:v>
      </x:c>
      <x:c r="E112" s="36" t="n">
        <x:v>8</x:v>
      </x:c>
      <x:c r="F112" s="36" t="str">
        <x:v>Build Player and compare hash/context</x:v>
      </x:c>
      <x:c r="G112" s="36" t="str">
        <x:v>Owner named in playbook</x:v>
      </x:c>
      <x:c r="H112" s="36" t="str">
        <x:v>Not started</x:v>
      </x:c>
      <x:c r="I112" s="36" t="str">
        <x:v>Required evidence: timestamp, operator, result and link.</x:v>
      </x:c>
      <x:c r="J112" s="36" t="str">
        <x:v>OPEN</x:v>
      </x:c>
    </x:row>
    <x:row r="113">
      <x:c r="A113" s="27" t="str">
        <x:v>RB-11</x:v>
      </x:c>
      <x:c r="B113" s="36" t="str">
        <x:v>Dependency/package rollback</x:v>
      </x:c>
      <x:c r="C113" s="36" t="str">
        <x:v>BIA-04</x:v>
      </x:c>
      <x:c r="D113" s="36" t="str">
        <x:v>PB-04</x:v>
      </x:c>
      <x:c r="E113" s="36" t="n">
        <x:v>9</x:v>
      </x:c>
      <x:c r="F113" s="36" t="str">
        <x:v>Document compatibility decision/ADR</x:v>
      </x:c>
      <x:c r="G113" s="36" t="str">
        <x:v>Owner named in playbook</x:v>
      </x:c>
      <x:c r="H113" s="36" t="str">
        <x:v>Not started</x:v>
      </x:c>
      <x:c r="I113" s="36" t="str">
        <x:v>Required evidence: timestamp, operator, result and link.</x:v>
      </x:c>
      <x:c r="J113" s="36" t="str">
        <x:v>OPEN</x:v>
      </x:c>
    </x:row>
    <x:row r="114">
      <x:c r="A114" s="27" t="str">
        <x:v>RB-11</x:v>
      </x:c>
      <x:c r="B114" s="36" t="str">
        <x:v>Dependency/package rollback</x:v>
      </x:c>
      <x:c r="C114" s="36" t="str">
        <x:v>BIA-04</x:v>
      </x:c>
      <x:c r="D114" s="36" t="str">
        <x:v>PB-04</x:v>
      </x:c>
      <x:c r="E114" s="36" t="n">
        <x:v>10</x:v>
      </x:c>
      <x:c r="F114" s="36" t="str">
        <x:v>Resume upgrades only in isolated branch</x:v>
      </x:c>
      <x:c r="G114" s="36" t="str">
        <x:v>Owner named in playbook</x:v>
      </x:c>
      <x:c r="H114" s="36" t="str">
        <x:v>Not started</x:v>
      </x:c>
      <x:c r="I114" s="36" t="str">
        <x:v>Required evidence: timestamp, operator, result and link.</x:v>
      </x:c>
      <x:c r="J114" s="36" t="str">
        <x:v>OPEN</x:v>
      </x:c>
    </x:row>
    <x:row r="115">
      <x:c r="A115" s="27" t="str">
        <x:v>RB-12</x:v>
      </x:c>
      <x:c r="B115" s="36" t="str">
        <x:v>Security incident evidence preservation</x:v>
      </x:c>
      <x:c r="C115" s="36" t="str">
        <x:v>BIA-08</x:v>
      </x:c>
      <x:c r="D115" s="36" t="str">
        <x:v>PB-08</x:v>
      </x:c>
      <x:c r="E115" s="36" t="n">
        <x:v>1</x:v>
      </x:c>
      <x:c r="F115" s="36" t="str">
        <x:v>Assign incident ID and lead</x:v>
      </x:c>
      <x:c r="G115" s="36" t="str">
        <x:v>Owner named in playbook</x:v>
      </x:c>
      <x:c r="H115" s="36" t="str">
        <x:v>Not started</x:v>
      </x:c>
      <x:c r="I115" s="36" t="str">
        <x:v>Required evidence: timestamp, operator, result and link.</x:v>
      </x:c>
      <x:c r="J115" s="36" t="str">
        <x:v>OPEN</x:v>
      </x:c>
    </x:row>
    <x:row r="116">
      <x:c r="A116" s="27" t="str">
        <x:v>RB-12</x:v>
      </x:c>
      <x:c r="B116" s="36" t="str">
        <x:v>Security incident evidence preservation</x:v>
      </x:c>
      <x:c r="C116" s="36" t="str">
        <x:v>BIA-08</x:v>
      </x:c>
      <x:c r="D116" s="36" t="str">
        <x:v>PB-08</x:v>
      </x:c>
      <x:c r="E116" s="36" t="n">
        <x:v>2</x:v>
      </x:c>
      <x:c r="F116" s="36" t="str">
        <x:v>Start timestamped timeline</x:v>
      </x:c>
      <x:c r="G116" s="36" t="str">
        <x:v>Owner named in playbook</x:v>
      </x:c>
      <x:c r="H116" s="36" t="str">
        <x:v>Not started</x:v>
      </x:c>
      <x:c r="I116" s="36" t="str">
        <x:v>Required evidence: timestamp, operator, result and link.</x:v>
      </x:c>
      <x:c r="J116" s="36" t="str">
        <x:v>OPEN</x:v>
      </x:c>
    </x:row>
    <x:row r="117">
      <x:c r="A117" s="27" t="str">
        <x:v>RB-12</x:v>
      </x:c>
      <x:c r="B117" s="36" t="str">
        <x:v>Security incident evidence preservation</x:v>
      </x:c>
      <x:c r="C117" s="36" t="str">
        <x:v>BIA-08</x:v>
      </x:c>
      <x:c r="D117" s="36" t="str">
        <x:v>PB-08</x:v>
      </x:c>
      <x:c r="E117" s="36" t="n">
        <x:v>3</x:v>
      </x:c>
      <x:c r="F117" s="36" t="str">
        <x:v>Isolate affected device/account</x:v>
      </x:c>
      <x:c r="G117" s="36" t="str">
        <x:v>Owner named in playbook</x:v>
      </x:c>
      <x:c r="H117" s="36" t="str">
        <x:v>Not started</x:v>
      </x:c>
      <x:c r="I117" s="36" t="str">
        <x:v>Required evidence: timestamp, operator, result and link.</x:v>
      </x:c>
      <x:c r="J117" s="36" t="str">
        <x:v>OPEN</x:v>
      </x:c>
    </x:row>
    <x:row r="118">
      <x:c r="A118" s="27" t="str">
        <x:v>RB-12</x:v>
      </x:c>
      <x:c r="B118" s="36" t="str">
        <x:v>Security incident evidence preservation</x:v>
      </x:c>
      <x:c r="C118" s="36" t="str">
        <x:v>BIA-08</x:v>
      </x:c>
      <x:c r="D118" s="36" t="str">
        <x:v>PB-08</x:v>
      </x:c>
      <x:c r="E118" s="36" t="n">
        <x:v>4</x:v>
      </x:c>
      <x:c r="F118" s="36" t="str">
        <x:v>Capture volatile information when safe</x:v>
      </x:c>
      <x:c r="G118" s="36" t="str">
        <x:v>Owner named in playbook</x:v>
      </x:c>
      <x:c r="H118" s="36" t="str">
        <x:v>Not started</x:v>
      </x:c>
      <x:c r="I118" s="36" t="str">
        <x:v>Required evidence: timestamp, operator, result and link.</x:v>
      </x:c>
      <x:c r="J118" s="36" t="str">
        <x:v>OPEN</x:v>
      </x:c>
    </x:row>
    <x:row r="119">
      <x:c r="A119" s="27" t="str">
        <x:v>RB-12</x:v>
      </x:c>
      <x:c r="B119" s="36" t="str">
        <x:v>Security incident evidence preservation</x:v>
      </x:c>
      <x:c r="C119" s="36" t="str">
        <x:v>BIA-08</x:v>
      </x:c>
      <x:c r="D119" s="36" t="str">
        <x:v>PB-08</x:v>
      </x:c>
      <x:c r="E119" s="36" t="n">
        <x:v>5</x:v>
      </x:c>
      <x:c r="F119" s="36" t="str">
        <x:v>Copy relevant logs/configs read-only</x:v>
      </x:c>
      <x:c r="G119" s="36" t="str">
        <x:v>Owner named in playbook</x:v>
      </x:c>
      <x:c r="H119" s="36" t="str">
        <x:v>Not started</x:v>
      </x:c>
      <x:c r="I119" s="36" t="str">
        <x:v>Required evidence: timestamp, operator, result and link.</x:v>
      </x:c>
      <x:c r="J119" s="36" t="str">
        <x:v>OPEN</x:v>
      </x:c>
    </x:row>
    <x:row r="120">
      <x:c r="A120" s="27" t="str">
        <x:v>RB-12</x:v>
      </x:c>
      <x:c r="B120" s="36" t="str">
        <x:v>Security incident evidence preservation</x:v>
      </x:c>
      <x:c r="C120" s="36" t="str">
        <x:v>BIA-08</x:v>
      </x:c>
      <x:c r="D120" s="36" t="str">
        <x:v>PB-08</x:v>
      </x:c>
      <x:c r="E120" s="36" t="n">
        <x:v>6</x:v>
      </x:c>
      <x:c r="F120" s="36" t="str">
        <x:v>Hash every evidence file</x:v>
      </x:c>
      <x:c r="G120" s="36" t="str">
        <x:v>Owner named in playbook</x:v>
      </x:c>
      <x:c r="H120" s="36" t="str">
        <x:v>Not started</x:v>
      </x:c>
      <x:c r="I120" s="36" t="str">
        <x:v>Required evidence: timestamp, operator, result and link.</x:v>
      </x:c>
      <x:c r="J120" s="36" t="str">
        <x:v>OPEN</x:v>
      </x:c>
    </x:row>
    <x:row r="121">
      <x:c r="A121" s="27" t="str">
        <x:v>RB-12</x:v>
      </x:c>
      <x:c r="B121" s="36" t="str">
        <x:v>Security incident evidence preservation</x:v>
      </x:c>
      <x:c r="C121" s="36" t="str">
        <x:v>BIA-08</x:v>
      </x:c>
      <x:c r="D121" s="36" t="str">
        <x:v>PB-08</x:v>
      </x:c>
      <x:c r="E121" s="36" t="n">
        <x:v>7</x:v>
      </x:c>
      <x:c r="F121" s="36" t="str">
        <x:v>Record custody/access</x:v>
      </x:c>
      <x:c r="G121" s="36" t="str">
        <x:v>Owner named in playbook</x:v>
      </x:c>
      <x:c r="H121" s="36" t="str">
        <x:v>Not started</x:v>
      </x:c>
      <x:c r="I121" s="36" t="str">
        <x:v>Required evidence: timestamp, operator, result and link.</x:v>
      </x:c>
      <x:c r="J121" s="36" t="str">
        <x:v>OPEN</x:v>
      </x:c>
    </x:row>
    <x:row r="122">
      <x:c r="A122" s="27" t="str">
        <x:v>RB-12</x:v>
      </x:c>
      <x:c r="B122" s="36" t="str">
        <x:v>Security incident evidence preservation</x:v>
      </x:c>
      <x:c r="C122" s="36" t="str">
        <x:v>BIA-08</x:v>
      </x:c>
      <x:c r="D122" s="36" t="str">
        <x:v>PB-08</x:v>
      </x:c>
      <x:c r="E122" s="36" t="n">
        <x:v>8</x:v>
      </x:c>
      <x:c r="F122" s="36" t="str">
        <x:v>Do not expose secrets in normal tickets</x:v>
      </x:c>
      <x:c r="G122" s="36" t="str">
        <x:v>Owner named in playbook</x:v>
      </x:c>
      <x:c r="H122" s="36" t="str">
        <x:v>Not started</x:v>
      </x:c>
      <x:c r="I122" s="36" t="str">
        <x:v>Required evidence: timestamp, operator, result and link.</x:v>
      </x:c>
      <x:c r="J122" s="36" t="str">
        <x:v>OPEN</x:v>
      </x:c>
    </x:row>
    <x:row r="123">
      <x:c r="A123" s="27" t="str">
        <x:v>RB-12</x:v>
      </x:c>
      <x:c r="B123" s="36" t="str">
        <x:v>Security incident evidence preservation</x:v>
      </x:c>
      <x:c r="C123" s="36" t="str">
        <x:v>BIA-08</x:v>
      </x:c>
      <x:c r="D123" s="36" t="str">
        <x:v>PB-08</x:v>
      </x:c>
      <x:c r="E123" s="36" t="n">
        <x:v>9</x:v>
      </x:c>
      <x:c r="F123" s="36" t="str">
        <x:v>Store encrypted immutable package</x:v>
      </x:c>
      <x:c r="G123" s="36" t="str">
        <x:v>Owner named in playbook</x:v>
      </x:c>
      <x:c r="H123" s="36" t="str">
        <x:v>Not started</x:v>
      </x:c>
      <x:c r="I123" s="36" t="str">
        <x:v>Required evidence: timestamp, operator, result and link.</x:v>
      </x:c>
      <x:c r="J123" s="36" t="str">
        <x:v>OPEN</x:v>
      </x:c>
    </x:row>
    <x:row r="124">
      <x:c r="A124" s="27" t="str">
        <x:v>RB-12</x:v>
      </x:c>
      <x:c r="B124" s="36" t="str">
        <x:v>Security incident evidence preservation</x:v>
      </x:c>
      <x:c r="C124" s="36" t="str">
        <x:v>BIA-08</x:v>
      </x:c>
      <x:c r="D124" s="36" t="str">
        <x:v>PB-08</x:v>
      </x:c>
      <x:c r="E124" s="36" t="n">
        <x:v>10</x:v>
      </x:c>
      <x:c r="F124" s="36" t="str">
        <x:v>Hand off for investigation and retention</x:v>
      </x:c>
      <x:c r="G124" s="36" t="str">
        <x:v>Owner named in playbook</x:v>
      </x:c>
      <x:c r="H124" s="36" t="str">
        <x:v>Not started</x:v>
      </x:c>
      <x:c r="I124" s="36" t="str">
        <x:v>Required evidence: timestamp, operator, result and link.</x:v>
      </x:c>
      <x:c r="J124" s="36" t="str">
        <x:v>OPEN</x:v>
      </x:c>
    </x:row>
    <x:row r="125">
      <x:c r="A125" s="27" t="str">
        <x:v>RB-13</x:v>
      </x:c>
      <x:c r="B125" s="36" t="str">
        <x:v>Legal asset removal and rebuild</x:v>
      </x:c>
      <x:c r="C125" s="36" t="str">
        <x:v>BIA-10</x:v>
      </x:c>
      <x:c r="D125" s="36" t="str">
        <x:v>PB-10</x:v>
      </x:c>
      <x:c r="E125" s="36" t="n">
        <x:v>1</x:v>
      </x:c>
      <x:c r="F125" s="36" t="str">
        <x:v>Identify disputed asset and all derivatives</x:v>
      </x:c>
      <x:c r="G125" s="36" t="str">
        <x:v>Owner named in playbook</x:v>
      </x:c>
      <x:c r="H125" s="36" t="str">
        <x:v>Not started</x:v>
      </x:c>
      <x:c r="I125" s="36" t="str">
        <x:v>Required evidence: timestamp, operator, result and link.</x:v>
      </x:c>
      <x:c r="J125" s="36" t="str">
        <x:v>OPEN</x:v>
      </x:c>
    </x:row>
    <x:row r="126">
      <x:c r="A126" s="27" t="str">
        <x:v>RB-13</x:v>
      </x:c>
      <x:c r="B126" s="36" t="str">
        <x:v>Legal asset removal and rebuild</x:v>
      </x:c>
      <x:c r="C126" s="36" t="str">
        <x:v>BIA-10</x:v>
      </x:c>
      <x:c r="D126" s="36" t="str">
        <x:v>PB-10</x:v>
      </x:c>
      <x:c r="E126" s="36" t="n">
        <x:v>2</x:v>
      </x:c>
      <x:c r="F126" s="36" t="str">
        <x:v>Freeze distribution of affected build</x:v>
      </x:c>
      <x:c r="G126" s="36" t="str">
        <x:v>Owner named in playbook</x:v>
      </x:c>
      <x:c r="H126" s="36" t="str">
        <x:v>Not started</x:v>
      </x:c>
      <x:c r="I126" s="36" t="str">
        <x:v>Required evidence: timestamp, operator, result and link.</x:v>
      </x:c>
      <x:c r="J126" s="36" t="str">
        <x:v>OPEN</x:v>
      </x:c>
    </x:row>
    <x:row r="127">
      <x:c r="A127" s="27" t="str">
        <x:v>RB-13</x:v>
      </x:c>
      <x:c r="B127" s="36" t="str">
        <x:v>Legal asset removal and rebuild</x:v>
      </x:c>
      <x:c r="C127" s="36" t="str">
        <x:v>BIA-10</x:v>
      </x:c>
      <x:c r="D127" s="36" t="str">
        <x:v>PB-10</x:v>
      </x:c>
      <x:c r="E127" s="36" t="n">
        <x:v>3</x:v>
      </x:c>
      <x:c r="F127" s="36" t="str">
        <x:v>Preserve license/provenance evidence</x:v>
      </x:c>
      <x:c r="G127" s="36" t="str">
        <x:v>Owner named in playbook</x:v>
      </x:c>
      <x:c r="H127" s="36" t="str">
        <x:v>Not started</x:v>
      </x:c>
      <x:c r="I127" s="36" t="str">
        <x:v>Required evidence: timestamp, operator, result and link.</x:v>
      </x:c>
      <x:c r="J127" s="36" t="str">
        <x:v>OPEN</x:v>
      </x:c>
    </x:row>
    <x:row r="128">
      <x:c r="A128" s="27" t="str">
        <x:v>RB-13</x:v>
      </x:c>
      <x:c r="B128" s="36" t="str">
        <x:v>Legal asset removal and rebuild</x:v>
      </x:c>
      <x:c r="C128" s="36" t="str">
        <x:v>BIA-10</x:v>
      </x:c>
      <x:c r="D128" s="36" t="str">
        <x:v>PB-10</x:v>
      </x:c>
      <x:c r="E128" s="36" t="n">
        <x:v>4</x:v>
      </x:c>
      <x:c r="F128" s="36" t="str">
        <x:v>Map references in scenes/catalog/store</x:v>
      </x:c>
      <x:c r="G128" s="36" t="str">
        <x:v>Owner named in playbook</x:v>
      </x:c>
      <x:c r="H128" s="36" t="str">
        <x:v>Not started</x:v>
      </x:c>
      <x:c r="I128" s="36" t="str">
        <x:v>Required evidence: timestamp, operator, result and link.</x:v>
      </x:c>
      <x:c r="J128" s="36" t="str">
        <x:v>OPEN</x:v>
      </x:c>
    </x:row>
    <x:row r="129">
      <x:c r="A129" s="27" t="str">
        <x:v>RB-13</x:v>
      </x:c>
      <x:c r="B129" s="36" t="str">
        <x:v>Legal asset removal and rebuild</x:v>
      </x:c>
      <x:c r="C129" s="36" t="str">
        <x:v>BIA-10</x:v>
      </x:c>
      <x:c r="D129" s="36" t="str">
        <x:v>PB-10</x:v>
      </x:c>
      <x:c r="E129" s="36" t="n">
        <x:v>5</x:v>
      </x:c>
      <x:c r="F129" s="36" t="str">
        <x:v>Select licensed replacement or remove feature</x:v>
      </x:c>
      <x:c r="G129" s="36" t="str">
        <x:v>Owner named in playbook</x:v>
      </x:c>
      <x:c r="H129" s="36" t="str">
        <x:v>Not started</x:v>
      </x:c>
      <x:c r="I129" s="36" t="str">
        <x:v>Required evidence: timestamp, operator, result and link.</x:v>
      </x:c>
      <x:c r="J129" s="36" t="str">
        <x:v>OPEN</x:v>
      </x:c>
    </x:row>
    <x:row r="130">
      <x:c r="A130" s="27" t="str">
        <x:v>RB-13</x:v>
      </x:c>
      <x:c r="B130" s="36" t="str">
        <x:v>Legal asset removal and rebuild</x:v>
      </x:c>
      <x:c r="C130" s="36" t="str">
        <x:v>BIA-10</x:v>
      </x:c>
      <x:c r="D130" s="36" t="str">
        <x:v>PB-10</x:v>
      </x:c>
      <x:c r="E130" s="36" t="n">
        <x:v>6</x:v>
      </x:c>
      <x:c r="F130" s="36" t="str">
        <x:v>Update source/credits/notices</x:v>
      </x:c>
      <x:c r="G130" s="36" t="str">
        <x:v>Owner named in playbook</x:v>
      </x:c>
      <x:c r="H130" s="36" t="str">
        <x:v>Not started</x:v>
      </x:c>
      <x:c r="I130" s="36" t="str">
        <x:v>Required evidence: timestamp, operator, result and link.</x:v>
      </x:c>
      <x:c r="J130" s="36" t="str">
        <x:v>OPEN</x:v>
      </x:c>
    </x:row>
    <x:row r="131">
      <x:c r="A131" s="27" t="str">
        <x:v>RB-13</x:v>
      </x:c>
      <x:c r="B131" s="36" t="str">
        <x:v>Legal asset removal and rebuild</x:v>
      </x:c>
      <x:c r="C131" s="36" t="str">
        <x:v>BIA-10</x:v>
      </x:c>
      <x:c r="D131" s="36" t="str">
        <x:v>PB-10</x:v>
      </x:c>
      <x:c r="E131" s="36" t="n">
        <x:v>7</x:v>
      </x:c>
      <x:c r="F131" s="36" t="str">
        <x:v>Reimport and fix references</x:v>
      </x:c>
      <x:c r="G131" s="36" t="str">
        <x:v>Owner named in playbook</x:v>
      </x:c>
      <x:c r="H131" s="36" t="str">
        <x:v>Not started</x:v>
      </x:c>
      <x:c r="I131" s="36" t="str">
        <x:v>Required evidence: timestamp, operator, result and link.</x:v>
      </x:c>
      <x:c r="J131" s="36" t="str">
        <x:v>OPEN</x:v>
      </x:c>
    </x:row>
    <x:row r="132">
      <x:c r="A132" s="27" t="str">
        <x:v>RB-13</x:v>
      </x:c>
      <x:c r="B132" s="36" t="str">
        <x:v>Legal asset removal and rebuild</x:v>
      </x:c>
      <x:c r="C132" s="36" t="str">
        <x:v>BIA-10</x:v>
      </x:c>
      <x:c r="D132" s="36" t="str">
        <x:v>PB-10</x:v>
      </x:c>
      <x:c r="E132" s="36" t="n">
        <x:v>8</x:v>
      </x:c>
      <x:c r="F132" s="36" t="str">
        <x:v>Run legal/QA/content validation</x:v>
      </x:c>
      <x:c r="G132" s="36" t="str">
        <x:v>Owner named in playbook</x:v>
      </x:c>
      <x:c r="H132" s="36" t="str">
        <x:v>Not started</x:v>
      </x:c>
      <x:c r="I132" s="36" t="str">
        <x:v>Required evidence: timestamp, operator, result and link.</x:v>
      </x:c>
      <x:c r="J132" s="36" t="str">
        <x:v>OPEN</x:v>
      </x:c>
    </x:row>
    <x:row r="133">
      <x:c r="A133" s="27" t="str">
        <x:v>RB-13</x:v>
      </x:c>
      <x:c r="B133" s="36" t="str">
        <x:v>Legal asset removal and rebuild</x:v>
      </x:c>
      <x:c r="C133" s="36" t="str">
        <x:v>BIA-10</x:v>
      </x:c>
      <x:c r="D133" s="36" t="str">
        <x:v>PB-10</x:v>
      </x:c>
      <x:c r="E133" s="36" t="n">
        <x:v>9</x:v>
      </x:c>
      <x:c r="F133" s="36" t="str">
        <x:v>Build new artifact and refresh hashes</x:v>
      </x:c>
      <x:c r="G133" s="36" t="str">
        <x:v>Owner named in playbook</x:v>
      </x:c>
      <x:c r="H133" s="36" t="str">
        <x:v>Not started</x:v>
      </x:c>
      <x:c r="I133" s="36" t="str">
        <x:v>Required evidence: timestamp, operator, result and link.</x:v>
      </x:c>
      <x:c r="J133" s="36" t="str">
        <x:v>OPEN</x:v>
      </x:c>
    </x:row>
    <x:row r="134">
      <x:c r="A134" s="27" t="str">
        <x:v>RB-13</x:v>
      </x:c>
      <x:c r="B134" s="36" t="str">
        <x:v>Legal asset removal and rebuild</x:v>
      </x:c>
      <x:c r="C134" s="36" t="str">
        <x:v>BIA-10</x:v>
      </x:c>
      <x:c r="D134" s="36" t="str">
        <x:v>PB-10</x:v>
      </x:c>
      <x:c r="E134" s="36" t="n">
        <x:v>10</x:v>
      </x:c>
      <x:c r="F134" s="36" t="str">
        <x:v>Document disposition and communication</x:v>
      </x:c>
      <x:c r="G134" s="36" t="str">
        <x:v>Owner named in playbook</x:v>
      </x:c>
      <x:c r="H134" s="36" t="str">
        <x:v>Not started</x:v>
      </x:c>
      <x:c r="I134" s="36" t="str">
        <x:v>Required evidence: timestamp, operator, result and link.</x:v>
      </x:c>
      <x:c r="J134" s="36" t="str">
        <x:v>OPEN</x:v>
      </x:c>
    </x:row>
    <x:row r="135">
      <x:c r="A135" s="27" t="str">
        <x:v>RB-14</x:v>
      </x:c>
      <x:c r="B135" s="36" t="str">
        <x:v>Performance safe-mode recovery</x:v>
      </x:c>
      <x:c r="C135" s="36" t="str">
        <x:v>BIA-07</x:v>
      </x:c>
      <x:c r="D135" s="36" t="str">
        <x:v>PB-07</x:v>
      </x:c>
      <x:c r="E135" s="36" t="n">
        <x:v>1</x:v>
      </x:c>
      <x:c r="F135" s="36" t="str">
        <x:v>Capture failing hardware/settings/build</x:v>
      </x:c>
      <x:c r="G135" s="36" t="str">
        <x:v>Owner named in playbook</x:v>
      </x:c>
      <x:c r="H135" s="36" t="str">
        <x:v>Not started</x:v>
      </x:c>
      <x:c r="I135" s="36" t="str">
        <x:v>Required evidence: timestamp, operator, result and link.</x:v>
      </x:c>
      <x:c r="J135" s="36" t="str">
        <x:v>OPEN</x:v>
      </x:c>
    </x:row>
    <x:row r="136">
      <x:c r="A136" s="27" t="str">
        <x:v>RB-14</x:v>
      </x:c>
      <x:c r="B136" s="36" t="str">
        <x:v>Performance safe-mode recovery</x:v>
      </x:c>
      <x:c r="C136" s="36" t="str">
        <x:v>BIA-07</x:v>
      </x:c>
      <x:c r="D136" s="36" t="str">
        <x:v>PB-07</x:v>
      </x:c>
      <x:c r="E136" s="36" t="n">
        <x:v>2</x:v>
      </x:c>
      <x:c r="F136" s="36" t="str">
        <x:v>Record profiler/log/baseline comparison</x:v>
      </x:c>
      <x:c r="G136" s="36" t="str">
        <x:v>Owner named in playbook</x:v>
      </x:c>
      <x:c r="H136" s="36" t="str">
        <x:v>Not started</x:v>
      </x:c>
      <x:c r="I136" s="36" t="str">
        <x:v>Required evidence: timestamp, operator, result and link.</x:v>
      </x:c>
      <x:c r="J136" s="36" t="str">
        <x:v>OPEN</x:v>
      </x:c>
    </x:row>
    <x:row r="137">
      <x:c r="A137" s="27" t="str">
        <x:v>RB-14</x:v>
      </x:c>
      <x:c r="B137" s="36" t="str">
        <x:v>Performance safe-mode recovery</x:v>
      </x:c>
      <x:c r="C137" s="36" t="str">
        <x:v>BIA-07</x:v>
      </x:c>
      <x:c r="D137" s="36" t="str">
        <x:v>PB-07</x:v>
      </x:c>
      <x:c r="E137" s="36" t="n">
        <x:v>3</x:v>
      </x:c>
      <x:c r="F137" s="36" t="str">
        <x:v>Identify changed systems/assets</x:v>
      </x:c>
      <x:c r="G137" s="36" t="str">
        <x:v>Owner named in playbook</x:v>
      </x:c>
      <x:c r="H137" s="36" t="str">
        <x:v>Not started</x:v>
      </x:c>
      <x:c r="I137" s="36" t="str">
        <x:v>Required evidence: timestamp, operator, result and link.</x:v>
      </x:c>
      <x:c r="J137" s="36" t="str">
        <x:v>OPEN</x:v>
      </x:c>
    </x:row>
    <x:row r="138">
      <x:c r="A138" s="27" t="str">
        <x:v>RB-14</x:v>
      </x:c>
      <x:c r="B138" s="36" t="str">
        <x:v>Performance safe-mode recovery</x:v>
      </x:c>
      <x:c r="C138" s="36" t="str">
        <x:v>BIA-07</x:v>
      </x:c>
      <x:c r="D138" s="36" t="str">
        <x:v>PB-07</x:v>
      </x:c>
      <x:c r="E138" s="36" t="n">
        <x:v>4</x:v>
      </x:c>
      <x:c r="F138" s="36" t="str">
        <x:v>Select known safe quality preset</x:v>
      </x:c>
      <x:c r="G138" s="36" t="str">
        <x:v>Owner named in playbook</x:v>
      </x:c>
      <x:c r="H138" s="36" t="str">
        <x:v>Not started</x:v>
      </x:c>
      <x:c r="I138" s="36" t="str">
        <x:v>Required evidence: timestamp, operator, result and link.</x:v>
      </x:c>
      <x:c r="J138" s="36" t="str">
        <x:v>OPEN</x:v>
      </x:c>
    </x:row>
    <x:row r="139">
      <x:c r="A139" s="27" t="str">
        <x:v>RB-14</x:v>
      </x:c>
      <x:c r="B139" s="36" t="str">
        <x:v>Performance safe-mode recovery</x:v>
      </x:c>
      <x:c r="C139" s="36" t="str">
        <x:v>BIA-07</x:v>
      </x:c>
      <x:c r="D139" s="36" t="str">
        <x:v>PB-07</x:v>
      </x:c>
      <x:c r="E139" s="36" t="n">
        <x:v>5</x:v>
      </x:c>
      <x:c r="F139" s="36" t="str">
        <x:v>Disable only nonessential costly features</x:v>
      </x:c>
      <x:c r="G139" s="36" t="str">
        <x:v>Owner named in playbook</x:v>
      </x:c>
      <x:c r="H139" s="36" t="str">
        <x:v>Not started</x:v>
      </x:c>
      <x:c r="I139" s="36" t="str">
        <x:v>Required evidence: timestamp, operator, result and link.</x:v>
      </x:c>
      <x:c r="J139" s="36" t="str">
        <x:v>OPEN</x:v>
      </x:c>
    </x:row>
    <x:row r="140">
      <x:c r="A140" s="27" t="str">
        <x:v>RB-14</x:v>
      </x:c>
      <x:c r="B140" s="36" t="str">
        <x:v>Performance safe-mode recovery</x:v>
      </x:c>
      <x:c r="C140" s="36" t="str">
        <x:v>BIA-07</x:v>
      </x:c>
      <x:c r="D140" s="36" t="str">
        <x:v>PB-07</x:v>
      </x:c>
      <x:c r="E140" s="36" t="n">
        <x:v>6</x:v>
      </x:c>
      <x:c r="F140" s="36" t="str">
        <x:v>Verify integrity/accessibility remain intact</x:v>
      </x:c>
      <x:c r="G140" s="36" t="str">
        <x:v>Owner named in playbook</x:v>
      </x:c>
      <x:c r="H140" s="36" t="str">
        <x:v>Not started</x:v>
      </x:c>
      <x:c r="I140" s="36" t="str">
        <x:v>Required evidence: timestamp, operator, result and link.</x:v>
      </x:c>
      <x:c r="J140" s="36" t="str">
        <x:v>OPEN</x:v>
      </x:c>
    </x:row>
    <x:row r="141">
      <x:c r="A141" s="27" t="str">
        <x:v>RB-14</x:v>
      </x:c>
      <x:c r="B141" s="36" t="str">
        <x:v>Performance safe-mode recovery</x:v>
      </x:c>
      <x:c r="C141" s="36" t="str">
        <x:v>BIA-07</x:v>
      </x:c>
      <x:c r="D141" s="36" t="str">
        <x:v>PB-07</x:v>
      </x:c>
      <x:c r="E141" s="36" t="n">
        <x:v>7</x:v>
      </x:c>
      <x:c r="F141" s="36" t="str">
        <x:v>Run three benchmark passes</x:v>
      </x:c>
      <x:c r="G141" s="36" t="str">
        <x:v>Owner named in playbook</x:v>
      </x:c>
      <x:c r="H141" s="36" t="str">
        <x:v>Not started</x:v>
      </x:c>
      <x:c r="I141" s="36" t="str">
        <x:v>Required evidence: timestamp, operator, result and link.</x:v>
      </x:c>
      <x:c r="J141" s="36" t="str">
        <x:v>OPEN</x:v>
      </x:c>
    </x:row>
    <x:row r="142">
      <x:c r="A142" s="27" t="str">
        <x:v>RB-14</x:v>
      </x:c>
      <x:c r="B142" s="36" t="str">
        <x:v>Performance safe-mode recovery</x:v>
      </x:c>
      <x:c r="C142" s="36" t="str">
        <x:v>BIA-07</x:v>
      </x:c>
      <x:c r="D142" s="36" t="str">
        <x:v>PB-07</x:v>
      </x:c>
      <x:c r="E142" s="36" t="n">
        <x:v>8</x:v>
      </x:c>
      <x:c r="F142" s="36" t="str">
        <x:v>Run Golden Path and long-session smoke</x:v>
      </x:c>
      <x:c r="G142" s="36" t="str">
        <x:v>Owner named in playbook</x:v>
      </x:c>
      <x:c r="H142" s="36" t="str">
        <x:v>Not started</x:v>
      </x:c>
      <x:c r="I142" s="36" t="str">
        <x:v>Required evidence: timestamp, operator, result and link.</x:v>
      </x:c>
      <x:c r="J142" s="36" t="str">
        <x:v>OPEN</x:v>
      </x:c>
    </x:row>
    <x:row r="143">
      <x:c r="A143" s="27" t="str">
        <x:v>RB-14</x:v>
      </x:c>
      <x:c r="B143" s="36" t="str">
        <x:v>Performance safe-mode recovery</x:v>
      </x:c>
      <x:c r="C143" s="36" t="str">
        <x:v>BIA-07</x:v>
      </x:c>
      <x:c r="D143" s="36" t="str">
        <x:v>PB-07</x:v>
      </x:c>
      <x:c r="E143" s="36" t="n">
        <x:v>9</x:v>
      </x:c>
      <x:c r="F143" s="36" t="str">
        <x:v>Document accepted temporary limits</x:v>
      </x:c>
      <x:c r="G143" s="36" t="str">
        <x:v>Owner named in playbook</x:v>
      </x:c>
      <x:c r="H143" s="36" t="str">
        <x:v>Not started</x:v>
      </x:c>
      <x:c r="I143" s="36" t="str">
        <x:v>Required evidence: timestamp, operator, result and link.</x:v>
      </x:c>
      <x:c r="J143" s="36" t="str">
        <x:v>OPEN</x:v>
      </x:c>
    </x:row>
    <x:row r="144">
      <x:c r="A144" s="27" t="str">
        <x:v>RB-14</x:v>
      </x:c>
      <x:c r="B144" s="36" t="str">
        <x:v>Performance safe-mode recovery</x:v>
      </x:c>
      <x:c r="C144" s="36" t="str">
        <x:v>BIA-07</x:v>
      </x:c>
      <x:c r="D144" s="36" t="str">
        <x:v>PB-07</x:v>
      </x:c>
      <x:c r="E144" s="36" t="n">
        <x:v>10</x:v>
      </x:c>
      <x:c r="F144" s="36" t="str">
        <x:v>Schedule root-cause optimization</x:v>
      </x:c>
      <x:c r="G144" s="36" t="str">
        <x:v>Owner named in playbook</x:v>
      </x:c>
      <x:c r="H144" s="36" t="str">
        <x:v>Not started</x:v>
      </x:c>
      <x:c r="I144" s="36" t="str">
        <x:v>Required evidence: timestamp, operator, result and link.</x:v>
      </x:c>
      <x:c r="J144" s="36" t="str">
        <x:v>OPEN</x:v>
      </x:c>
    </x:row>
    <x:row r="145">
      <x:c r="A145" s="27" t="str">
        <x:v>RB-15</x:v>
      </x:c>
      <x:c r="B145" s="36" t="str">
        <x:v>Community/reputation containment</x:v>
      </x:c>
      <x:c r="C145" s="36" t="str">
        <x:v>BIA-11</x:v>
      </x:c>
      <x:c r="D145" s="36" t="str">
        <x:v>PB-20</x:v>
      </x:c>
      <x:c r="E145" s="36" t="n">
        <x:v>1</x:v>
      </x:c>
      <x:c r="F145" s="36" t="str">
        <x:v>Assign communication/moderation lead</x:v>
      </x:c>
      <x:c r="G145" s="36" t="str">
        <x:v>Owner named in playbook</x:v>
      </x:c>
      <x:c r="H145" s="36" t="str">
        <x:v>Not started</x:v>
      </x:c>
      <x:c r="I145" s="36" t="str">
        <x:v>Required evidence: timestamp, operator, result and link.</x:v>
      </x:c>
      <x:c r="J145" s="36" t="str">
        <x:v>OPEN</x:v>
      </x:c>
    </x:row>
    <x:row r="146">
      <x:c r="A146" s="27" t="str">
        <x:v>RB-15</x:v>
      </x:c>
      <x:c r="B146" s="36" t="str">
        <x:v>Community/reputation containment</x:v>
      </x:c>
      <x:c r="C146" s="36" t="str">
        <x:v>BIA-11</x:v>
      </x:c>
      <x:c r="D146" s="36" t="str">
        <x:v>PB-20</x:v>
      </x:c>
      <x:c r="E146" s="36" t="n">
        <x:v>2</x:v>
      </x:c>
      <x:c r="F146" s="36" t="str">
        <x:v>Protect personal data and affected people</x:v>
      </x:c>
      <x:c r="G146" s="36" t="str">
        <x:v>Owner named in playbook</x:v>
      </x:c>
      <x:c r="H146" s="36" t="str">
        <x:v>Not started</x:v>
      </x:c>
      <x:c r="I146" s="36" t="str">
        <x:v>Required evidence: timestamp, operator, result and link.</x:v>
      </x:c>
      <x:c r="J146" s="36" t="str">
        <x:v>OPEN</x:v>
      </x:c>
    </x:row>
    <x:row r="147">
      <x:c r="A147" s="27" t="str">
        <x:v>RB-15</x:v>
      </x:c>
      <x:c r="B147" s="36" t="str">
        <x:v>Community/reputation containment</x:v>
      </x:c>
      <x:c r="C147" s="36" t="str">
        <x:v>BIA-11</x:v>
      </x:c>
      <x:c r="D147" s="36" t="str">
        <x:v>PB-20</x:v>
      </x:c>
      <x:c r="E147" s="36" t="n">
        <x:v>3</x:v>
      </x:c>
      <x:c r="F147" s="36" t="str">
        <x:v>Capture URLs/screenshots/logs</x:v>
      </x:c>
      <x:c r="G147" s="36" t="str">
        <x:v>Owner named in playbook</x:v>
      </x:c>
      <x:c r="H147" s="36" t="str">
        <x:v>Not started</x:v>
      </x:c>
      <x:c r="I147" s="36" t="str">
        <x:v>Required evidence: timestamp, operator, result and link.</x:v>
      </x:c>
      <x:c r="J147" s="36" t="str">
        <x:v>OPEN</x:v>
      </x:c>
    </x:row>
    <x:row r="148">
      <x:c r="A148" s="27" t="str">
        <x:v>RB-15</x:v>
      </x:c>
      <x:c r="B148" s="36" t="str">
        <x:v>Community/reputation containment</x:v>
      </x:c>
      <x:c r="C148" s="36" t="str">
        <x:v>BIA-11</x:v>
      </x:c>
      <x:c r="D148" s="36" t="str">
        <x:v>PB-20</x:v>
      </x:c>
      <x:c r="E148" s="36" t="n">
        <x:v>4</x:v>
      </x:c>
      <x:c r="F148" s="36" t="str">
        <x:v>Apply platform moderation/report tools</x:v>
      </x:c>
      <x:c r="G148" s="36" t="str">
        <x:v>Owner named in playbook</x:v>
      </x:c>
      <x:c r="H148" s="36" t="str">
        <x:v>Not started</x:v>
      </x:c>
      <x:c r="I148" s="36" t="str">
        <x:v>Required evidence: timestamp, operator, result and link.</x:v>
      </x:c>
      <x:c r="J148" s="36" t="str">
        <x:v>OPEN</x:v>
      </x:c>
    </x:row>
    <x:row r="149">
      <x:c r="A149" s="27" t="str">
        <x:v>RB-15</x:v>
      </x:c>
      <x:c r="B149" s="36" t="str">
        <x:v>Community/reputation containment</x:v>
      </x:c>
      <x:c r="C149" s="36" t="str">
        <x:v>BIA-11</x:v>
      </x:c>
      <x:c r="D149" s="36" t="str">
        <x:v>PB-20</x:v>
      </x:c>
      <x:c r="E149" s="36" t="n">
        <x:v>5</x:v>
      </x:c>
      <x:c r="F149" s="36" t="str">
        <x:v>Pause scheduled posts if needed</x:v>
      </x:c>
      <x:c r="G149" s="36" t="str">
        <x:v>Owner named in playbook</x:v>
      </x:c>
      <x:c r="H149" s="36" t="str">
        <x:v>Not started</x:v>
      </x:c>
      <x:c r="I149" s="36" t="str">
        <x:v>Required evidence: timestamp, operator, result and link.</x:v>
      </x:c>
      <x:c r="J149" s="36" t="str">
        <x:v>OPEN</x:v>
      </x:c>
    </x:row>
    <x:row r="150">
      <x:c r="A150" s="27" t="str">
        <x:v>RB-15</x:v>
      </x:c>
      <x:c r="B150" s="36" t="str">
        <x:v>Community/reputation containment</x:v>
      </x:c>
      <x:c r="C150" s="36" t="str">
        <x:v>BIA-11</x:v>
      </x:c>
      <x:c r="D150" s="36" t="str">
        <x:v>PB-20</x:v>
      </x:c>
      <x:c r="E150" s="36" t="n">
        <x:v>6</x:v>
      </x:c>
      <x:c r="F150" s="36" t="str">
        <x:v>Prepare approved factual holding statement</x:v>
      </x:c>
      <x:c r="G150" s="36" t="str">
        <x:v>Owner named in playbook</x:v>
      </x:c>
      <x:c r="H150" s="36" t="str">
        <x:v>Not started</x:v>
      </x:c>
      <x:c r="I150" s="36" t="str">
        <x:v>Required evidence: timestamp, operator, result and link.</x:v>
      </x:c>
      <x:c r="J150" s="36" t="str">
        <x:v>OPEN</x:v>
      </x:c>
    </x:row>
    <x:row r="151">
      <x:c r="A151" s="27" t="str">
        <x:v>RB-15</x:v>
      </x:c>
      <x:c r="B151" s="36" t="str">
        <x:v>Community/reputation containment</x:v>
      </x:c>
      <x:c r="C151" s="36" t="str">
        <x:v>BIA-11</x:v>
      </x:c>
      <x:c r="D151" s="36" t="str">
        <x:v>PB-20</x:v>
      </x:c>
      <x:c r="E151" s="36" t="n">
        <x:v>7</x:v>
      </x:c>
      <x:c r="F151" s="36" t="str">
        <x:v>Direct users to one official source</x:v>
      </x:c>
      <x:c r="G151" s="36" t="str">
        <x:v>Owner named in playbook</x:v>
      </x:c>
      <x:c r="H151" s="36" t="str">
        <x:v>Not started</x:v>
      </x:c>
      <x:c r="I151" s="36" t="str">
        <x:v>Required evidence: timestamp, operator, result and link.</x:v>
      </x:c>
      <x:c r="J151" s="36" t="str">
        <x:v>OPEN</x:v>
      </x:c>
    </x:row>
    <x:row r="152">
      <x:c r="A152" s="27" t="str">
        <x:v>RB-15</x:v>
      </x:c>
      <x:c r="B152" s="36" t="str">
        <x:v>Community/reputation containment</x:v>
      </x:c>
      <x:c r="C152" s="36" t="str">
        <x:v>BIA-11</x:v>
      </x:c>
      <x:c r="D152" s="36" t="str">
        <x:v>PB-20</x:v>
      </x:c>
      <x:c r="E152" s="36" t="n">
        <x:v>8</x:v>
      </x:c>
      <x:c r="F152" s="36" t="str">
        <x:v>Monitor sentiment and credible reports</x:v>
      </x:c>
      <x:c r="G152" s="36" t="str">
        <x:v>Owner named in playbook</x:v>
      </x:c>
      <x:c r="H152" s="36" t="str">
        <x:v>Not started</x:v>
      </x:c>
      <x:c r="I152" s="36" t="str">
        <x:v>Required evidence: timestamp, operator, result and link.</x:v>
      </x:c>
      <x:c r="J152" s="36" t="str">
        <x:v>OPEN</x:v>
      </x:c>
    </x:row>
    <x:row r="153">
      <x:c r="A153" s="27" t="str">
        <x:v>RB-15</x:v>
      </x:c>
      <x:c r="B153" s="36" t="str">
        <x:v>Community/reputation containment</x:v>
      </x:c>
      <x:c r="C153" s="36" t="str">
        <x:v>BIA-11</x:v>
      </x:c>
      <x:c r="D153" s="36" t="str">
        <x:v>PB-20</x:v>
      </x:c>
      <x:c r="E153" s="36" t="n">
        <x:v>9</x:v>
      </x:c>
      <x:c r="F153" s="36" t="str">
        <x:v>Resolve underlying product/account issue</x:v>
      </x:c>
      <x:c r="G153" s="36" t="str">
        <x:v>Owner named in playbook</x:v>
      </x:c>
      <x:c r="H153" s="36" t="str">
        <x:v>Not started</x:v>
      </x:c>
      <x:c r="I153" s="36" t="str">
        <x:v>Required evidence: timestamp, operator, result and link.</x:v>
      </x:c>
      <x:c r="J153" s="36" t="str">
        <x:v>OPEN</x:v>
      </x:c>
    </x:row>
    <x:row r="154">
      <x:c r="A154" s="27" t="str">
        <x:v>RB-15</x:v>
      </x:c>
      <x:c r="B154" s="36" t="str">
        <x:v>Community/reputation containment</x:v>
      </x:c>
      <x:c r="C154" s="36" t="str">
        <x:v>BIA-11</x:v>
      </x:c>
      <x:c r="D154" s="36" t="str">
        <x:v>PB-20</x:v>
      </x:c>
      <x:c r="E154" s="36" t="n">
        <x:v>10</x:v>
      </x:c>
      <x:c r="F154" s="36" t="str">
        <x:v>Publish closure/update and record lessons</x:v>
      </x:c>
      <x:c r="G154" s="36" t="str">
        <x:v>Owner named in playbook</x:v>
      </x:c>
      <x:c r="H154" s="36" t="str">
        <x:v>Not started</x:v>
      </x:c>
      <x:c r="I154" s="36" t="str">
        <x:v>Required evidence: timestamp, operator, result and link.</x:v>
      </x:c>
      <x:c r="J154" s="36" t="str">
        <x:v>OPEN</x:v>
      </x:c>
    </x:row>
    <x:row r="155">
      <x:c r="A155" t="str">
        <x:v>RB-16</x:v>
      </x:c>
      <x:c r="B155" t="str">
        <x:v>Clean documentation package restore</x:v>
      </x:c>
      <x:c r="C155" t="str">
        <x:v>BIA-19</x:v>
      </x:c>
      <x:c r="D155" t="str">
        <x:v>PB-17</x:v>
      </x:c>
      <x:c r="E155" t="n">
        <x:v>1</x:v>
      </x:c>
      <x:c r="F155" t="str">
        <x:v>Select a clean destination with no prior baseline files</x:v>
      </x:c>
      <x:c r="G155" t="str">
        <x:v>Documentation / Independent Reviewer</x:v>
      </x:c>
      <x:c r="H155" t="str">
        <x:v>Not started</x:v>
      </x:c>
      <x:c r="I155" t="str">
        <x:v>Required evidence: timestamp, package/hash, operator, result, elapsed time and defect link.</x:v>
      </x:c>
      <x:c r="J155" t="str">
        <x:v>OPEN</x:v>
      </x:c>
    </x:row>
    <x:row r="156">
      <x:c r="A156" t="str">
        <x:v>RB-16</x:v>
      </x:c>
      <x:c r="B156" t="str">
        <x:v>Clean documentation package restore</x:v>
      </x:c>
      <x:c r="C156" t="str">
        <x:v>BIA-19</x:v>
      </x:c>
      <x:c r="D156" t="str">
        <x:v>PB-17</x:v>
      </x:c>
      <x:c r="E156" t="n">
        <x:v>2</x:v>
      </x:c>
      <x:c r="F156" t="str">
        <x:v>Retrieve immutable ZIP, external checksum set and package manifest</x:v>
      </x:c>
      <x:c r="G156" t="str">
        <x:v>Documentation / Independent Reviewer</x:v>
      </x:c>
      <x:c r="H156" t="str">
        <x:v>Not started</x:v>
      </x:c>
      <x:c r="I156" t="str">
        <x:v>Required evidence: timestamp, package/hash, operator, result, elapsed time and defect link.</x:v>
      </x:c>
      <x:c r="J156" t="str">
        <x:v>OPEN</x:v>
      </x:c>
    </x:row>
    <x:row r="157">
      <x:c r="A157" t="str">
        <x:v>RB-16</x:v>
      </x:c>
      <x:c r="B157" t="str">
        <x:v>Clean documentation package restore</x:v>
      </x:c>
      <x:c r="C157" t="str">
        <x:v>BIA-19</x:v>
      </x:c>
      <x:c r="D157" t="str">
        <x:v>PB-17</x:v>
      </x:c>
      <x:c r="E157" t="n">
        <x:v>3</x:v>
      </x:c>
      <x:c r="F157" t="str">
        <x:v>Verify ZIP checksum before extraction</x:v>
      </x:c>
      <x:c r="G157" t="str">
        <x:v>Documentation / Independent Reviewer</x:v>
      </x:c>
      <x:c r="H157" t="str">
        <x:v>Not started</x:v>
      </x:c>
      <x:c r="I157" t="str">
        <x:v>Required evidence: timestamp, package/hash, operator, result, elapsed time and defect link.</x:v>
      </x:c>
      <x:c r="J157" t="str">
        <x:v>OPEN</x:v>
      </x:c>
    </x:row>
    <x:row r="158">
      <x:c r="A158" t="str">
        <x:v>RB-16</x:v>
      </x:c>
      <x:c r="B158" t="str">
        <x:v>Clean documentation package restore</x:v>
      </x:c>
      <x:c r="C158" t="str">
        <x:v>BIA-19</x:v>
      </x:c>
      <x:c r="D158" t="str">
        <x:v>PB-17</x:v>
      </x:c>
      <x:c r="E158" t="n">
        <x:v>4</x:v>
      </x:c>
      <x:c r="F158" t="str">
        <x:v>Extract without overwriting or repairing files silently</x:v>
      </x:c>
      <x:c r="G158" t="str">
        <x:v>Documentation / Independent Reviewer</x:v>
      </x:c>
      <x:c r="H158" t="str">
        <x:v>Not started</x:v>
      </x:c>
      <x:c r="I158" t="str">
        <x:v>Required evidence: timestamp, package/hash, operator, result, elapsed time and defect link.</x:v>
      </x:c>
      <x:c r="J158" t="str">
        <x:v>OPEN</x:v>
      </x:c>
    </x:row>
    <x:row r="159">
      <x:c r="A159" t="str">
        <x:v>RB-16</x:v>
      </x:c>
      <x:c r="B159" t="str">
        <x:v>Clean documentation package restore</x:v>
      </x:c>
      <x:c r="C159" t="str">
        <x:v>BIA-19</x:v>
      </x:c>
      <x:c r="D159" t="str">
        <x:v>PB-17</x:v>
      </x:c>
      <x:c r="E159" t="n">
        <x:v>5</x:v>
      </x:c>
      <x:c r="F159" t="str">
        <x:v>Compare expected and actual paths, names, counts and sizes</x:v>
      </x:c>
      <x:c r="G159" t="str">
        <x:v>Documentation / Independent Reviewer</x:v>
      </x:c>
      <x:c r="H159" t="str">
        <x:v>Not started</x:v>
      </x:c>
      <x:c r="I159" t="str">
        <x:v>Required evidence: timestamp, package/hash, operator, result, elapsed time and defect link.</x:v>
      </x:c>
      <x:c r="J159" t="str">
        <x:v>OPEN</x:v>
      </x:c>
    </x:row>
    <x:row r="160">
      <x:c r="A160" t="str">
        <x:v>RB-16</x:v>
      </x:c>
      <x:c r="B160" t="str">
        <x:v>Clean documentation package restore</x:v>
      </x:c>
      <x:c r="C160" t="str">
        <x:v>BIA-19</x:v>
      </x:c>
      <x:c r="D160" t="str">
        <x:v>PB-17</x:v>
      </x:c>
      <x:c r="E160" t="n">
        <x:v>6</x:v>
      </x:c>
      <x:c r="F160" t="str">
        <x:v>Verify SHA-256 for every listed artifact</x:v>
      </x:c>
      <x:c r="G160" t="str">
        <x:v>Documentation / Independent Reviewer</x:v>
      </x:c>
      <x:c r="H160" t="str">
        <x:v>Not started</x:v>
      </x:c>
      <x:c r="I160" t="str">
        <x:v>Required evidence: timestamp, package/hash, operator, result, elapsed time and defect link.</x:v>
      </x:c>
      <x:c r="J160" t="str">
        <x:v>OPEN</x:v>
      </x:c>
    </x:row>
    <x:row r="161">
      <x:c r="A161" t="str">
        <x:v>RB-16</x:v>
      </x:c>
      <x:c r="B161" t="str">
        <x:v>Clean documentation package restore</x:v>
      </x:c>
      <x:c r="C161" t="str">
        <x:v>BIA-19</x:v>
      </x:c>
      <x:c r="D161" t="str">
        <x:v>PB-17</x:v>
      </x:c>
      <x:c r="E161" t="n">
        <x:v>7</x:v>
      </x:c>
      <x:c r="F161" t="str">
        <x:v>Open every XLSX and validate key sheets/formulas</x:v>
      </x:c>
      <x:c r="G161" t="str">
        <x:v>Documentation / Independent Reviewer</x:v>
      </x:c>
      <x:c r="H161" t="str">
        <x:v>Not started</x:v>
      </x:c>
      <x:c r="I161" t="str">
        <x:v>Required evidence: timestamp, package/hash, operator, result, elapsed time and defect link.</x:v>
      </x:c>
      <x:c r="J161" t="str">
        <x:v>OPEN</x:v>
      </x:c>
    </x:row>
    <x:row r="162">
      <x:c r="A162" t="str">
        <x:v>RB-16</x:v>
      </x:c>
      <x:c r="B162" t="str">
        <x:v>Clean documentation package restore</x:v>
      </x:c>
      <x:c r="C162" t="str">
        <x:v>BIA-19</x:v>
      </x:c>
      <x:c r="D162" t="str">
        <x:v>PB-17</x:v>
      </x:c>
      <x:c r="E162" t="n">
        <x:v>8</x:v>
      </x:c>
      <x:c r="F162" t="str">
        <x:v>Open Markdown/text files and validate encoding, tables and code fences</x:v>
      </x:c>
      <x:c r="G162" t="str">
        <x:v>Documentation / Independent Reviewer</x:v>
      </x:c>
      <x:c r="H162" t="str">
        <x:v>Not started</x:v>
      </x:c>
      <x:c r="I162" t="str">
        <x:v>Required evidence: timestamp, package/hash, operator, result, elapsed time and defect link.</x:v>
      </x:c>
      <x:c r="J162" t="str">
        <x:v>OPEN</x:v>
      </x:c>
    </x:row>
    <x:row r="163">
      <x:c r="A163" t="str">
        <x:v>RB-16</x:v>
      </x:c>
      <x:c r="B163" t="str">
        <x:v>Clean documentation package restore</x:v>
      </x:c>
      <x:c r="C163" t="str">
        <x:v>BIA-19</x:v>
      </x:c>
      <x:c r="D163" t="str">
        <x:v>PB-17</x:v>
      </x:c>
      <x:c r="E163" t="n">
        <x:v>9</x:v>
      </x:c>
      <x:c r="F163" t="str">
        <x:v>Record elapsed time, defects, RPO gap and evidence links</x:v>
      </x:c>
      <x:c r="G163" t="str">
        <x:v>Documentation / Independent Reviewer</x:v>
      </x:c>
      <x:c r="H163" t="str">
        <x:v>Not started</x:v>
      </x:c>
      <x:c r="I163" t="str">
        <x:v>Required evidence: timestamp, package/hash, operator, result, elapsed time and defect link.</x:v>
      </x:c>
      <x:c r="J163" t="str">
        <x:v>OPEN</x:v>
      </x:c>
    </x:row>
    <x:row r="164">
      <x:c r="A164" t="str">
        <x:v>RB-16</x:v>
      </x:c>
      <x:c r="B164" t="str">
        <x:v>Clean documentation package restore</x:v>
      </x:c>
      <x:c r="C164" t="str">
        <x:v>BIA-19</x:v>
      </x:c>
      <x:c r="D164" t="str">
        <x:v>PB-17</x:v>
      </x:c>
      <x:c r="E164" t="n">
        <x:v>10</x:v>
      </x:c>
      <x:c r="F164" t="str">
        <x:v>Approve restore or quarantine package and open corrective actions</x:v>
      </x:c>
      <x:c r="G164" t="str">
        <x:v>Documentation / Independent Reviewer</x:v>
      </x:c>
      <x:c r="H164" t="str">
        <x:v>Not started</x:v>
      </x:c>
      <x:c r="I164" t="str">
        <x:v>Required evidence: timestamp, package/hash, operator, result, elapsed time and defect link.</x:v>
      </x:c>
      <x:c r="J164" t="str">
        <x:v>OPEN</x:v>
      </x:c>
    </x:row>
    <x:row r="165">
      <x:c r="A165" t="str">
        <x:v>RB-17</x:v>
      </x:c>
      <x:c r="B165" t="str">
        <x:v>Independent project handoff and resumption</x:v>
      </x:c>
      <x:c r="C165" t="str">
        <x:v>BIA-20</x:v>
      </x:c>
      <x:c r="D165" t="str">
        <x:v>PB-02</x:v>
      </x:c>
      <x:c r="E165" t="n">
        <x:v>1</x:v>
      </x:c>
      <x:c r="F165" t="str">
        <x:v>Activate designated alternate and record authority scope</x:v>
      </x:c>
      <x:c r="G165" t="str">
        <x:v>Designated Alternate / Independent Reviewer</x:v>
      </x:c>
      <x:c r="H165" t="str">
        <x:v>Not started</x:v>
      </x:c>
      <x:c r="I165" t="str">
        <x:v>Required evidence: timestamp, access result, package verification, decisions and checklist.</x:v>
      </x:c>
      <x:c r="J165" t="str">
        <x:v>OPEN</x:v>
      </x:c>
    </x:row>
    <x:row r="166">
      <x:c r="A166" t="str">
        <x:v>RB-17</x:v>
      </x:c>
      <x:c r="B166" t="str">
        <x:v>Independent project handoff and resumption</x:v>
      </x:c>
      <x:c r="C166" t="str">
        <x:v>BIA-20</x:v>
      </x:c>
      <x:c r="D166" t="str">
        <x:v>PB-02</x:v>
      </x:c>
      <x:c r="E166" t="n">
        <x:v>2</x:v>
      </x:c>
      <x:c r="F166" t="str">
        <x:v>Locate manual 34, Binder 14, Guide 15 and last verified package</x:v>
      </x:c>
      <x:c r="G166" t="str">
        <x:v>Designated Alternate / Independent Reviewer</x:v>
      </x:c>
      <x:c r="H166" t="str">
        <x:v>Not started</x:v>
      </x:c>
      <x:c r="I166" t="str">
        <x:v>Required evidence: timestamp, access result, package verification, decisions and checklist.</x:v>
      </x:c>
      <x:c r="J166" t="str">
        <x:v>OPEN</x:v>
      </x:c>
    </x:row>
    <x:row r="167">
      <x:c r="A167" t="str">
        <x:v>RB-17</x:v>
      </x:c>
      <x:c r="B167" t="str">
        <x:v>Independent project handoff and resumption</x:v>
      </x:c>
      <x:c r="C167" t="str">
        <x:v>BIA-20</x:v>
      </x:c>
      <x:c r="D167" t="str">
        <x:v>PB-02</x:v>
      </x:c>
      <x:c r="E167" t="n">
        <x:v>3</x:v>
      </x:c>
      <x:c r="F167" t="str">
        <x:v>Verify package hashes and read the current-state/next-action sections</x:v>
      </x:c>
      <x:c r="G167" t="str">
        <x:v>Designated Alternate / Independent Reviewer</x:v>
      </x:c>
      <x:c r="H167" t="str">
        <x:v>Not started</x:v>
      </x:c>
      <x:c r="I167" t="str">
        <x:v>Required evidence: timestamp, access result, package verification, decisions and checklist.</x:v>
      </x:c>
      <x:c r="J167" t="str">
        <x:v>OPEN</x:v>
      </x:c>
    </x:row>
    <x:row r="168">
      <x:c r="A168" t="str">
        <x:v>RB-17</x:v>
      </x:c>
      <x:c r="B168" t="str">
        <x:v>Independent project handoff and resumption</x:v>
      </x:c>
      <x:c r="C168" t="str">
        <x:v>BIA-20</x:v>
      </x:c>
      <x:c r="D168" t="str">
        <x:v>PB-02</x:v>
      </x:c>
      <x:c r="E168" t="n">
        <x:v>4</x:v>
      </x:c>
      <x:c r="F168" t="str">
        <x:v>Recover least-privilege access without owner assistance</x:v>
      </x:c>
      <x:c r="G168" t="str">
        <x:v>Designated Alternate / Independent Reviewer</x:v>
      </x:c>
      <x:c r="H168" t="str">
        <x:v>Not started</x:v>
      </x:c>
      <x:c r="I168" t="str">
        <x:v>Required evidence: timestamp, access result, package verification, decisions and checklist.</x:v>
      </x:c>
      <x:c r="J168" t="str">
        <x:v>OPEN</x:v>
      </x:c>
    </x:row>
    <x:row r="169">
      <x:c r="A169" t="str">
        <x:v>RB-17</x:v>
      </x:c>
      <x:c r="B169" t="str">
        <x:v>Independent project handoff and resumption</x:v>
      </x:c>
      <x:c r="C169" t="str">
        <x:v>BIA-20</x:v>
      </x:c>
      <x:c r="D169" t="str">
        <x:v>PB-02</x:v>
      </x:c>
      <x:c r="E169" t="n">
        <x:v>5</x:v>
      </x:c>
      <x:c r="F169" t="str">
        <x:v>Locate commit/tag, Unity version, package manifests and latest accepted build</x:v>
      </x:c>
      <x:c r="G169" t="str">
        <x:v>Designated Alternate / Independent Reviewer</x:v>
      </x:c>
      <x:c r="H169" t="str">
        <x:v>Not started</x:v>
      </x:c>
      <x:c r="I169" t="str">
        <x:v>Required evidence: timestamp, access result, package verification, decisions and checklist.</x:v>
      </x:c>
      <x:c r="J169" t="str">
        <x:v>OPEN</x:v>
      </x:c>
    </x:row>
    <x:row r="170">
      <x:c r="A170" t="str">
        <x:v>RB-17</x:v>
      </x:c>
      <x:c r="B170" t="str">
        <x:v>Independent project handoff and resumption</x:v>
      </x:c>
      <x:c r="C170" t="str">
        <x:v>BIA-20</x:v>
      </x:c>
      <x:c r="D170" t="str">
        <x:v>PB-02</x:v>
      </x:c>
      <x:c r="E170" t="n">
        <x:v>6</x:v>
      </x:c>
      <x:c r="F170" t="str">
        <x:v>Review open risks, gates, defects and pending documentation sequence</x:v>
      </x:c>
      <x:c r="G170" t="str">
        <x:v>Designated Alternate / Independent Reviewer</x:v>
      </x:c>
      <x:c r="H170" t="str">
        <x:v>Not started</x:v>
      </x:c>
      <x:c r="I170" t="str">
        <x:v>Required evidence: timestamp, access result, package verification, decisions and checklist.</x:v>
      </x:c>
      <x:c r="J170" t="str">
        <x:v>OPEN</x:v>
      </x:c>
    </x:row>
    <x:row r="171">
      <x:c r="A171" t="str">
        <x:v>RB-17</x:v>
      </x:c>
      <x:c r="B171" t="str">
        <x:v>Independent project handoff and resumption</x:v>
      </x:c>
      <x:c r="C171" t="str">
        <x:v>BIA-20</x:v>
      </x:c>
      <x:c r="D171" t="str">
        <x:v>PB-02</x:v>
      </x:c>
      <x:c r="E171" t="n">
        <x:v>7</x:v>
      </x:c>
      <x:c r="F171" t="str">
        <x:v>Open the Unity project or perform documented reduced-mode validation</x:v>
      </x:c>
      <x:c r="G171" t="str">
        <x:v>Designated Alternate / Independent Reviewer</x:v>
      </x:c>
      <x:c r="H171" t="str">
        <x:v>Not started</x:v>
      </x:c>
      <x:c r="I171" t="str">
        <x:v>Required evidence: timestamp, access result, package verification, decisions and checklist.</x:v>
      </x:c>
      <x:c r="J171" t="str">
        <x:v>OPEN</x:v>
      </x:c>
    </x:row>
    <x:row r="172">
      <x:c r="A172" t="str">
        <x:v>RB-17</x:v>
      </x:c>
      <x:c r="B172" t="str">
        <x:v>Independent project handoff and resumption</x:v>
      </x:c>
      <x:c r="C172" t="str">
        <x:v>BIA-20</x:v>
      </x:c>
      <x:c r="D172" t="str">
        <x:v>PB-02</x:v>
      </x:c>
      <x:c r="E172" t="n">
        <x:v>8</x:v>
      </x:c>
      <x:c r="F172" t="str">
        <x:v>Produce a written first-day plan and identify blocked decisions</x:v>
      </x:c>
      <x:c r="G172" t="str">
        <x:v>Designated Alternate / Independent Reviewer</x:v>
      </x:c>
      <x:c r="H172" t="str">
        <x:v>Not started</x:v>
      </x:c>
      <x:c r="I172" t="str">
        <x:v>Required evidence: timestamp, access result, package verification, decisions and checklist.</x:v>
      </x:c>
      <x:c r="J172" t="str">
        <x:v>OPEN</x:v>
      </x:c>
    </x:row>
    <x:row r="173">
      <x:c r="A173" t="str">
        <x:v>RB-17</x:v>
      </x:c>
      <x:c r="B173" t="str">
        <x:v>Independent project handoff and resumption</x:v>
      </x:c>
      <x:c r="C173" t="str">
        <x:v>BIA-20</x:v>
      </x:c>
      <x:c r="D173" t="str">
        <x:v>PB-02</x:v>
      </x:c>
      <x:c r="E173" t="n">
        <x:v>9</x:v>
      </x:c>
      <x:c r="F173" t="str">
        <x:v>Complete handoff checklist with evidence and elapsed time</x:v>
      </x:c>
      <x:c r="G173" t="str">
        <x:v>Designated Alternate / Independent Reviewer</x:v>
      </x:c>
      <x:c r="H173" t="str">
        <x:v>Not started</x:v>
      </x:c>
      <x:c r="I173" t="str">
        <x:v>Required evidence: timestamp, access result, package verification, decisions and checklist.</x:v>
      </x:c>
      <x:c r="J173" t="str">
        <x:v>OPEN</x:v>
      </x:c>
    </x:row>
    <x:row r="174">
      <x:c r="A174" t="str">
        <x:v>RB-17</x:v>
      </x:c>
      <x:c r="B174" t="str">
        <x:v>Independent project handoff and resumption</x:v>
      </x:c>
      <x:c r="C174" t="str">
        <x:v>BIA-20</x:v>
      </x:c>
      <x:c r="D174" t="str">
        <x:v>PB-02</x:v>
      </x:c>
      <x:c r="E174" t="n">
        <x:v>10</x:v>
      </x:c>
      <x:c r="F174" t="str">
        <x:v>Review gaps, update 34/roles/access and schedule repeat exercise</x:v>
      </x:c>
      <x:c r="G174" t="str">
        <x:v>Designated Alternate / Independent Reviewer</x:v>
      </x:c>
      <x:c r="H174" t="str">
        <x:v>Not started</x:v>
      </x:c>
      <x:c r="I174" t="str">
        <x:v>Required evidence: timestamp, access result, package verification, decisions and checklist.</x:v>
      </x:c>
      <x:c r="J174" t="str">
        <x:v>OPEN</x:v>
      </x:c>
    </x:row>
  </x:sheetData>
  <x:mergeCells>
    <x:mergeCell ref="A1:J1"/>
    <x:mergeCell ref="A2:J2"/>
  </x:mergeCells>
  <x:conditionalFormatting sqref="J5:J154">
    <x:cfRule type="expression" dxfId="21" priority="1">
      <x:formula>J5="PASS"</x:formula>
    </x:cfRule>
    <x:cfRule type="expression" dxfId="22" priority="2">
      <x:formula>J5="FAIL"</x:formula>
    </x:cfRule>
  </x:conditionalFormatting>
  <x:dataValidations count="1">
    <x:dataValidation type="list" sqref="J5:J154">
      <x:formula1>"OPEN,IN PROGRESS,PASS,FAIL,NOT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54033442844b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40" hidden="0" customWidth="1"/>
    <x:col min="4" max="4" width="24" hidden="0" customWidth="1"/>
    <x:col min="5" max="5" width="12" hidden="0" customWidth="1"/>
    <x:col min="6" max="6" width="18" hidden="0" customWidth="1"/>
    <x:col min="7" max="7" width="16" hidden="0" customWidth="1"/>
    <x:col min="8" max="8" width="26" hidden="0" customWidth="1"/>
    <x:col min="9" max="9" width="26" hidden="0" customWidth="1"/>
    <x:col min="10" max="10" width="58" hidden="0" customWidth="1"/>
    <x:col min="11" max="11" width="17" hidden="0" customWidth="1"/>
    <x:col min="12" max="12" width="48" hidden="0" customWidth="1"/>
    <x:col min="13" max="13" width="20" hidden="0" customWidth="1"/>
    <x:col min="14" max="14" width="18" hidden="0" customWidth="1"/>
    <x:col min="15" max="15" width="16" hidden="0" customWidth="1"/>
    <x:col min="16" max="16" width="14" hidden="0" customWidth="1"/>
    <x:col min="17" max="17" width="55" hidden="0" customWidth="1"/>
  </x:cols>
  <x:sheetData>
    <x:row r="1" ht="36" customHeight="1">
      <x:c r="A1" s="5" t="str">
        <x:v>10 — Continuity Exercises and Restore Tests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42" customHeight="1">
      <x:c r="A2" s="13" t="str">
        <x:v>Rolling exercise plan. Repetition across four cycles is intentional: continuity controls expire if they are not re-tested after change.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>
      <x:c r="A4" s="21" t="str">
        <x:v>Exercise Instance</x:v>
      </x:c>
      <x:c r="B4" s="21" t="str">
        <x:v>Exercise ID</x:v>
      </x:c>
      <x:c r="C4" s="21" t="str">
        <x:v>Exercise</x:v>
      </x:c>
      <x:c r="D4" s="21" t="str">
        <x:v>Type</x:v>
      </x:c>
      <x:c r="E4" s="21" t="str">
        <x:v>BIA ID</x:v>
      </x:c>
      <x:c r="F4" s="21" t="str">
        <x:v>Frequency</x:v>
      </x:c>
      <x:c r="G4" s="21" t="str">
        <x:v>Cycle / Window</x:v>
      </x:c>
      <x:c r="H4" s="21" t="str">
        <x:v>Owner</x:v>
      </x:c>
      <x:c r="I4" s="21" t="str">
        <x:v>Reviewer</x:v>
      </x:c>
      <x:c r="J4" s="21" t="str">
        <x:v>Scope / Scenario</x:v>
      </x:c>
      <x:c r="K4" s="21" t="str">
        <x:v>Target Time</x:v>
      </x:c>
      <x:c r="L4" s="21" t="str">
        <x:v>Success Criterion</x:v>
      </x:c>
      <x:c r="M4" s="21" t="str">
        <x:v>Schedule State</x:v>
      </x:c>
      <x:c r="N4" s="21" t="str">
        <x:v>Execution Result</x:v>
      </x:c>
      <x:c r="O4" s="21" t="str">
        <x:v>Evidence ID</x:v>
      </x:c>
      <x:c r="P4" s="21" t="str">
        <x:v>Status</x:v>
      </x:c>
      <x:c r="Q4" s="21" t="str">
        <x:v>Notes</x:v>
      </x:c>
    </x:row>
    <x:row r="5">
      <x:c r="A5" s="27" t="str">
        <x:v>EX-01-2026-Q3</x:v>
      </x:c>
      <x:c r="B5" s="27" t="str">
        <x:v>EX-01</x:v>
      </x:c>
      <x:c r="C5" s="36" t="str">
        <x:v>Repository clone and clean build</x:v>
      </x:c>
      <x:c r="D5" s="36" t="str">
        <x:v>Technical recovery</x:v>
      </x:c>
      <x:c r="E5" s="36" t="str">
        <x:v>BIA-04</x:v>
      </x:c>
      <x:c r="F5" s="36" t="str">
        <x:v>Quarterly</x:v>
      </x:c>
      <x:c r="G5" s="36" t="str">
        <x:v>2026-Q3</x:v>
      </x:c>
      <x:c r="H5" s="36" t="str">
        <x:v>Engineering</x:v>
      </x:c>
      <x:c r="I5" s="36" t="str">
        <x:v>Independent reviewer / alternate</x:v>
      </x:c>
      <x:c r="J5" s="36" t="str">
        <x:v>Clone/build/test on clean target</x:v>
      </x:c>
      <x:c r="K5" s="36" t="str">
        <x:v>24 h</x:v>
      </x:c>
      <x:c r="L5" s="36" t="str">
        <x:v>Build and smoke PASS</x:v>
      </x:c>
      <x:c r="M5" s="36" t="str">
        <x:v>NOT SCHEDULED</x:v>
      </x:c>
      <x:c r="N5" s="36" t="str">
        <x:v>NOT RUN</x:v>
      </x:c>
      <x:c r="O5" s="36" t="str"/>
      <x:c r="P5" s="36" t="str">
        <x:v>PLANNED</x:v>
      </x:c>
      <x:c r="Q5" s="36" t="str">
        <x:v>No evidence yet; schedule only when environment and owner are available.</x:v>
      </x:c>
    </x:row>
    <x:row r="6">
      <x:c r="A6" s="27" t="str">
        <x:v>EX-01-2026-Q4</x:v>
      </x:c>
      <x:c r="B6" s="27" t="str">
        <x:v>EX-01</x:v>
      </x:c>
      <x:c r="C6" s="36" t="str">
        <x:v>Repository clone and clean build</x:v>
      </x:c>
      <x:c r="D6" s="36" t="str">
        <x:v>Technical recovery</x:v>
      </x:c>
      <x:c r="E6" s="36" t="str">
        <x:v>BIA-04</x:v>
      </x:c>
      <x:c r="F6" s="36" t="str">
        <x:v>Quarterly</x:v>
      </x:c>
      <x:c r="G6" s="36" t="str">
        <x:v>2026-Q4</x:v>
      </x:c>
      <x:c r="H6" s="36" t="str">
        <x:v>Engineering</x:v>
      </x:c>
      <x:c r="I6" s="36" t="str">
        <x:v>Independent reviewer / alternate</x:v>
      </x:c>
      <x:c r="J6" s="36" t="str">
        <x:v>Clone/build/test on clean target</x:v>
      </x:c>
      <x:c r="K6" s="36" t="str">
        <x:v>24 h</x:v>
      </x:c>
      <x:c r="L6" s="36" t="str">
        <x:v>Build and smoke PASS</x:v>
      </x:c>
      <x:c r="M6" s="36" t="str">
        <x:v>NOT SCHEDULED</x:v>
      </x:c>
      <x:c r="N6" s="36" t="str">
        <x:v>NOT RUN</x:v>
      </x:c>
      <x:c r="O6" s="36" t="str"/>
      <x:c r="P6" s="36" t="str">
        <x:v>PLANNED</x:v>
      </x:c>
      <x:c r="Q6" s="36" t="str">
        <x:v>No evidence yet; schedule only when environment and owner are available.</x:v>
      </x:c>
    </x:row>
    <x:row r="7">
      <x:c r="A7" s="27" t="str">
        <x:v>EX-01-2027-Q1</x:v>
      </x:c>
      <x:c r="B7" s="27" t="str">
        <x:v>EX-01</x:v>
      </x:c>
      <x:c r="C7" s="36" t="str">
        <x:v>Repository clone and clean build</x:v>
      </x:c>
      <x:c r="D7" s="36" t="str">
        <x:v>Technical recovery</x:v>
      </x:c>
      <x:c r="E7" s="36" t="str">
        <x:v>BIA-04</x:v>
      </x:c>
      <x:c r="F7" s="36" t="str">
        <x:v>Quarterly</x:v>
      </x:c>
      <x:c r="G7" s="36" t="str">
        <x:v>2027-Q1</x:v>
      </x:c>
      <x:c r="H7" s="36" t="str">
        <x:v>Engineering</x:v>
      </x:c>
      <x:c r="I7" s="36" t="str">
        <x:v>Independent reviewer / alternate</x:v>
      </x:c>
      <x:c r="J7" s="36" t="str">
        <x:v>Clone/build/test on clean target</x:v>
      </x:c>
      <x:c r="K7" s="36" t="str">
        <x:v>24 h</x:v>
      </x:c>
      <x:c r="L7" s="36" t="str">
        <x:v>Build and smoke PASS</x:v>
      </x:c>
      <x:c r="M7" s="36" t="str">
        <x:v>NOT SCHEDULED</x:v>
      </x:c>
      <x:c r="N7" s="36" t="str">
        <x:v>NOT RUN</x:v>
      </x:c>
      <x:c r="O7" s="36" t="str"/>
      <x:c r="P7" s="36" t="str">
        <x:v>PLANNED</x:v>
      </x:c>
      <x:c r="Q7" s="36" t="str">
        <x:v>No evidence yet; schedule only when environment and owner are available.</x:v>
      </x:c>
    </x:row>
    <x:row r="8">
      <x:c r="A8" s="27" t="str">
        <x:v>EX-01-2027-Q2</x:v>
      </x:c>
      <x:c r="B8" s="27" t="str">
        <x:v>EX-01</x:v>
      </x:c>
      <x:c r="C8" s="36" t="str">
        <x:v>Repository clone and clean build</x:v>
      </x:c>
      <x:c r="D8" s="36" t="str">
        <x:v>Technical recovery</x:v>
      </x:c>
      <x:c r="E8" s="36" t="str">
        <x:v>BIA-04</x:v>
      </x:c>
      <x:c r="F8" s="36" t="str">
        <x:v>Quarterly</x:v>
      </x:c>
      <x:c r="G8" s="36" t="str">
        <x:v>2027-Q2</x:v>
      </x:c>
      <x:c r="H8" s="36" t="str">
        <x:v>Engineering</x:v>
      </x:c>
      <x:c r="I8" s="36" t="str">
        <x:v>Independent reviewer / alternate</x:v>
      </x:c>
      <x:c r="J8" s="36" t="str">
        <x:v>Clone/build/test on clean target</x:v>
      </x:c>
      <x:c r="K8" s="36" t="str">
        <x:v>24 h</x:v>
      </x:c>
      <x:c r="L8" s="36" t="str">
        <x:v>Build and smoke PASS</x:v>
      </x:c>
      <x:c r="M8" s="36" t="str">
        <x:v>NOT SCHEDULED</x:v>
      </x:c>
      <x:c r="N8" s="36" t="str">
        <x:v>NOT RUN</x:v>
      </x:c>
      <x:c r="O8" s="36" t="str"/>
      <x:c r="P8" s="36" t="str">
        <x:v>PLANNED</x:v>
      </x:c>
      <x:c r="Q8" s="36" t="str">
        <x:v>No evidence yet; schedule only when environment and owner are available.</x:v>
      </x:c>
    </x:row>
    <x:row r="9">
      <x:c r="A9" s="27" t="str">
        <x:v>EX-02-2026-Q3</x:v>
      </x:c>
      <x:c r="B9" s="27" t="str">
        <x:v>EX-02</x:v>
      </x:c>
      <x:c r="C9" s="36" t="str">
        <x:v>Documentation immutable ZIP restore</x:v>
      </x:c>
      <x:c r="D9" s="36" t="str">
        <x:v>Data recovery</x:v>
      </x:c>
      <x:c r="E9" s="36" t="str">
        <x:v>BIA-17</x:v>
      </x:c>
      <x:c r="F9" s="36" t="str">
        <x:v>Per baseline</x:v>
      </x:c>
      <x:c r="G9" s="36" t="str">
        <x:v>2026-Q3</x:v>
      </x:c>
      <x:c r="H9" s="36" t="str">
        <x:v>Documentation</x:v>
      </x:c>
      <x:c r="I9" s="36" t="str">
        <x:v>Independent reviewer / alternate</x:v>
      </x:c>
      <x:c r="J9" s="36" t="str">
        <x:v>Verify/extract/open 00–34 and history</x:v>
      </x:c>
      <x:c r="K9" s="36" t="str">
        <x:v>24 h</x:v>
      </x:c>
      <x:c r="L9" s="36" t="str">
        <x:v>100% manifest/hash match</x:v>
      </x:c>
      <x:c r="M9" s="36" t="str">
        <x:v>NOT SCHEDULED</x:v>
      </x:c>
      <x:c r="N9" s="36" t="str">
        <x:v>NOT RUN</x:v>
      </x:c>
      <x:c r="O9" s="36" t="str"/>
      <x:c r="P9" s="36" t="str">
        <x:v>PLANNED</x:v>
      </x:c>
      <x:c r="Q9" s="36" t="str">
        <x:v>No evidence yet; schedule only when environment and owner are available.</x:v>
      </x:c>
    </x:row>
    <x:row r="10">
      <x:c r="A10" s="27" t="str">
        <x:v>EX-02-2026-Q4</x:v>
      </x:c>
      <x:c r="B10" s="27" t="str">
        <x:v>EX-02</x:v>
      </x:c>
      <x:c r="C10" s="36" t="str">
        <x:v>Documentation immutable ZIP restore</x:v>
      </x:c>
      <x:c r="D10" s="36" t="str">
        <x:v>Data recovery</x:v>
      </x:c>
      <x:c r="E10" s="36" t="str">
        <x:v>BIA-17</x:v>
      </x:c>
      <x:c r="F10" s="36" t="str">
        <x:v>Per baseline</x:v>
      </x:c>
      <x:c r="G10" s="36" t="str">
        <x:v>2026-Q4</x:v>
      </x:c>
      <x:c r="H10" s="36" t="str">
        <x:v>Documentation</x:v>
      </x:c>
      <x:c r="I10" s="36" t="str">
        <x:v>Independent reviewer / alternate</x:v>
      </x:c>
      <x:c r="J10" s="36" t="str">
        <x:v>Verify/extract/open 00–34 and history</x:v>
      </x:c>
      <x:c r="K10" s="36" t="str">
        <x:v>24 h</x:v>
      </x:c>
      <x:c r="L10" s="36" t="str">
        <x:v>100% manifest/hash match</x:v>
      </x:c>
      <x:c r="M10" s="36" t="str">
        <x:v>NOT SCHEDULED</x:v>
      </x:c>
      <x:c r="N10" s="36" t="str">
        <x:v>NOT RUN</x:v>
      </x:c>
      <x:c r="O10" s="36" t="str"/>
      <x:c r="P10" s="36" t="str">
        <x:v>PLANNED</x:v>
      </x:c>
      <x:c r="Q10" s="36" t="str">
        <x:v>No evidence yet; schedule only when environment and owner are available.</x:v>
      </x:c>
    </x:row>
    <x:row r="11">
      <x:c r="A11" s="27" t="str">
        <x:v>EX-02-2027-Q1</x:v>
      </x:c>
      <x:c r="B11" s="27" t="str">
        <x:v>EX-02</x:v>
      </x:c>
      <x:c r="C11" s="36" t="str">
        <x:v>Documentation immutable ZIP restore</x:v>
      </x:c>
      <x:c r="D11" s="36" t="str">
        <x:v>Data recovery</x:v>
      </x:c>
      <x:c r="E11" s="36" t="str">
        <x:v>BIA-17</x:v>
      </x:c>
      <x:c r="F11" s="36" t="str">
        <x:v>Per baseline</x:v>
      </x:c>
      <x:c r="G11" s="36" t="str">
        <x:v>2027-Q1</x:v>
      </x:c>
      <x:c r="H11" s="36" t="str">
        <x:v>Documentation</x:v>
      </x:c>
      <x:c r="I11" s="36" t="str">
        <x:v>Independent reviewer / alternate</x:v>
      </x:c>
      <x:c r="J11" s="36" t="str">
        <x:v>Verify/extract/open 00–34 and history</x:v>
      </x:c>
      <x:c r="K11" s="36" t="str">
        <x:v>24 h</x:v>
      </x:c>
      <x:c r="L11" s="36" t="str">
        <x:v>100% manifest/hash match</x:v>
      </x:c>
      <x:c r="M11" s="36" t="str">
        <x:v>NOT SCHEDULED</x:v>
      </x:c>
      <x:c r="N11" s="36" t="str">
        <x:v>NOT RUN</x:v>
      </x:c>
      <x:c r="O11" s="36" t="str"/>
      <x:c r="P11" s="36" t="str">
        <x:v>PLANNED</x:v>
      </x:c>
      <x:c r="Q11" s="36" t="str">
        <x:v>No evidence yet; schedule only when environment and owner are available.</x:v>
      </x:c>
    </x:row>
    <x:row r="12">
      <x:c r="A12" s="27" t="str">
        <x:v>EX-02-2027-Q2</x:v>
      </x:c>
      <x:c r="B12" s="27" t="str">
        <x:v>EX-02</x:v>
      </x:c>
      <x:c r="C12" s="36" t="str">
        <x:v>Documentation immutable ZIP restore</x:v>
      </x:c>
      <x:c r="D12" s="36" t="str">
        <x:v>Data recovery</x:v>
      </x:c>
      <x:c r="E12" s="36" t="str">
        <x:v>BIA-17</x:v>
      </x:c>
      <x:c r="F12" s="36" t="str">
        <x:v>Per baseline</x:v>
      </x:c>
      <x:c r="G12" s="36" t="str">
        <x:v>2027-Q2</x:v>
      </x:c>
      <x:c r="H12" s="36" t="str">
        <x:v>Documentation</x:v>
      </x:c>
      <x:c r="I12" s="36" t="str">
        <x:v>Independent reviewer / alternate</x:v>
      </x:c>
      <x:c r="J12" s="36" t="str">
        <x:v>Verify/extract/open 00–34 and history</x:v>
      </x:c>
      <x:c r="K12" s="36" t="str">
        <x:v>24 h</x:v>
      </x:c>
      <x:c r="L12" s="36" t="str">
        <x:v>100% manifest/hash match</x:v>
      </x:c>
      <x:c r="M12" s="36" t="str">
        <x:v>NOT SCHEDULED</x:v>
      </x:c>
      <x:c r="N12" s="36" t="str">
        <x:v>NOT RUN</x:v>
      </x:c>
      <x:c r="O12" s="36" t="str"/>
      <x:c r="P12" s="36" t="str">
        <x:v>PLANNED</x:v>
      </x:c>
      <x:c r="Q12" s="36" t="str">
        <x:v>No evidence yet; schedule only when environment and owner are available.</x:v>
      </x:c>
    </x:row>
    <x:row r="13">
      <x:c r="A13" s="27" t="str">
        <x:v>EX-03-2026-Q3</x:v>
      </x:c>
      <x:c r="B13" s="27" t="str">
        <x:v>EX-03</x:v>
      </x:c>
      <x:c r="C13" s="36" t="str">
        <x:v>Save corruption and backup recovery</x:v>
      </x:c>
      <x:c r="D13" s="36" t="str">
        <x:v>Application recovery</x:v>
      </x:c>
      <x:c r="E13" s="36" t="str">
        <x:v>BIA-05</x:v>
      </x:c>
      <x:c r="F13" s="36" t="str">
        <x:v>Per schema change</x:v>
      </x:c>
      <x:c r="G13" s="36" t="str">
        <x:v>2026-Q3</x:v>
      </x:c>
      <x:c r="H13" s="36" t="str">
        <x:v>Engineering/QA</x:v>
      </x:c>
      <x:c r="I13" s="36" t="str">
        <x:v>Independent reviewer / alternate</x:v>
      </x:c>
      <x:c r="J13" s="36" t="str">
        <x:v>Recover corrupt primary using valid backup</x:v>
      </x:c>
      <x:c r="K13" s="36" t="str">
        <x:v>4 h</x:v>
      </x:c>
      <x:c r="L13" s="36" t="str">
        <x:v>No extra data loss beyond RPO</x:v>
      </x:c>
      <x:c r="M13" s="36" t="str">
        <x:v>NOT SCHEDULED</x:v>
      </x:c>
      <x:c r="N13" s="36" t="str">
        <x:v>NOT RUN</x:v>
      </x:c>
      <x:c r="O13" s="36" t="str"/>
      <x:c r="P13" s="36" t="str">
        <x:v>PLANNED</x:v>
      </x:c>
      <x:c r="Q13" s="36" t="str">
        <x:v>No evidence yet; schedule only when environment and owner are available.</x:v>
      </x:c>
    </x:row>
    <x:row r="14">
      <x:c r="A14" s="27" t="str">
        <x:v>EX-03-2026-Q4</x:v>
      </x:c>
      <x:c r="B14" s="27" t="str">
        <x:v>EX-03</x:v>
      </x:c>
      <x:c r="C14" s="36" t="str">
        <x:v>Save corruption and backup recovery</x:v>
      </x:c>
      <x:c r="D14" s="36" t="str">
        <x:v>Application recovery</x:v>
      </x:c>
      <x:c r="E14" s="36" t="str">
        <x:v>BIA-05</x:v>
      </x:c>
      <x:c r="F14" s="36" t="str">
        <x:v>Per schema change</x:v>
      </x:c>
      <x:c r="G14" s="36" t="str">
        <x:v>2026-Q4</x:v>
      </x:c>
      <x:c r="H14" s="36" t="str">
        <x:v>Engineering/QA</x:v>
      </x:c>
      <x:c r="I14" s="36" t="str">
        <x:v>Independent reviewer / alternate</x:v>
      </x:c>
      <x:c r="J14" s="36" t="str">
        <x:v>Recover corrupt primary using valid backup</x:v>
      </x:c>
      <x:c r="K14" s="36" t="str">
        <x:v>4 h</x:v>
      </x:c>
      <x:c r="L14" s="36" t="str">
        <x:v>No extra data loss beyond RPO</x:v>
      </x:c>
      <x:c r="M14" s="36" t="str">
        <x:v>NOT SCHEDULED</x:v>
      </x:c>
      <x:c r="N14" s="36" t="str">
        <x:v>NOT RUN</x:v>
      </x:c>
      <x:c r="O14" s="36" t="str"/>
      <x:c r="P14" s="36" t="str">
        <x:v>PLANNED</x:v>
      </x:c>
      <x:c r="Q14" s="36" t="str">
        <x:v>No evidence yet; schedule only when environment and owner are available.</x:v>
      </x:c>
    </x:row>
    <x:row r="15">
      <x:c r="A15" s="27" t="str">
        <x:v>EX-03-2027-Q1</x:v>
      </x:c>
      <x:c r="B15" s="27" t="str">
        <x:v>EX-03</x:v>
      </x:c>
      <x:c r="C15" s="36" t="str">
        <x:v>Save corruption and backup recovery</x:v>
      </x:c>
      <x:c r="D15" s="36" t="str">
        <x:v>Application recovery</x:v>
      </x:c>
      <x:c r="E15" s="36" t="str">
        <x:v>BIA-05</x:v>
      </x:c>
      <x:c r="F15" s="36" t="str">
        <x:v>Per schema change</x:v>
      </x:c>
      <x:c r="G15" s="36" t="str">
        <x:v>2027-Q1</x:v>
      </x:c>
      <x:c r="H15" s="36" t="str">
        <x:v>Engineering/QA</x:v>
      </x:c>
      <x:c r="I15" s="36" t="str">
        <x:v>Independent reviewer / alternate</x:v>
      </x:c>
      <x:c r="J15" s="36" t="str">
        <x:v>Recover corrupt primary using valid backup</x:v>
      </x:c>
      <x:c r="K15" s="36" t="str">
        <x:v>4 h</x:v>
      </x:c>
      <x:c r="L15" s="36" t="str">
        <x:v>No extra data loss beyond RPO</x:v>
      </x:c>
      <x:c r="M15" s="36" t="str">
        <x:v>NOT SCHEDULED</x:v>
      </x:c>
      <x:c r="N15" s="36" t="str">
        <x:v>NOT RUN</x:v>
      </x:c>
      <x:c r="O15" s="36" t="str"/>
      <x:c r="P15" s="36" t="str">
        <x:v>PLANNED</x:v>
      </x:c>
      <x:c r="Q15" s="36" t="str">
        <x:v>No evidence yet; schedule only when environment and owner are available.</x:v>
      </x:c>
    </x:row>
    <x:row r="16">
      <x:c r="A16" s="27" t="str">
        <x:v>EX-03-2027-Q2</x:v>
      </x:c>
      <x:c r="B16" s="27" t="str">
        <x:v>EX-03</x:v>
      </x:c>
      <x:c r="C16" s="36" t="str">
        <x:v>Save corruption and backup recovery</x:v>
      </x:c>
      <x:c r="D16" s="36" t="str">
        <x:v>Application recovery</x:v>
      </x:c>
      <x:c r="E16" s="36" t="str">
        <x:v>BIA-05</x:v>
      </x:c>
      <x:c r="F16" s="36" t="str">
        <x:v>Per schema change</x:v>
      </x:c>
      <x:c r="G16" s="36" t="str">
        <x:v>2027-Q2</x:v>
      </x:c>
      <x:c r="H16" s="36" t="str">
        <x:v>Engineering/QA</x:v>
      </x:c>
      <x:c r="I16" s="36" t="str">
        <x:v>Independent reviewer / alternate</x:v>
      </x:c>
      <x:c r="J16" s="36" t="str">
        <x:v>Recover corrupt primary using valid backup</x:v>
      </x:c>
      <x:c r="K16" s="36" t="str">
        <x:v>4 h</x:v>
      </x:c>
      <x:c r="L16" s="36" t="str">
        <x:v>No extra data loss beyond RPO</x:v>
      </x:c>
      <x:c r="M16" s="36" t="str">
        <x:v>NOT SCHEDULED</x:v>
      </x:c>
      <x:c r="N16" s="36" t="str">
        <x:v>NOT RUN</x:v>
      </x:c>
      <x:c r="O16" s="36" t="str"/>
      <x:c r="P16" s="36" t="str">
        <x:v>PLANNED</x:v>
      </x:c>
      <x:c r="Q16" s="36" t="str">
        <x:v>No evidence yet; schedule only when environment and owner are available.</x:v>
      </x:c>
    </x:row>
    <x:row r="17">
      <x:c r="A17" s="27" t="str">
        <x:v>EX-04-2026-Q3</x:v>
      </x:c>
      <x:c r="B17" s="27" t="str">
        <x:v>EX-04</x:v>
      </x:c>
      <x:c r="C17" s="36" t="str">
        <x:v>Credential/MFA recovery drill</x:v>
      </x:c>
      <x:c r="D17" s="36" t="str">
        <x:v>Account recovery</x:v>
      </x:c>
      <x:c r="E17" s="36" t="str">
        <x:v>BIA-08</x:v>
      </x:c>
      <x:c r="F17" s="36" t="str">
        <x:v>Semiannual</x:v>
      </x:c>
      <x:c r="G17" s="36" t="str">
        <x:v>2026-Q3</x:v>
      </x:c>
      <x:c r="H17" s="36" t="str">
        <x:v>Security/Owner</x:v>
      </x:c>
      <x:c r="I17" s="36" t="str">
        <x:v>Independent reviewer / alternate</x:v>
      </x:c>
      <x:c r="J17" s="36" t="str">
        <x:v>Recover without exposing codes</x:v>
      </x:c>
      <x:c r="K17" s="36" t="str">
        <x:v>4 h</x:v>
      </x:c>
      <x:c r="L17" s="36" t="str">
        <x:v>All critical accounts accessible</x:v>
      </x:c>
      <x:c r="M17" s="36" t="str">
        <x:v>NOT SCHEDULED</x:v>
      </x:c>
      <x:c r="N17" s="36" t="str">
        <x:v>NOT RUN</x:v>
      </x:c>
      <x:c r="O17" s="36" t="str"/>
      <x:c r="P17" s="36" t="str">
        <x:v>PLANNED</x:v>
      </x:c>
      <x:c r="Q17" s="36" t="str">
        <x:v>No evidence yet; schedule only when environment and owner are available.</x:v>
      </x:c>
    </x:row>
    <x:row r="18">
      <x:c r="A18" s="27" t="str">
        <x:v>EX-04-2026-Q4</x:v>
      </x:c>
      <x:c r="B18" s="27" t="str">
        <x:v>EX-04</x:v>
      </x:c>
      <x:c r="C18" s="36" t="str">
        <x:v>Credential/MFA recovery drill</x:v>
      </x:c>
      <x:c r="D18" s="36" t="str">
        <x:v>Account recovery</x:v>
      </x:c>
      <x:c r="E18" s="36" t="str">
        <x:v>BIA-08</x:v>
      </x:c>
      <x:c r="F18" s="36" t="str">
        <x:v>Semiannual</x:v>
      </x:c>
      <x:c r="G18" s="36" t="str">
        <x:v>2026-Q4</x:v>
      </x:c>
      <x:c r="H18" s="36" t="str">
        <x:v>Security/Owner</x:v>
      </x:c>
      <x:c r="I18" s="36" t="str">
        <x:v>Independent reviewer / alternate</x:v>
      </x:c>
      <x:c r="J18" s="36" t="str">
        <x:v>Recover without exposing codes</x:v>
      </x:c>
      <x:c r="K18" s="36" t="str">
        <x:v>4 h</x:v>
      </x:c>
      <x:c r="L18" s="36" t="str">
        <x:v>All critical accounts accessible</x:v>
      </x:c>
      <x:c r="M18" s="36" t="str">
        <x:v>NOT SCHEDULED</x:v>
      </x:c>
      <x:c r="N18" s="36" t="str">
        <x:v>NOT RUN</x:v>
      </x:c>
      <x:c r="O18" s="36" t="str"/>
      <x:c r="P18" s="36" t="str">
        <x:v>PLANNED</x:v>
      </x:c>
      <x:c r="Q18" s="36" t="str">
        <x:v>No evidence yet; schedule only when environment and owner are available.</x:v>
      </x:c>
    </x:row>
    <x:row r="19">
      <x:c r="A19" s="27" t="str">
        <x:v>EX-04-2027-Q1</x:v>
      </x:c>
      <x:c r="B19" s="27" t="str">
        <x:v>EX-04</x:v>
      </x:c>
      <x:c r="C19" s="36" t="str">
        <x:v>Credential/MFA recovery drill</x:v>
      </x:c>
      <x:c r="D19" s="36" t="str">
        <x:v>Account recovery</x:v>
      </x:c>
      <x:c r="E19" s="36" t="str">
        <x:v>BIA-08</x:v>
      </x:c>
      <x:c r="F19" s="36" t="str">
        <x:v>Semiannual</x:v>
      </x:c>
      <x:c r="G19" s="36" t="str">
        <x:v>2027-Q1</x:v>
      </x:c>
      <x:c r="H19" s="36" t="str">
        <x:v>Security/Owner</x:v>
      </x:c>
      <x:c r="I19" s="36" t="str">
        <x:v>Independent reviewer / alternate</x:v>
      </x:c>
      <x:c r="J19" s="36" t="str">
        <x:v>Recover without exposing codes</x:v>
      </x:c>
      <x:c r="K19" s="36" t="str">
        <x:v>4 h</x:v>
      </x:c>
      <x:c r="L19" s="36" t="str">
        <x:v>All critical accounts accessible</x:v>
      </x:c>
      <x:c r="M19" s="36" t="str">
        <x:v>NOT SCHEDULED</x:v>
      </x:c>
      <x:c r="N19" s="36" t="str">
        <x:v>NOT RUN</x:v>
      </x:c>
      <x:c r="O19" s="36" t="str"/>
      <x:c r="P19" s="36" t="str">
        <x:v>PLANNED</x:v>
      </x:c>
      <x:c r="Q19" s="36" t="str">
        <x:v>No evidence yet; schedule only when environment and owner are available.</x:v>
      </x:c>
    </x:row>
    <x:row r="20">
      <x:c r="A20" s="27" t="str">
        <x:v>EX-04-2027-Q2</x:v>
      </x:c>
      <x:c r="B20" s="27" t="str">
        <x:v>EX-04</x:v>
      </x:c>
      <x:c r="C20" s="36" t="str">
        <x:v>Credential/MFA recovery drill</x:v>
      </x:c>
      <x:c r="D20" s="36" t="str">
        <x:v>Account recovery</x:v>
      </x:c>
      <x:c r="E20" s="36" t="str">
        <x:v>BIA-08</x:v>
      </x:c>
      <x:c r="F20" s="36" t="str">
        <x:v>Semiannual</x:v>
      </x:c>
      <x:c r="G20" s="36" t="str">
        <x:v>2027-Q2</x:v>
      </x:c>
      <x:c r="H20" s="36" t="str">
        <x:v>Security/Owner</x:v>
      </x:c>
      <x:c r="I20" s="36" t="str">
        <x:v>Independent reviewer / alternate</x:v>
      </x:c>
      <x:c r="J20" s="36" t="str">
        <x:v>Recover without exposing codes</x:v>
      </x:c>
      <x:c r="K20" s="36" t="str">
        <x:v>4 h</x:v>
      </x:c>
      <x:c r="L20" s="36" t="str">
        <x:v>All critical accounts accessible</x:v>
      </x:c>
      <x:c r="M20" s="36" t="str">
        <x:v>NOT SCHEDULED</x:v>
      </x:c>
      <x:c r="N20" s="36" t="str">
        <x:v>NOT RUN</x:v>
      </x:c>
      <x:c r="O20" s="36" t="str"/>
      <x:c r="P20" s="36" t="str">
        <x:v>PLANNED</x:v>
      </x:c>
      <x:c r="Q20" s="36" t="str">
        <x:v>No evidence yet; schedule only when environment and owner are available.</x:v>
      </x:c>
    </x:row>
    <x:row r="21">
      <x:c r="A21" s="27" t="str">
        <x:v>EX-05-2026-Q3</x:v>
      </x:c>
      <x:c r="B21" s="27" t="str">
        <x:v>EX-05</x:v>
      </x:c>
      <x:c r="C21" s="36" t="str">
        <x:v>Steam rollback tabletop</x:v>
      </x:c>
      <x:c r="D21" s="36" t="str">
        <x:v>Release continuity</x:v>
      </x:c>
      <x:c r="E21" s="36" t="str">
        <x:v>BIA-11</x:v>
      </x:c>
      <x:c r="F21" s="36" t="str">
        <x:v>Per release</x:v>
      </x:c>
      <x:c r="G21" s="36" t="str">
        <x:v>2026-Q3</x:v>
      </x:c>
      <x:c r="H21" s="36" t="str">
        <x:v>Publishing</x:v>
      </x:c>
      <x:c r="I21" s="36" t="str">
        <x:v>Independent reviewer / alternate</x:v>
      </x:c>
      <x:c r="J21" s="36" t="str">
        <x:v>Simulate bad build rollback/status</x:v>
      </x:c>
      <x:c r="K21" s="36" t="str">
        <x:v>8 h</x:v>
      </x:c>
      <x:c r="L21" s="36" t="str">
        <x:v>Known-good branch restored in plan</x:v>
      </x:c>
      <x:c r="M21" s="36" t="str">
        <x:v>NOT SCHEDULED</x:v>
      </x:c>
      <x:c r="N21" s="36" t="str">
        <x:v>NOT RUN</x:v>
      </x:c>
      <x:c r="O21" s="36" t="str"/>
      <x:c r="P21" s="36" t="str">
        <x:v>PLANNED</x:v>
      </x:c>
      <x:c r="Q21" s="36" t="str">
        <x:v>No evidence yet; schedule only when environment and owner are available.</x:v>
      </x:c>
    </x:row>
    <x:row r="22">
      <x:c r="A22" s="27" t="str">
        <x:v>EX-05-2026-Q4</x:v>
      </x:c>
      <x:c r="B22" s="27" t="str">
        <x:v>EX-05</x:v>
      </x:c>
      <x:c r="C22" s="36" t="str">
        <x:v>Steam rollback tabletop</x:v>
      </x:c>
      <x:c r="D22" s="36" t="str">
        <x:v>Release continuity</x:v>
      </x:c>
      <x:c r="E22" s="36" t="str">
        <x:v>BIA-11</x:v>
      </x:c>
      <x:c r="F22" s="36" t="str">
        <x:v>Per release</x:v>
      </x:c>
      <x:c r="G22" s="36" t="str">
        <x:v>2026-Q4</x:v>
      </x:c>
      <x:c r="H22" s="36" t="str">
        <x:v>Publishing</x:v>
      </x:c>
      <x:c r="I22" s="36" t="str">
        <x:v>Independent reviewer / alternate</x:v>
      </x:c>
      <x:c r="J22" s="36" t="str">
        <x:v>Simulate bad build rollback/status</x:v>
      </x:c>
      <x:c r="K22" s="36" t="str">
        <x:v>8 h</x:v>
      </x:c>
      <x:c r="L22" s="36" t="str">
        <x:v>Known-good branch restored in plan</x:v>
      </x:c>
      <x:c r="M22" s="36" t="str">
        <x:v>NOT SCHEDULED</x:v>
      </x:c>
      <x:c r="N22" s="36" t="str">
        <x:v>NOT RUN</x:v>
      </x:c>
      <x:c r="O22" s="36" t="str"/>
      <x:c r="P22" s="36" t="str">
        <x:v>PLANNED</x:v>
      </x:c>
      <x:c r="Q22" s="36" t="str">
        <x:v>No evidence yet; schedule only when environment and owner are available.</x:v>
      </x:c>
    </x:row>
    <x:row r="23">
      <x:c r="A23" s="27" t="str">
        <x:v>EX-05-2027-Q1</x:v>
      </x:c>
      <x:c r="B23" s="27" t="str">
        <x:v>EX-05</x:v>
      </x:c>
      <x:c r="C23" s="36" t="str">
        <x:v>Steam rollback tabletop</x:v>
      </x:c>
      <x:c r="D23" s="36" t="str">
        <x:v>Release continuity</x:v>
      </x:c>
      <x:c r="E23" s="36" t="str">
        <x:v>BIA-11</x:v>
      </x:c>
      <x:c r="F23" s="36" t="str">
        <x:v>Per release</x:v>
      </x:c>
      <x:c r="G23" s="36" t="str">
        <x:v>2027-Q1</x:v>
      </x:c>
      <x:c r="H23" s="36" t="str">
        <x:v>Publishing</x:v>
      </x:c>
      <x:c r="I23" s="36" t="str">
        <x:v>Independent reviewer / alternate</x:v>
      </x:c>
      <x:c r="J23" s="36" t="str">
        <x:v>Simulate bad build rollback/status</x:v>
      </x:c>
      <x:c r="K23" s="36" t="str">
        <x:v>8 h</x:v>
      </x:c>
      <x:c r="L23" s="36" t="str">
        <x:v>Known-good branch restored in plan</x:v>
      </x:c>
      <x:c r="M23" s="36" t="str">
        <x:v>NOT SCHEDULED</x:v>
      </x:c>
      <x:c r="N23" s="36" t="str">
        <x:v>NOT RUN</x:v>
      </x:c>
      <x:c r="O23" s="36" t="str"/>
      <x:c r="P23" s="36" t="str">
        <x:v>PLANNED</x:v>
      </x:c>
      <x:c r="Q23" s="36" t="str">
        <x:v>No evidence yet; schedule only when environment and owner are available.</x:v>
      </x:c>
    </x:row>
    <x:row r="24">
      <x:c r="A24" s="27" t="str">
        <x:v>EX-05-2027-Q2</x:v>
      </x:c>
      <x:c r="B24" s="27" t="str">
        <x:v>EX-05</x:v>
      </x:c>
      <x:c r="C24" s="36" t="str">
        <x:v>Steam rollback tabletop</x:v>
      </x:c>
      <x:c r="D24" s="36" t="str">
        <x:v>Release continuity</x:v>
      </x:c>
      <x:c r="E24" s="36" t="str">
        <x:v>BIA-11</x:v>
      </x:c>
      <x:c r="F24" s="36" t="str">
        <x:v>Per release</x:v>
      </x:c>
      <x:c r="G24" s="36" t="str">
        <x:v>2027-Q2</x:v>
      </x:c>
      <x:c r="H24" s="36" t="str">
        <x:v>Publishing</x:v>
      </x:c>
      <x:c r="I24" s="36" t="str">
        <x:v>Independent reviewer / alternate</x:v>
      </x:c>
      <x:c r="J24" s="36" t="str">
        <x:v>Simulate bad build rollback/status</x:v>
      </x:c>
      <x:c r="K24" s="36" t="str">
        <x:v>8 h</x:v>
      </x:c>
      <x:c r="L24" s="36" t="str">
        <x:v>Known-good branch restored in plan</x:v>
      </x:c>
      <x:c r="M24" s="36" t="str">
        <x:v>NOT SCHEDULED</x:v>
      </x:c>
      <x:c r="N24" s="36" t="str">
        <x:v>NOT RUN</x:v>
      </x:c>
      <x:c r="O24" s="36" t="str"/>
      <x:c r="P24" s="36" t="str">
        <x:v>PLANNED</x:v>
      </x:c>
      <x:c r="Q24" s="36" t="str">
        <x:v>No evidence yet; schedule only when environment and owner are available.</x:v>
      </x:c>
    </x:row>
    <x:row r="25">
      <x:c r="A25" s="27" t="str">
        <x:v>EX-06-2026-Q3</x:v>
      </x:c>
      <x:c r="B25" s="27" t="str">
        <x:v>EX-06</x:v>
      </x:c>
      <x:c r="C25" s="36" t="str">
        <x:v>Primary workstation loss</x:v>
      </x:c>
      <x:c r="D25" s="36" t="str">
        <x:v>Disaster recovery</x:v>
      </x:c>
      <x:c r="E25" s="36" t="str">
        <x:v>BIA-16</x:v>
      </x:c>
      <x:c r="F25" s="36" t="str">
        <x:v>Semiannual</x:v>
      </x:c>
      <x:c r="G25" s="36" t="str">
        <x:v>2026-Q3</x:v>
      </x:c>
      <x:c r="H25" s="36" t="str">
        <x:v>Project Owner</x:v>
      </x:c>
      <x:c r="I25" s="36" t="str">
        <x:v>Independent reviewer / alternate</x:v>
      </x:c>
      <x:c r="J25" s="36" t="str">
        <x:v>Rebuild on alternate hardware</x:v>
      </x:c>
      <x:c r="K25" s="36" t="str">
        <x:v>48 h</x:v>
      </x:c>
      <x:c r="L25" s="36" t="str">
        <x:v>Productive environment and build</x:v>
      </x:c>
      <x:c r="M25" s="36" t="str">
        <x:v>NOT SCHEDULED</x:v>
      </x:c>
      <x:c r="N25" s="36" t="str">
        <x:v>NOT RUN</x:v>
      </x:c>
      <x:c r="O25" s="36" t="str"/>
      <x:c r="P25" s="36" t="str">
        <x:v>PLANNED</x:v>
      </x:c>
      <x:c r="Q25" s="36" t="str">
        <x:v>No evidence yet; schedule only when environment and owner are available.</x:v>
      </x:c>
    </x:row>
    <x:row r="26">
      <x:c r="A26" s="27" t="str">
        <x:v>EX-06-2026-Q4</x:v>
      </x:c>
      <x:c r="B26" s="27" t="str">
        <x:v>EX-06</x:v>
      </x:c>
      <x:c r="C26" s="36" t="str">
        <x:v>Primary workstation loss</x:v>
      </x:c>
      <x:c r="D26" s="36" t="str">
        <x:v>Disaster recovery</x:v>
      </x:c>
      <x:c r="E26" s="36" t="str">
        <x:v>BIA-16</x:v>
      </x:c>
      <x:c r="F26" s="36" t="str">
        <x:v>Semiannual</x:v>
      </x:c>
      <x:c r="G26" s="36" t="str">
        <x:v>2026-Q4</x:v>
      </x:c>
      <x:c r="H26" s="36" t="str">
        <x:v>Project Owner</x:v>
      </x:c>
      <x:c r="I26" s="36" t="str">
        <x:v>Independent reviewer / alternate</x:v>
      </x:c>
      <x:c r="J26" s="36" t="str">
        <x:v>Rebuild on alternate hardware</x:v>
      </x:c>
      <x:c r="K26" s="36" t="str">
        <x:v>48 h</x:v>
      </x:c>
      <x:c r="L26" s="36" t="str">
        <x:v>Productive environment and build</x:v>
      </x:c>
      <x:c r="M26" s="36" t="str">
        <x:v>NOT SCHEDULED</x:v>
      </x:c>
      <x:c r="N26" s="36" t="str">
        <x:v>NOT RUN</x:v>
      </x:c>
      <x:c r="O26" s="36" t="str"/>
      <x:c r="P26" s="36" t="str">
        <x:v>PLANNED</x:v>
      </x:c>
      <x:c r="Q26" s="36" t="str">
        <x:v>No evidence yet; schedule only when environment and owner are available.</x:v>
      </x:c>
    </x:row>
    <x:row r="27">
      <x:c r="A27" s="27" t="str">
        <x:v>EX-06-2027-Q1</x:v>
      </x:c>
      <x:c r="B27" s="27" t="str">
        <x:v>EX-06</x:v>
      </x:c>
      <x:c r="C27" s="36" t="str">
        <x:v>Primary workstation loss</x:v>
      </x:c>
      <x:c r="D27" s="36" t="str">
        <x:v>Disaster recovery</x:v>
      </x:c>
      <x:c r="E27" s="36" t="str">
        <x:v>BIA-16</x:v>
      </x:c>
      <x:c r="F27" s="36" t="str">
        <x:v>Semiannual</x:v>
      </x:c>
      <x:c r="G27" s="36" t="str">
        <x:v>2027-Q1</x:v>
      </x:c>
      <x:c r="H27" s="36" t="str">
        <x:v>Project Owner</x:v>
      </x:c>
      <x:c r="I27" s="36" t="str">
        <x:v>Independent reviewer / alternate</x:v>
      </x:c>
      <x:c r="J27" s="36" t="str">
        <x:v>Rebuild on alternate hardware</x:v>
      </x:c>
      <x:c r="K27" s="36" t="str">
        <x:v>48 h</x:v>
      </x:c>
      <x:c r="L27" s="36" t="str">
        <x:v>Productive environment and build</x:v>
      </x:c>
      <x:c r="M27" s="36" t="str">
        <x:v>NOT SCHEDULED</x:v>
      </x:c>
      <x:c r="N27" s="36" t="str">
        <x:v>NOT RUN</x:v>
      </x:c>
      <x:c r="O27" s="36" t="str"/>
      <x:c r="P27" s="36" t="str">
        <x:v>PLANNED</x:v>
      </x:c>
      <x:c r="Q27" s="36" t="str">
        <x:v>No evidence yet; schedule only when environment and owner are available.</x:v>
      </x:c>
    </x:row>
    <x:row r="28">
      <x:c r="A28" s="27" t="str">
        <x:v>EX-06-2027-Q2</x:v>
      </x:c>
      <x:c r="B28" s="27" t="str">
        <x:v>EX-06</x:v>
      </x:c>
      <x:c r="C28" s="36" t="str">
        <x:v>Primary workstation loss</x:v>
      </x:c>
      <x:c r="D28" s="36" t="str">
        <x:v>Disaster recovery</x:v>
      </x:c>
      <x:c r="E28" s="36" t="str">
        <x:v>BIA-16</x:v>
      </x:c>
      <x:c r="F28" s="36" t="str">
        <x:v>Semiannual</x:v>
      </x:c>
      <x:c r="G28" s="36" t="str">
        <x:v>2027-Q2</x:v>
      </x:c>
      <x:c r="H28" s="36" t="str">
        <x:v>Project Owner</x:v>
      </x:c>
      <x:c r="I28" s="36" t="str">
        <x:v>Independent reviewer / alternate</x:v>
      </x:c>
      <x:c r="J28" s="36" t="str">
        <x:v>Rebuild on alternate hardware</x:v>
      </x:c>
      <x:c r="K28" s="36" t="str">
        <x:v>48 h</x:v>
      </x:c>
      <x:c r="L28" s="36" t="str">
        <x:v>Productive environment and build</x:v>
      </x:c>
      <x:c r="M28" s="36" t="str">
        <x:v>NOT SCHEDULED</x:v>
      </x:c>
      <x:c r="N28" s="36" t="str">
        <x:v>NOT RUN</x:v>
      </x:c>
      <x:c r="O28" s="36" t="str"/>
      <x:c r="P28" s="36" t="str">
        <x:v>PLANNED</x:v>
      </x:c>
      <x:c r="Q28" s="36" t="str">
        <x:v>No evidence yet; schedule only when environment and owner are available.</x:v>
      </x:c>
    </x:row>
    <x:row r="29">
      <x:c r="A29" s="27" t="str">
        <x:v>EX-07-2026-Q3</x:v>
      </x:c>
      <x:c r="B29" s="27" t="str">
        <x:v>EX-07</x:v>
      </x:c>
      <x:c r="C29" s="36" t="str">
        <x:v>GitHub outage tabletop</x:v>
      </x:c>
      <x:c r="D29" s="36" t="str">
        <x:v>Service continuity</x:v>
      </x:c>
      <x:c r="E29" s="36" t="str">
        <x:v>BIA-15</x:v>
      </x:c>
      <x:c r="F29" s="36" t="str">
        <x:v>Semiannual</x:v>
      </x:c>
      <x:c r="G29" s="36" t="str">
        <x:v>2026-Q3</x:v>
      </x:c>
      <x:c r="H29" s="36" t="str">
        <x:v>Engineering</x:v>
      </x:c>
      <x:c r="I29" s="36" t="str">
        <x:v>Independent reviewer / alternate</x:v>
      </x:c>
      <x:c r="J29" s="36" t="str">
        <x:v>Continue local work and reconcile</x:v>
      </x:c>
      <x:c r="K29" s="36" t="str">
        <x:v>24 h</x:v>
      </x:c>
      <x:c r="L29" s="36" t="str">
        <x:v>No source loss/conflict</x:v>
      </x:c>
      <x:c r="M29" s="36" t="str">
        <x:v>NOT SCHEDULED</x:v>
      </x:c>
      <x:c r="N29" s="36" t="str">
        <x:v>NOT RUN</x:v>
      </x:c>
      <x:c r="O29" s="36" t="str"/>
      <x:c r="P29" s="36" t="str">
        <x:v>PLANNED</x:v>
      </x:c>
      <x:c r="Q29" s="36" t="str">
        <x:v>No evidence yet; schedule only when environment and owner are available.</x:v>
      </x:c>
    </x:row>
    <x:row r="30">
      <x:c r="A30" s="27" t="str">
        <x:v>EX-07-2026-Q4</x:v>
      </x:c>
      <x:c r="B30" s="27" t="str">
        <x:v>EX-07</x:v>
      </x:c>
      <x:c r="C30" s="36" t="str">
        <x:v>GitHub outage tabletop</x:v>
      </x:c>
      <x:c r="D30" s="36" t="str">
        <x:v>Service continuity</x:v>
      </x:c>
      <x:c r="E30" s="36" t="str">
        <x:v>BIA-15</x:v>
      </x:c>
      <x:c r="F30" s="36" t="str">
        <x:v>Semiannual</x:v>
      </x:c>
      <x:c r="G30" s="36" t="str">
        <x:v>2026-Q4</x:v>
      </x:c>
      <x:c r="H30" s="36" t="str">
        <x:v>Engineering</x:v>
      </x:c>
      <x:c r="I30" s="36" t="str">
        <x:v>Independent reviewer / alternate</x:v>
      </x:c>
      <x:c r="J30" s="36" t="str">
        <x:v>Continue local work and reconcile</x:v>
      </x:c>
      <x:c r="K30" s="36" t="str">
        <x:v>24 h</x:v>
      </x:c>
      <x:c r="L30" s="36" t="str">
        <x:v>No source loss/conflict</x:v>
      </x:c>
      <x:c r="M30" s="36" t="str">
        <x:v>NOT SCHEDULED</x:v>
      </x:c>
      <x:c r="N30" s="36" t="str">
        <x:v>NOT RUN</x:v>
      </x:c>
      <x:c r="O30" s="36" t="str"/>
      <x:c r="P30" s="36" t="str">
        <x:v>PLANNED</x:v>
      </x:c>
      <x:c r="Q30" s="36" t="str">
        <x:v>No evidence yet; schedule only when environment and owner are available.</x:v>
      </x:c>
    </x:row>
    <x:row r="31">
      <x:c r="A31" s="27" t="str">
        <x:v>EX-07-2027-Q1</x:v>
      </x:c>
      <x:c r="B31" s="27" t="str">
        <x:v>EX-07</x:v>
      </x:c>
      <x:c r="C31" s="36" t="str">
        <x:v>GitHub outage tabletop</x:v>
      </x:c>
      <x:c r="D31" s="36" t="str">
        <x:v>Service continuity</x:v>
      </x:c>
      <x:c r="E31" s="36" t="str">
        <x:v>BIA-15</x:v>
      </x:c>
      <x:c r="F31" s="36" t="str">
        <x:v>Semiannual</x:v>
      </x:c>
      <x:c r="G31" s="36" t="str">
        <x:v>2027-Q1</x:v>
      </x:c>
      <x:c r="H31" s="36" t="str">
        <x:v>Engineering</x:v>
      </x:c>
      <x:c r="I31" s="36" t="str">
        <x:v>Independent reviewer / alternate</x:v>
      </x:c>
      <x:c r="J31" s="36" t="str">
        <x:v>Continue local work and reconcile</x:v>
      </x:c>
      <x:c r="K31" s="36" t="str">
        <x:v>24 h</x:v>
      </x:c>
      <x:c r="L31" s="36" t="str">
        <x:v>No source loss/conflict</x:v>
      </x:c>
      <x:c r="M31" s="36" t="str">
        <x:v>NOT SCHEDULED</x:v>
      </x:c>
      <x:c r="N31" s="36" t="str">
        <x:v>NOT RUN</x:v>
      </x:c>
      <x:c r="O31" s="36" t="str"/>
      <x:c r="P31" s="36" t="str">
        <x:v>PLANNED</x:v>
      </x:c>
      <x:c r="Q31" s="36" t="str">
        <x:v>No evidence yet; schedule only when environment and owner are available.</x:v>
      </x:c>
    </x:row>
    <x:row r="32">
      <x:c r="A32" s="27" t="str">
        <x:v>EX-07-2027-Q2</x:v>
      </x:c>
      <x:c r="B32" s="27" t="str">
        <x:v>EX-07</x:v>
      </x:c>
      <x:c r="C32" s="36" t="str">
        <x:v>GitHub outage tabletop</x:v>
      </x:c>
      <x:c r="D32" s="36" t="str">
        <x:v>Service continuity</x:v>
      </x:c>
      <x:c r="E32" s="36" t="str">
        <x:v>BIA-15</x:v>
      </x:c>
      <x:c r="F32" s="36" t="str">
        <x:v>Semiannual</x:v>
      </x:c>
      <x:c r="G32" s="36" t="str">
        <x:v>2027-Q2</x:v>
      </x:c>
      <x:c r="H32" s="36" t="str">
        <x:v>Engineering</x:v>
      </x:c>
      <x:c r="I32" s="36" t="str">
        <x:v>Independent reviewer / alternate</x:v>
      </x:c>
      <x:c r="J32" s="36" t="str">
        <x:v>Continue local work and reconcile</x:v>
      </x:c>
      <x:c r="K32" s="36" t="str">
        <x:v>24 h</x:v>
      </x:c>
      <x:c r="L32" s="36" t="str">
        <x:v>No source loss/conflict</x:v>
      </x:c>
      <x:c r="M32" s="36" t="str">
        <x:v>NOT SCHEDULED</x:v>
      </x:c>
      <x:c r="N32" s="36" t="str">
        <x:v>NOT RUN</x:v>
      </x:c>
      <x:c r="O32" s="36" t="str"/>
      <x:c r="P32" s="36" t="str">
        <x:v>PLANNED</x:v>
      </x:c>
      <x:c r="Q32" s="36" t="str">
        <x:v>No evidence yet; schedule only when environment and owner are available.</x:v>
      </x:c>
    </x:row>
    <x:row r="33">
      <x:c r="A33" s="27" t="str">
        <x:v>EX-08-2026-Q3</x:v>
      </x:c>
      <x:c r="B33" s="27" t="str">
        <x:v>EX-08</x:v>
      </x:c>
      <x:c r="C33" s="36" t="str">
        <x:v>Total-loss clean-room restore</x:v>
      </x:c>
      <x:c r="D33" s="36" t="str">
        <x:v>Disaster recovery</x:v>
      </x:c>
      <x:c r="E33" s="36" t="str">
        <x:v>BIA-18</x:v>
      </x:c>
      <x:c r="F33" s="36" t="str">
        <x:v>Annual</x:v>
      </x:c>
      <x:c r="G33" s="36" t="str">
        <x:v>2026-Q3</x:v>
      </x:c>
      <x:c r="H33" s="36" t="str">
        <x:v>Project Owner</x:v>
      </x:c>
      <x:c r="I33" s="36" t="str">
        <x:v>Independent reviewer / alternate</x:v>
      </x:c>
      <x:c r="J33" s="36" t="str">
        <x:v>Recover Tier 0/1 assets from independent copy</x:v>
      </x:c>
      <x:c r="K33" s="36" t="str">
        <x:v>72 h</x:v>
      </x:c>
      <x:c r="L33" s="36" t="str">
        <x:v>Critical capabilities within RTO</x:v>
      </x:c>
      <x:c r="M33" s="36" t="str">
        <x:v>NOT SCHEDULED</x:v>
      </x:c>
      <x:c r="N33" s="36" t="str">
        <x:v>NOT RUN</x:v>
      </x:c>
      <x:c r="O33" s="36" t="str"/>
      <x:c r="P33" s="36" t="str">
        <x:v>PLANNED</x:v>
      </x:c>
      <x:c r="Q33" s="36" t="str">
        <x:v>No evidence yet; schedule only when environment and owner are available.</x:v>
      </x:c>
    </x:row>
    <x:row r="34">
      <x:c r="A34" s="27" t="str">
        <x:v>EX-08-2026-Q4</x:v>
      </x:c>
      <x:c r="B34" s="27" t="str">
        <x:v>EX-08</x:v>
      </x:c>
      <x:c r="C34" s="36" t="str">
        <x:v>Total-loss clean-room restore</x:v>
      </x:c>
      <x:c r="D34" s="36" t="str">
        <x:v>Disaster recovery</x:v>
      </x:c>
      <x:c r="E34" s="36" t="str">
        <x:v>BIA-18</x:v>
      </x:c>
      <x:c r="F34" s="36" t="str">
        <x:v>Annual</x:v>
      </x:c>
      <x:c r="G34" s="36" t="str">
        <x:v>2026-Q4</x:v>
      </x:c>
      <x:c r="H34" s="36" t="str">
        <x:v>Project Owner</x:v>
      </x:c>
      <x:c r="I34" s="36" t="str">
        <x:v>Independent reviewer / alternate</x:v>
      </x:c>
      <x:c r="J34" s="36" t="str">
        <x:v>Recover Tier 0/1 assets from independent copy</x:v>
      </x:c>
      <x:c r="K34" s="36" t="str">
        <x:v>72 h</x:v>
      </x:c>
      <x:c r="L34" s="36" t="str">
        <x:v>Critical capabilities within RTO</x:v>
      </x:c>
      <x:c r="M34" s="36" t="str">
        <x:v>NOT SCHEDULED</x:v>
      </x:c>
      <x:c r="N34" s="36" t="str">
        <x:v>NOT RUN</x:v>
      </x:c>
      <x:c r="O34" s="36" t="str"/>
      <x:c r="P34" s="36" t="str">
        <x:v>PLANNED</x:v>
      </x:c>
      <x:c r="Q34" s="36" t="str">
        <x:v>No evidence yet; schedule only when environment and owner are available.</x:v>
      </x:c>
    </x:row>
    <x:row r="35">
      <x:c r="A35" s="27" t="str">
        <x:v>EX-08-2027-Q1</x:v>
      </x:c>
      <x:c r="B35" s="27" t="str">
        <x:v>EX-08</x:v>
      </x:c>
      <x:c r="C35" s="36" t="str">
        <x:v>Total-loss clean-room restore</x:v>
      </x:c>
      <x:c r="D35" s="36" t="str">
        <x:v>Disaster recovery</x:v>
      </x:c>
      <x:c r="E35" s="36" t="str">
        <x:v>BIA-18</x:v>
      </x:c>
      <x:c r="F35" s="36" t="str">
        <x:v>Annual</x:v>
      </x:c>
      <x:c r="G35" s="36" t="str">
        <x:v>2027-Q1</x:v>
      </x:c>
      <x:c r="H35" s="36" t="str">
        <x:v>Project Owner</x:v>
      </x:c>
      <x:c r="I35" s="36" t="str">
        <x:v>Independent reviewer / alternate</x:v>
      </x:c>
      <x:c r="J35" s="36" t="str">
        <x:v>Recover Tier 0/1 assets from independent copy</x:v>
      </x:c>
      <x:c r="K35" s="36" t="str">
        <x:v>72 h</x:v>
      </x:c>
      <x:c r="L35" s="36" t="str">
        <x:v>Critical capabilities within RTO</x:v>
      </x:c>
      <x:c r="M35" s="36" t="str">
        <x:v>NOT SCHEDULED</x:v>
      </x:c>
      <x:c r="N35" s="36" t="str">
        <x:v>NOT RUN</x:v>
      </x:c>
      <x:c r="O35" s="36" t="str"/>
      <x:c r="P35" s="36" t="str">
        <x:v>PLANNED</x:v>
      </x:c>
      <x:c r="Q35" s="36" t="str">
        <x:v>No evidence yet; schedule only when environment and owner are available.</x:v>
      </x:c>
    </x:row>
    <x:row r="36">
      <x:c r="A36" s="27" t="str">
        <x:v>EX-08-2027-Q2</x:v>
      </x:c>
      <x:c r="B36" s="27" t="str">
        <x:v>EX-08</x:v>
      </x:c>
      <x:c r="C36" s="36" t="str">
        <x:v>Total-loss clean-room restore</x:v>
      </x:c>
      <x:c r="D36" s="36" t="str">
        <x:v>Disaster recovery</x:v>
      </x:c>
      <x:c r="E36" s="36" t="str">
        <x:v>BIA-18</x:v>
      </x:c>
      <x:c r="F36" s="36" t="str">
        <x:v>Annual</x:v>
      </x:c>
      <x:c r="G36" s="36" t="str">
        <x:v>2027-Q2</x:v>
      </x:c>
      <x:c r="H36" s="36" t="str">
        <x:v>Project Owner</x:v>
      </x:c>
      <x:c r="I36" s="36" t="str">
        <x:v>Independent reviewer / alternate</x:v>
      </x:c>
      <x:c r="J36" s="36" t="str">
        <x:v>Recover Tier 0/1 assets from independent copy</x:v>
      </x:c>
      <x:c r="K36" s="36" t="str">
        <x:v>72 h</x:v>
      </x:c>
      <x:c r="L36" s="36" t="str">
        <x:v>Critical capabilities within RTO</x:v>
      </x:c>
      <x:c r="M36" s="36" t="str">
        <x:v>NOT SCHEDULED</x:v>
      </x:c>
      <x:c r="N36" s="36" t="str">
        <x:v>NOT RUN</x:v>
      </x:c>
      <x:c r="O36" s="36" t="str"/>
      <x:c r="P36" s="36" t="str">
        <x:v>PLANNED</x:v>
      </x:c>
      <x:c r="Q36" s="36" t="str">
        <x:v>No evidence yet; schedule only when environment and owner are available.</x:v>
      </x:c>
    </x:row>
    <x:row r="37">
      <x:c r="A37" s="27" t="str">
        <x:v>EX-09-2026-Q3</x:v>
      </x:c>
      <x:c r="B37" s="27" t="str">
        <x:v>EX-09</x:v>
      </x:c>
      <x:c r="C37" s="36" t="str">
        <x:v>Legal evidence sampling</x:v>
      </x:c>
      <x:c r="D37" s="36" t="str">
        <x:v>Compliance recovery</x:v>
      </x:c>
      <x:c r="E37" s="36" t="str">
        <x:v>BIA-10</x:v>
      </x:c>
      <x:c r="F37" s="36" t="str">
        <x:v>Quarterly</x:v>
      </x:c>
      <x:c r="G37" s="36" t="str">
        <x:v>2026-Q3</x:v>
      </x:c>
      <x:c r="H37" s="36" t="str">
        <x:v>Legal/Production</x:v>
      </x:c>
      <x:c r="I37" s="36" t="str">
        <x:v>Independent reviewer / alternate</x:v>
      </x:c>
      <x:c r="J37" s="36" t="str">
        <x:v>Locate proof for random assets</x:v>
      </x:c>
      <x:c r="K37" s="36" t="str">
        <x:v>24 h</x:v>
      </x:c>
      <x:c r="L37" s="36" t="str">
        <x:v>100% sample has valid evidence</x:v>
      </x:c>
      <x:c r="M37" s="36" t="str">
        <x:v>NOT SCHEDULED</x:v>
      </x:c>
      <x:c r="N37" s="36" t="str">
        <x:v>NOT RUN</x:v>
      </x:c>
      <x:c r="O37" s="36" t="str"/>
      <x:c r="P37" s="36" t="str">
        <x:v>PLANNED</x:v>
      </x:c>
      <x:c r="Q37" s="36" t="str">
        <x:v>No evidence yet; schedule only when environment and owner are available.</x:v>
      </x:c>
    </x:row>
    <x:row r="38">
      <x:c r="A38" s="27" t="str">
        <x:v>EX-09-2026-Q4</x:v>
      </x:c>
      <x:c r="B38" s="27" t="str">
        <x:v>EX-09</x:v>
      </x:c>
      <x:c r="C38" s="36" t="str">
        <x:v>Legal evidence sampling</x:v>
      </x:c>
      <x:c r="D38" s="36" t="str">
        <x:v>Compliance recovery</x:v>
      </x:c>
      <x:c r="E38" s="36" t="str">
        <x:v>BIA-10</x:v>
      </x:c>
      <x:c r="F38" s="36" t="str">
        <x:v>Quarterly</x:v>
      </x:c>
      <x:c r="G38" s="36" t="str">
        <x:v>2026-Q4</x:v>
      </x:c>
      <x:c r="H38" s="36" t="str">
        <x:v>Legal/Production</x:v>
      </x:c>
      <x:c r="I38" s="36" t="str">
        <x:v>Independent reviewer / alternate</x:v>
      </x:c>
      <x:c r="J38" s="36" t="str">
        <x:v>Locate proof for random assets</x:v>
      </x:c>
      <x:c r="K38" s="36" t="str">
        <x:v>24 h</x:v>
      </x:c>
      <x:c r="L38" s="36" t="str">
        <x:v>100% sample has valid evidence</x:v>
      </x:c>
      <x:c r="M38" s="36" t="str">
        <x:v>NOT SCHEDULED</x:v>
      </x:c>
      <x:c r="N38" s="36" t="str">
        <x:v>NOT RUN</x:v>
      </x:c>
      <x:c r="O38" s="36" t="str"/>
      <x:c r="P38" s="36" t="str">
        <x:v>PLANNED</x:v>
      </x:c>
      <x:c r="Q38" s="36" t="str">
        <x:v>No evidence yet; schedule only when environment and owner are available.</x:v>
      </x:c>
    </x:row>
    <x:row r="39">
      <x:c r="A39" s="27" t="str">
        <x:v>EX-09-2027-Q1</x:v>
      </x:c>
      <x:c r="B39" s="27" t="str">
        <x:v>EX-09</x:v>
      </x:c>
      <x:c r="C39" s="36" t="str">
        <x:v>Legal evidence sampling</x:v>
      </x:c>
      <x:c r="D39" s="36" t="str">
        <x:v>Compliance recovery</x:v>
      </x:c>
      <x:c r="E39" s="36" t="str">
        <x:v>BIA-10</x:v>
      </x:c>
      <x:c r="F39" s="36" t="str">
        <x:v>Quarterly</x:v>
      </x:c>
      <x:c r="G39" s="36" t="str">
        <x:v>2027-Q1</x:v>
      </x:c>
      <x:c r="H39" s="36" t="str">
        <x:v>Legal/Production</x:v>
      </x:c>
      <x:c r="I39" s="36" t="str">
        <x:v>Independent reviewer / alternate</x:v>
      </x:c>
      <x:c r="J39" s="36" t="str">
        <x:v>Locate proof for random assets</x:v>
      </x:c>
      <x:c r="K39" s="36" t="str">
        <x:v>24 h</x:v>
      </x:c>
      <x:c r="L39" s="36" t="str">
        <x:v>100% sample has valid evidence</x:v>
      </x:c>
      <x:c r="M39" s="36" t="str">
        <x:v>NOT SCHEDULED</x:v>
      </x:c>
      <x:c r="N39" s="36" t="str">
        <x:v>NOT RUN</x:v>
      </x:c>
      <x:c r="O39" s="36" t="str"/>
      <x:c r="P39" s="36" t="str">
        <x:v>PLANNED</x:v>
      </x:c>
      <x:c r="Q39" s="36" t="str">
        <x:v>No evidence yet; schedule only when environment and owner are available.</x:v>
      </x:c>
    </x:row>
    <x:row r="40">
      <x:c r="A40" s="27" t="str">
        <x:v>EX-09-2027-Q2</x:v>
      </x:c>
      <x:c r="B40" s="27" t="str">
        <x:v>EX-09</x:v>
      </x:c>
      <x:c r="C40" s="36" t="str">
        <x:v>Legal evidence sampling</x:v>
      </x:c>
      <x:c r="D40" s="36" t="str">
        <x:v>Compliance recovery</x:v>
      </x:c>
      <x:c r="E40" s="36" t="str">
        <x:v>BIA-10</x:v>
      </x:c>
      <x:c r="F40" s="36" t="str">
        <x:v>Quarterly</x:v>
      </x:c>
      <x:c r="G40" s="36" t="str">
        <x:v>2027-Q2</x:v>
      </x:c>
      <x:c r="H40" s="36" t="str">
        <x:v>Legal/Production</x:v>
      </x:c>
      <x:c r="I40" s="36" t="str">
        <x:v>Independent reviewer / alternate</x:v>
      </x:c>
      <x:c r="J40" s="36" t="str">
        <x:v>Locate proof for random assets</x:v>
      </x:c>
      <x:c r="K40" s="36" t="str">
        <x:v>24 h</x:v>
      </x:c>
      <x:c r="L40" s="36" t="str">
        <x:v>100% sample has valid evidence</x:v>
      </x:c>
      <x:c r="M40" s="36" t="str">
        <x:v>NOT SCHEDULED</x:v>
      </x:c>
      <x:c r="N40" s="36" t="str">
        <x:v>NOT RUN</x:v>
      </x:c>
      <x:c r="O40" s="36" t="str"/>
      <x:c r="P40" s="36" t="str">
        <x:v>PLANNED</x:v>
      </x:c>
      <x:c r="Q40" s="36" t="str">
        <x:v>No evidence yet; schedule only when environment and owner are available.</x:v>
      </x:c>
    </x:row>
    <x:row r="41">
      <x:c r="A41" s="27" t="str">
        <x:v>EX-10-2026-Q3</x:v>
      </x:c>
      <x:c r="B41" s="27" t="str">
        <x:v>EX-10</x:v>
      </x:c>
      <x:c r="C41" s="36" t="str">
        <x:v>QA gate packet reconstruction</x:v>
      </x:c>
      <x:c r="D41" s="36" t="str">
        <x:v>Operational recovery</x:v>
      </x:c>
      <x:c r="E41" s="36" t="str">
        <x:v>BIA-06</x:v>
      </x:c>
      <x:c r="F41" s="36" t="str">
        <x:v>Per milestone</x:v>
      </x:c>
      <x:c r="G41" s="36" t="str">
        <x:v>2026-Q3</x:v>
      </x:c>
      <x:c r="H41" s="36" t="str">
        <x:v>QA</x:v>
      </x:c>
      <x:c r="I41" s="36" t="str">
        <x:v>Independent reviewer / alternate</x:v>
      </x:c>
      <x:c r="J41" s="36" t="str">
        <x:v>Recreate H6/RC evidence packet</x:v>
      </x:c>
      <x:c r="K41" s="36" t="str">
        <x:v>24 h</x:v>
      </x:c>
      <x:c r="L41" s="36" t="str">
        <x:v>No unverifiable PASS</x:v>
      </x:c>
      <x:c r="M41" s="36" t="str">
        <x:v>NOT SCHEDULED</x:v>
      </x:c>
      <x:c r="N41" s="36" t="str">
        <x:v>NOT RUN</x:v>
      </x:c>
      <x:c r="O41" s="36" t="str"/>
      <x:c r="P41" s="36" t="str">
        <x:v>PLANNED</x:v>
      </x:c>
      <x:c r="Q41" s="36" t="str">
        <x:v>No evidence yet; schedule only when environment and owner are available.</x:v>
      </x:c>
    </x:row>
    <x:row r="42">
      <x:c r="A42" s="27" t="str">
        <x:v>EX-10-2026-Q4</x:v>
      </x:c>
      <x:c r="B42" s="27" t="str">
        <x:v>EX-10</x:v>
      </x:c>
      <x:c r="C42" s="36" t="str">
        <x:v>QA gate packet reconstruction</x:v>
      </x:c>
      <x:c r="D42" s="36" t="str">
        <x:v>Operational recovery</x:v>
      </x:c>
      <x:c r="E42" s="36" t="str">
        <x:v>BIA-06</x:v>
      </x:c>
      <x:c r="F42" s="36" t="str">
        <x:v>Per milestone</x:v>
      </x:c>
      <x:c r="G42" s="36" t="str">
        <x:v>2026-Q4</x:v>
      </x:c>
      <x:c r="H42" s="36" t="str">
        <x:v>QA</x:v>
      </x:c>
      <x:c r="I42" s="36" t="str">
        <x:v>Independent reviewer / alternate</x:v>
      </x:c>
      <x:c r="J42" s="36" t="str">
        <x:v>Recreate H6/RC evidence packet</x:v>
      </x:c>
      <x:c r="K42" s="36" t="str">
        <x:v>24 h</x:v>
      </x:c>
      <x:c r="L42" s="36" t="str">
        <x:v>No unverifiable PASS</x:v>
      </x:c>
      <x:c r="M42" s="36" t="str">
        <x:v>NOT SCHEDULED</x:v>
      </x:c>
      <x:c r="N42" s="36" t="str">
        <x:v>NOT RUN</x:v>
      </x:c>
      <x:c r="O42" s="36" t="str"/>
      <x:c r="P42" s="36" t="str">
        <x:v>PLANNED</x:v>
      </x:c>
      <x:c r="Q42" s="36" t="str">
        <x:v>No evidence yet; schedule only when environment and owner are available.</x:v>
      </x:c>
    </x:row>
    <x:row r="43">
      <x:c r="A43" s="27" t="str">
        <x:v>EX-10-2027-Q1</x:v>
      </x:c>
      <x:c r="B43" s="27" t="str">
        <x:v>EX-10</x:v>
      </x:c>
      <x:c r="C43" s="36" t="str">
        <x:v>QA gate packet reconstruction</x:v>
      </x:c>
      <x:c r="D43" s="36" t="str">
        <x:v>Operational recovery</x:v>
      </x:c>
      <x:c r="E43" s="36" t="str">
        <x:v>BIA-06</x:v>
      </x:c>
      <x:c r="F43" s="36" t="str">
        <x:v>Per milestone</x:v>
      </x:c>
      <x:c r="G43" s="36" t="str">
        <x:v>2027-Q1</x:v>
      </x:c>
      <x:c r="H43" s="36" t="str">
        <x:v>QA</x:v>
      </x:c>
      <x:c r="I43" s="36" t="str">
        <x:v>Independent reviewer / alternate</x:v>
      </x:c>
      <x:c r="J43" s="36" t="str">
        <x:v>Recreate H6/RC evidence packet</x:v>
      </x:c>
      <x:c r="K43" s="36" t="str">
        <x:v>24 h</x:v>
      </x:c>
      <x:c r="L43" s="36" t="str">
        <x:v>No unverifiable PASS</x:v>
      </x:c>
      <x:c r="M43" s="36" t="str">
        <x:v>NOT SCHEDULED</x:v>
      </x:c>
      <x:c r="N43" s="36" t="str">
        <x:v>NOT RUN</x:v>
      </x:c>
      <x:c r="O43" s="36" t="str"/>
      <x:c r="P43" s="36" t="str">
        <x:v>PLANNED</x:v>
      </x:c>
      <x:c r="Q43" s="36" t="str">
        <x:v>No evidence yet; schedule only when environment and owner are available.</x:v>
      </x:c>
    </x:row>
    <x:row r="44">
      <x:c r="A44" s="27" t="str">
        <x:v>EX-10-2027-Q2</x:v>
      </x:c>
      <x:c r="B44" s="27" t="str">
        <x:v>EX-10</x:v>
      </x:c>
      <x:c r="C44" s="36" t="str">
        <x:v>QA gate packet reconstruction</x:v>
      </x:c>
      <x:c r="D44" s="36" t="str">
        <x:v>Operational recovery</x:v>
      </x:c>
      <x:c r="E44" s="36" t="str">
        <x:v>BIA-06</x:v>
      </x:c>
      <x:c r="F44" s="36" t="str">
        <x:v>Per milestone</x:v>
      </x:c>
      <x:c r="G44" s="36" t="str">
        <x:v>2027-Q2</x:v>
      </x:c>
      <x:c r="H44" s="36" t="str">
        <x:v>QA</x:v>
      </x:c>
      <x:c r="I44" s="36" t="str">
        <x:v>Independent reviewer / alternate</x:v>
      </x:c>
      <x:c r="J44" s="36" t="str">
        <x:v>Recreate H6/RC evidence packet</x:v>
      </x:c>
      <x:c r="K44" s="36" t="str">
        <x:v>24 h</x:v>
      </x:c>
      <x:c r="L44" s="36" t="str">
        <x:v>No unverifiable PASS</x:v>
      </x:c>
      <x:c r="M44" s="36" t="str">
        <x:v>NOT SCHEDULED</x:v>
      </x:c>
      <x:c r="N44" s="36" t="str">
        <x:v>NOT RUN</x:v>
      </x:c>
      <x:c r="O44" s="36" t="str"/>
      <x:c r="P44" s="36" t="str">
        <x:v>PLANNED</x:v>
      </x:c>
      <x:c r="Q44" s="36" t="str">
        <x:v>No evidence yet; schedule only when environment and owner are available.</x:v>
      </x:c>
    </x:row>
    <x:row r="45">
      <x:c r="A45" s="27" t="str">
        <x:v>EX-11-2026-Q3</x:v>
      </x:c>
      <x:c r="B45" s="27" t="str">
        <x:v>EX-11</x:v>
      </x:c>
      <x:c r="C45" s="36" t="str">
        <x:v>Domain/email recovery tabletop</x:v>
      </x:c>
      <x:c r="D45" s="36" t="str">
        <x:v>Identity continuity</x:v>
      </x:c>
      <x:c r="E45" s="36" t="str">
        <x:v>BIA-15</x:v>
      </x:c>
      <x:c r="F45" s="36" t="str">
        <x:v>Annual</x:v>
      </x:c>
      <x:c r="G45" s="36" t="str">
        <x:v>2026-Q3</x:v>
      </x:c>
      <x:c r="H45" s="36" t="str">
        <x:v>Marketing/IT</x:v>
      </x:c>
      <x:c r="I45" s="36" t="str">
        <x:v>Independent reviewer / alternate</x:v>
      </x:c>
      <x:c r="J45" s="36" t="str">
        <x:v>Recover registrar/DNS/email/dependencies</x:v>
      </x:c>
      <x:c r="K45" s="36" t="str">
        <x:v>8 h</x:v>
      </x:c>
      <x:c r="L45" s="36" t="str">
        <x:v>Identity and mail restored</x:v>
      </x:c>
      <x:c r="M45" s="36" t="str">
        <x:v>NOT SCHEDULED</x:v>
      </x:c>
      <x:c r="N45" s="36" t="str">
        <x:v>NOT RUN</x:v>
      </x:c>
      <x:c r="O45" s="36" t="str"/>
      <x:c r="P45" s="36" t="str">
        <x:v>PLANNED</x:v>
      </x:c>
      <x:c r="Q45" s="36" t="str">
        <x:v>No evidence yet; schedule only when environment and owner are available.</x:v>
      </x:c>
    </x:row>
    <x:row r="46">
      <x:c r="A46" s="27" t="str">
        <x:v>EX-11-2026-Q4</x:v>
      </x:c>
      <x:c r="B46" s="27" t="str">
        <x:v>EX-11</x:v>
      </x:c>
      <x:c r="C46" s="36" t="str">
        <x:v>Domain/email recovery tabletop</x:v>
      </x:c>
      <x:c r="D46" s="36" t="str">
        <x:v>Identity continuity</x:v>
      </x:c>
      <x:c r="E46" s="36" t="str">
        <x:v>BIA-15</x:v>
      </x:c>
      <x:c r="F46" s="36" t="str">
        <x:v>Annual</x:v>
      </x:c>
      <x:c r="G46" s="36" t="str">
        <x:v>2026-Q4</x:v>
      </x:c>
      <x:c r="H46" s="36" t="str">
        <x:v>Marketing/IT</x:v>
      </x:c>
      <x:c r="I46" s="36" t="str">
        <x:v>Independent reviewer / alternate</x:v>
      </x:c>
      <x:c r="J46" s="36" t="str">
        <x:v>Recover registrar/DNS/email/dependencies</x:v>
      </x:c>
      <x:c r="K46" s="36" t="str">
        <x:v>8 h</x:v>
      </x:c>
      <x:c r="L46" s="36" t="str">
        <x:v>Identity and mail restored</x:v>
      </x:c>
      <x:c r="M46" s="36" t="str">
        <x:v>NOT SCHEDULED</x:v>
      </x:c>
      <x:c r="N46" s="36" t="str">
        <x:v>NOT RUN</x:v>
      </x:c>
      <x:c r="O46" s="36" t="str"/>
      <x:c r="P46" s="36" t="str">
        <x:v>PLANNED</x:v>
      </x:c>
      <x:c r="Q46" s="36" t="str">
        <x:v>No evidence yet; schedule only when environment and owner are available.</x:v>
      </x:c>
    </x:row>
    <x:row r="47">
      <x:c r="A47" s="27" t="str">
        <x:v>EX-11-2027-Q1</x:v>
      </x:c>
      <x:c r="B47" s="27" t="str">
        <x:v>EX-11</x:v>
      </x:c>
      <x:c r="C47" s="36" t="str">
        <x:v>Domain/email recovery tabletop</x:v>
      </x:c>
      <x:c r="D47" s="36" t="str">
        <x:v>Identity continuity</x:v>
      </x:c>
      <x:c r="E47" s="36" t="str">
        <x:v>BIA-15</x:v>
      </x:c>
      <x:c r="F47" s="36" t="str">
        <x:v>Annual</x:v>
      </x:c>
      <x:c r="G47" s="36" t="str">
        <x:v>2027-Q1</x:v>
      </x:c>
      <x:c r="H47" s="36" t="str">
        <x:v>Marketing/IT</x:v>
      </x:c>
      <x:c r="I47" s="36" t="str">
        <x:v>Independent reviewer / alternate</x:v>
      </x:c>
      <x:c r="J47" s="36" t="str">
        <x:v>Recover registrar/DNS/email/dependencies</x:v>
      </x:c>
      <x:c r="K47" s="36" t="str">
        <x:v>8 h</x:v>
      </x:c>
      <x:c r="L47" s="36" t="str">
        <x:v>Identity and mail restored</x:v>
      </x:c>
      <x:c r="M47" s="36" t="str">
        <x:v>NOT SCHEDULED</x:v>
      </x:c>
      <x:c r="N47" s="36" t="str">
        <x:v>NOT RUN</x:v>
      </x:c>
      <x:c r="O47" s="36" t="str"/>
      <x:c r="P47" s="36" t="str">
        <x:v>PLANNED</x:v>
      </x:c>
      <x:c r="Q47" s="36" t="str">
        <x:v>No evidence yet; schedule only when environment and owner are available.</x:v>
      </x:c>
    </x:row>
    <x:row r="48">
      <x:c r="A48" s="27" t="str">
        <x:v>EX-11-2027-Q2</x:v>
      </x:c>
      <x:c r="B48" s="27" t="str">
        <x:v>EX-11</x:v>
      </x:c>
      <x:c r="C48" s="36" t="str">
        <x:v>Domain/email recovery tabletop</x:v>
      </x:c>
      <x:c r="D48" s="36" t="str">
        <x:v>Identity continuity</x:v>
      </x:c>
      <x:c r="E48" s="36" t="str">
        <x:v>BIA-15</x:v>
      </x:c>
      <x:c r="F48" s="36" t="str">
        <x:v>Annual</x:v>
      </x:c>
      <x:c r="G48" s="36" t="str">
        <x:v>2027-Q2</x:v>
      </x:c>
      <x:c r="H48" s="36" t="str">
        <x:v>Marketing/IT</x:v>
      </x:c>
      <x:c r="I48" s="36" t="str">
        <x:v>Independent reviewer / alternate</x:v>
      </x:c>
      <x:c r="J48" s="36" t="str">
        <x:v>Recover registrar/DNS/email/dependencies</x:v>
      </x:c>
      <x:c r="K48" s="36" t="str">
        <x:v>8 h</x:v>
      </x:c>
      <x:c r="L48" s="36" t="str">
        <x:v>Identity and mail restored</x:v>
      </x:c>
      <x:c r="M48" s="36" t="str">
        <x:v>NOT SCHEDULED</x:v>
      </x:c>
      <x:c r="N48" s="36" t="str">
        <x:v>NOT RUN</x:v>
      </x:c>
      <x:c r="O48" s="36" t="str"/>
      <x:c r="P48" s="36" t="str">
        <x:v>PLANNED</x:v>
      </x:c>
      <x:c r="Q48" s="36" t="str">
        <x:v>No evidence yet; schedule only when environment and owner are available.</x:v>
      </x:c>
    </x:row>
    <x:row r="49">
      <x:c r="A49" s="27" t="str">
        <x:v>EX-12-2026-Q3</x:v>
      </x:c>
      <x:c r="B49" s="27" t="str">
        <x:v>EX-12</x:v>
      </x:c>
      <x:c r="C49" s="36" t="str">
        <x:v>Malware/secret leak tabletop</x:v>
      </x:c>
      <x:c r="D49" s="36" t="str">
        <x:v>Security incident</x:v>
      </x:c>
      <x:c r="E49" s="36" t="str">
        <x:v>BIA-08</x:v>
      </x:c>
      <x:c r="F49" s="36" t="str">
        <x:v>Semiannual</x:v>
      </x:c>
      <x:c r="G49" s="36" t="str">
        <x:v>2026-Q3</x:v>
      </x:c>
      <x:c r="H49" s="36" t="str">
        <x:v>Security</x:v>
      </x:c>
      <x:c r="I49" s="36" t="str">
        <x:v>Independent reviewer / alternate</x:v>
      </x:c>
      <x:c r="J49" s="36" t="str">
        <x:v>Rotate, isolate and preserve evidence</x:v>
      </x:c>
      <x:c r="K49" s="36" t="str">
        <x:v>4 h</x:v>
      </x:c>
      <x:c r="L49" s="36" t="str">
        <x:v>Blast radius contained</x:v>
      </x:c>
      <x:c r="M49" s="36" t="str">
        <x:v>NOT SCHEDULED</x:v>
      </x:c>
      <x:c r="N49" s="36" t="str">
        <x:v>NOT RUN</x:v>
      </x:c>
      <x:c r="O49" s="36" t="str"/>
      <x:c r="P49" s="36" t="str">
        <x:v>PLANNED</x:v>
      </x:c>
      <x:c r="Q49" s="36" t="str">
        <x:v>No evidence yet; schedule only when environment and owner are available.</x:v>
      </x:c>
    </x:row>
    <x:row r="50">
      <x:c r="A50" s="27" t="str">
        <x:v>EX-12-2026-Q4</x:v>
      </x:c>
      <x:c r="B50" s="27" t="str">
        <x:v>EX-12</x:v>
      </x:c>
      <x:c r="C50" s="36" t="str">
        <x:v>Malware/secret leak tabletop</x:v>
      </x:c>
      <x:c r="D50" s="36" t="str">
        <x:v>Security incident</x:v>
      </x:c>
      <x:c r="E50" s="36" t="str">
        <x:v>BIA-08</x:v>
      </x:c>
      <x:c r="F50" s="36" t="str">
        <x:v>Semiannual</x:v>
      </x:c>
      <x:c r="G50" s="36" t="str">
        <x:v>2026-Q4</x:v>
      </x:c>
      <x:c r="H50" s="36" t="str">
        <x:v>Security</x:v>
      </x:c>
      <x:c r="I50" s="36" t="str">
        <x:v>Independent reviewer / alternate</x:v>
      </x:c>
      <x:c r="J50" s="36" t="str">
        <x:v>Rotate, isolate and preserve evidence</x:v>
      </x:c>
      <x:c r="K50" s="36" t="str">
        <x:v>4 h</x:v>
      </x:c>
      <x:c r="L50" s="36" t="str">
        <x:v>Blast radius contained</x:v>
      </x:c>
      <x:c r="M50" s="36" t="str">
        <x:v>NOT SCHEDULED</x:v>
      </x:c>
      <x:c r="N50" s="36" t="str">
        <x:v>NOT RUN</x:v>
      </x:c>
      <x:c r="O50" s="36" t="str"/>
      <x:c r="P50" s="36" t="str">
        <x:v>PLANNED</x:v>
      </x:c>
      <x:c r="Q50" s="36" t="str">
        <x:v>No evidence yet; schedule only when environment and owner are available.</x:v>
      </x:c>
    </x:row>
    <x:row r="51">
      <x:c r="A51" s="27" t="str">
        <x:v>EX-12-2027-Q1</x:v>
      </x:c>
      <x:c r="B51" s="27" t="str">
        <x:v>EX-12</x:v>
      </x:c>
      <x:c r="C51" s="36" t="str">
        <x:v>Malware/secret leak tabletop</x:v>
      </x:c>
      <x:c r="D51" s="36" t="str">
        <x:v>Security incident</x:v>
      </x:c>
      <x:c r="E51" s="36" t="str">
        <x:v>BIA-08</x:v>
      </x:c>
      <x:c r="F51" s="36" t="str">
        <x:v>Semiannual</x:v>
      </x:c>
      <x:c r="G51" s="36" t="str">
        <x:v>2027-Q1</x:v>
      </x:c>
      <x:c r="H51" s="36" t="str">
        <x:v>Security</x:v>
      </x:c>
      <x:c r="I51" s="36" t="str">
        <x:v>Independent reviewer / alternate</x:v>
      </x:c>
      <x:c r="J51" s="36" t="str">
        <x:v>Rotate, isolate and preserve evidence</x:v>
      </x:c>
      <x:c r="K51" s="36" t="str">
        <x:v>4 h</x:v>
      </x:c>
      <x:c r="L51" s="36" t="str">
        <x:v>Blast radius contained</x:v>
      </x:c>
      <x:c r="M51" s="36" t="str">
        <x:v>NOT SCHEDULED</x:v>
      </x:c>
      <x:c r="N51" s="36" t="str">
        <x:v>NOT RUN</x:v>
      </x:c>
      <x:c r="O51" s="36" t="str"/>
      <x:c r="P51" s="36" t="str">
        <x:v>PLANNED</x:v>
      </x:c>
      <x:c r="Q51" s="36" t="str">
        <x:v>No evidence yet; schedule only when environment and owner are available.</x:v>
      </x:c>
    </x:row>
    <x:row r="52">
      <x:c r="A52" s="27" t="str">
        <x:v>EX-12-2027-Q2</x:v>
      </x:c>
      <x:c r="B52" s="27" t="str">
        <x:v>EX-12</x:v>
      </x:c>
      <x:c r="C52" s="36" t="str">
        <x:v>Malware/secret leak tabletop</x:v>
      </x:c>
      <x:c r="D52" s="36" t="str">
        <x:v>Security incident</x:v>
      </x:c>
      <x:c r="E52" s="36" t="str">
        <x:v>BIA-08</x:v>
      </x:c>
      <x:c r="F52" s="36" t="str">
        <x:v>Semiannual</x:v>
      </x:c>
      <x:c r="G52" s="36" t="str">
        <x:v>2027-Q2</x:v>
      </x:c>
      <x:c r="H52" s="36" t="str">
        <x:v>Security</x:v>
      </x:c>
      <x:c r="I52" s="36" t="str">
        <x:v>Independent reviewer / alternate</x:v>
      </x:c>
      <x:c r="J52" s="36" t="str">
        <x:v>Rotate, isolate and preserve evidence</x:v>
      </x:c>
      <x:c r="K52" s="36" t="str">
        <x:v>4 h</x:v>
      </x:c>
      <x:c r="L52" s="36" t="str">
        <x:v>Blast radius contained</x:v>
      </x:c>
      <x:c r="M52" s="36" t="str">
        <x:v>NOT SCHEDULED</x:v>
      </x:c>
      <x:c r="N52" s="36" t="str">
        <x:v>NOT RUN</x:v>
      </x:c>
      <x:c r="O52" s="36" t="str"/>
      <x:c r="P52" s="36" t="str">
        <x:v>PLANNED</x:v>
      </x:c>
      <x:c r="Q52" s="36" t="str">
        <x:v>No evidence yet; schedule only when environment and owner are available.</x:v>
      </x:c>
    </x:row>
    <x:row r="53">
      <x:c r="A53" s="27" t="str">
        <x:v>EX-13-2026-Q3</x:v>
      </x:c>
      <x:c r="B53" s="27" t="str">
        <x:v>EX-13</x:v>
      </x:c>
      <x:c r="C53" s="36" t="str">
        <x:v>Source asset restore and reimport</x:v>
      </x:c>
      <x:c r="D53" s="36" t="str">
        <x:v>Content recovery</x:v>
      </x:c>
      <x:c r="E53" s="36" t="str">
        <x:v>BIA-13</x:v>
      </x:c>
      <x:c r="F53" s="36" t="str">
        <x:v>Quarterly</x:v>
      </x:c>
      <x:c r="G53" s="36" t="str">
        <x:v>2026-Q3</x:v>
      </x:c>
      <x:c r="H53" s="36" t="str">
        <x:v>Art/Audio</x:v>
      </x:c>
      <x:c r="I53" s="36" t="str">
        <x:v>Independent reviewer / alternate</x:v>
      </x:c>
      <x:c r="J53" s="36" t="str">
        <x:v>Restore source and regenerate derivative</x:v>
      </x:c>
      <x:c r="K53" s="36" t="str">
        <x:v>72 h</x:v>
      </x:c>
      <x:c r="L53" s="36" t="str">
        <x:v>Scene/build references valid</x:v>
      </x:c>
      <x:c r="M53" s="36" t="str">
        <x:v>NOT SCHEDULED</x:v>
      </x:c>
      <x:c r="N53" s="36" t="str">
        <x:v>NOT RUN</x:v>
      </x:c>
      <x:c r="O53" s="36" t="str"/>
      <x:c r="P53" s="36" t="str">
        <x:v>PLANNED</x:v>
      </x:c>
      <x:c r="Q53" s="36" t="str">
        <x:v>No evidence yet; schedule only when environment and owner are available.</x:v>
      </x:c>
    </x:row>
    <x:row r="54">
      <x:c r="A54" s="27" t="str">
        <x:v>EX-13-2026-Q4</x:v>
      </x:c>
      <x:c r="B54" s="27" t="str">
        <x:v>EX-13</x:v>
      </x:c>
      <x:c r="C54" s="36" t="str">
        <x:v>Source asset restore and reimport</x:v>
      </x:c>
      <x:c r="D54" s="36" t="str">
        <x:v>Content recovery</x:v>
      </x:c>
      <x:c r="E54" s="36" t="str">
        <x:v>BIA-13</x:v>
      </x:c>
      <x:c r="F54" s="36" t="str">
        <x:v>Quarterly</x:v>
      </x:c>
      <x:c r="G54" s="36" t="str">
        <x:v>2026-Q4</x:v>
      </x:c>
      <x:c r="H54" s="36" t="str">
        <x:v>Art/Audio</x:v>
      </x:c>
      <x:c r="I54" s="36" t="str">
        <x:v>Independent reviewer / alternate</x:v>
      </x:c>
      <x:c r="J54" s="36" t="str">
        <x:v>Restore source and regenerate derivative</x:v>
      </x:c>
      <x:c r="K54" s="36" t="str">
        <x:v>72 h</x:v>
      </x:c>
      <x:c r="L54" s="36" t="str">
        <x:v>Scene/build references valid</x:v>
      </x:c>
      <x:c r="M54" s="36" t="str">
        <x:v>NOT SCHEDULED</x:v>
      </x:c>
      <x:c r="N54" s="36" t="str">
        <x:v>NOT RUN</x:v>
      </x:c>
      <x:c r="O54" s="36" t="str"/>
      <x:c r="P54" s="36" t="str">
        <x:v>PLANNED</x:v>
      </x:c>
      <x:c r="Q54" s="36" t="str">
        <x:v>No evidence yet; schedule only when environment and owner are available.</x:v>
      </x:c>
    </x:row>
    <x:row r="55">
      <x:c r="A55" s="27" t="str">
        <x:v>EX-13-2027-Q1</x:v>
      </x:c>
      <x:c r="B55" s="27" t="str">
        <x:v>EX-13</x:v>
      </x:c>
      <x:c r="C55" s="36" t="str">
        <x:v>Source asset restore and reimport</x:v>
      </x:c>
      <x:c r="D55" s="36" t="str">
        <x:v>Content recovery</x:v>
      </x:c>
      <x:c r="E55" s="36" t="str">
        <x:v>BIA-13</x:v>
      </x:c>
      <x:c r="F55" s="36" t="str">
        <x:v>Quarterly</x:v>
      </x:c>
      <x:c r="G55" s="36" t="str">
        <x:v>2027-Q1</x:v>
      </x:c>
      <x:c r="H55" s="36" t="str">
        <x:v>Art/Audio</x:v>
      </x:c>
      <x:c r="I55" s="36" t="str">
        <x:v>Independent reviewer / alternate</x:v>
      </x:c>
      <x:c r="J55" s="36" t="str">
        <x:v>Restore source and regenerate derivative</x:v>
      </x:c>
      <x:c r="K55" s="36" t="str">
        <x:v>72 h</x:v>
      </x:c>
      <x:c r="L55" s="36" t="str">
        <x:v>Scene/build references valid</x:v>
      </x:c>
      <x:c r="M55" s="36" t="str">
        <x:v>NOT SCHEDULED</x:v>
      </x:c>
      <x:c r="N55" s="36" t="str">
        <x:v>NOT RUN</x:v>
      </x:c>
      <x:c r="O55" s="36" t="str"/>
      <x:c r="P55" s="36" t="str">
        <x:v>PLANNED</x:v>
      </x:c>
      <x:c r="Q55" s="36" t="str">
        <x:v>No evidence yet; schedule only when environment and owner are available.</x:v>
      </x:c>
    </x:row>
    <x:row r="56">
      <x:c r="A56" s="27" t="str">
        <x:v>EX-13-2027-Q2</x:v>
      </x:c>
      <x:c r="B56" s="27" t="str">
        <x:v>EX-13</x:v>
      </x:c>
      <x:c r="C56" s="36" t="str">
        <x:v>Source asset restore and reimport</x:v>
      </x:c>
      <x:c r="D56" s="36" t="str">
        <x:v>Content recovery</x:v>
      </x:c>
      <x:c r="E56" s="36" t="str">
        <x:v>BIA-13</x:v>
      </x:c>
      <x:c r="F56" s="36" t="str">
        <x:v>Quarterly</x:v>
      </x:c>
      <x:c r="G56" s="36" t="str">
        <x:v>2027-Q2</x:v>
      </x:c>
      <x:c r="H56" s="36" t="str">
        <x:v>Art/Audio</x:v>
      </x:c>
      <x:c r="I56" s="36" t="str">
        <x:v>Independent reviewer / alternate</x:v>
      </x:c>
      <x:c r="J56" s="36" t="str">
        <x:v>Restore source and regenerate derivative</x:v>
      </x:c>
      <x:c r="K56" s="36" t="str">
        <x:v>72 h</x:v>
      </x:c>
      <x:c r="L56" s="36" t="str">
        <x:v>Scene/build references valid</x:v>
      </x:c>
      <x:c r="M56" s="36" t="str">
        <x:v>NOT SCHEDULED</x:v>
      </x:c>
      <x:c r="N56" s="36" t="str">
        <x:v>NOT RUN</x:v>
      </x:c>
      <x:c r="O56" s="36" t="str"/>
      <x:c r="P56" s="36" t="str">
        <x:v>PLANNED</x:v>
      </x:c>
      <x:c r="Q56" s="36" t="str">
        <x:v>No evidence yet; schedule only when environment and owner are available.</x:v>
      </x:c>
    </x:row>
    <x:row r="57">
      <x:c r="A57" s="27" t="str">
        <x:v>EX-14-2026-Q3</x:v>
      </x:c>
      <x:c r="B57" s="27" t="str">
        <x:v>EX-14</x:v>
      </x:c>
      <x:c r="C57" s="36" t="str">
        <x:v>Performance regression rollback</x:v>
      </x:c>
      <x:c r="D57" s="36" t="str">
        <x:v>Technical recovery</x:v>
      </x:c>
      <x:c r="E57" s="36" t="str">
        <x:v>BIA-07</x:v>
      </x:c>
      <x:c r="F57" s="36" t="str">
        <x:v>Per milestone</x:v>
      </x:c>
      <x:c r="G57" s="36" t="str">
        <x:v>2026-Q3</x:v>
      </x:c>
      <x:c r="H57" s="36" t="str">
        <x:v>Engineering/QA</x:v>
      </x:c>
      <x:c r="I57" s="36" t="str">
        <x:v>Independent reviewer / alternate</x:v>
      </x:c>
      <x:c r="J57" s="36" t="str">
        <x:v>Return to safe baseline/preset</x:v>
      </x:c>
      <x:c r="K57" s="36" t="str">
        <x:v>24 h</x:v>
      </x:c>
      <x:c r="L57" s="36" t="str">
        <x:v>Targets or safe limit restored</x:v>
      </x:c>
      <x:c r="M57" s="36" t="str">
        <x:v>NOT SCHEDULED</x:v>
      </x:c>
      <x:c r="N57" s="36" t="str">
        <x:v>NOT RUN</x:v>
      </x:c>
      <x:c r="O57" s="36" t="str"/>
      <x:c r="P57" s="36" t="str">
        <x:v>PLANNED</x:v>
      </x:c>
      <x:c r="Q57" s="36" t="str">
        <x:v>No evidence yet; schedule only when environment and owner are available.</x:v>
      </x:c>
    </x:row>
    <x:row r="58">
      <x:c r="A58" s="27" t="str">
        <x:v>EX-14-2026-Q4</x:v>
      </x:c>
      <x:c r="B58" s="27" t="str">
        <x:v>EX-14</x:v>
      </x:c>
      <x:c r="C58" s="36" t="str">
        <x:v>Performance regression rollback</x:v>
      </x:c>
      <x:c r="D58" s="36" t="str">
        <x:v>Technical recovery</x:v>
      </x:c>
      <x:c r="E58" s="36" t="str">
        <x:v>BIA-07</x:v>
      </x:c>
      <x:c r="F58" s="36" t="str">
        <x:v>Per milestone</x:v>
      </x:c>
      <x:c r="G58" s="36" t="str">
        <x:v>2026-Q4</x:v>
      </x:c>
      <x:c r="H58" s="36" t="str">
        <x:v>Engineering/QA</x:v>
      </x:c>
      <x:c r="I58" s="36" t="str">
        <x:v>Independent reviewer / alternate</x:v>
      </x:c>
      <x:c r="J58" s="36" t="str">
        <x:v>Return to safe baseline/preset</x:v>
      </x:c>
      <x:c r="K58" s="36" t="str">
        <x:v>24 h</x:v>
      </x:c>
      <x:c r="L58" s="36" t="str">
        <x:v>Targets or safe limit restored</x:v>
      </x:c>
      <x:c r="M58" s="36" t="str">
        <x:v>NOT SCHEDULED</x:v>
      </x:c>
      <x:c r="N58" s="36" t="str">
        <x:v>NOT RUN</x:v>
      </x:c>
      <x:c r="O58" s="36" t="str"/>
      <x:c r="P58" s="36" t="str">
        <x:v>PLANNED</x:v>
      </x:c>
      <x:c r="Q58" s="36" t="str">
        <x:v>No evidence yet; schedule only when environment and owner are available.</x:v>
      </x:c>
    </x:row>
    <x:row r="59">
      <x:c r="A59" s="27" t="str">
        <x:v>EX-14-2027-Q1</x:v>
      </x:c>
      <x:c r="B59" s="27" t="str">
        <x:v>EX-14</x:v>
      </x:c>
      <x:c r="C59" s="36" t="str">
        <x:v>Performance regression rollback</x:v>
      </x:c>
      <x:c r="D59" s="36" t="str">
        <x:v>Technical recovery</x:v>
      </x:c>
      <x:c r="E59" s="36" t="str">
        <x:v>BIA-07</x:v>
      </x:c>
      <x:c r="F59" s="36" t="str">
        <x:v>Per milestone</x:v>
      </x:c>
      <x:c r="G59" s="36" t="str">
        <x:v>2027-Q1</x:v>
      </x:c>
      <x:c r="H59" s="36" t="str">
        <x:v>Engineering/QA</x:v>
      </x:c>
      <x:c r="I59" s="36" t="str">
        <x:v>Independent reviewer / alternate</x:v>
      </x:c>
      <x:c r="J59" s="36" t="str">
        <x:v>Return to safe baseline/preset</x:v>
      </x:c>
      <x:c r="K59" s="36" t="str">
        <x:v>24 h</x:v>
      </x:c>
      <x:c r="L59" s="36" t="str">
        <x:v>Targets or safe limit restored</x:v>
      </x:c>
      <x:c r="M59" s="36" t="str">
        <x:v>NOT SCHEDULED</x:v>
      </x:c>
      <x:c r="N59" s="36" t="str">
        <x:v>NOT RUN</x:v>
      </x:c>
      <x:c r="O59" s="36" t="str"/>
      <x:c r="P59" s="36" t="str">
        <x:v>PLANNED</x:v>
      </x:c>
      <x:c r="Q59" s="36" t="str">
        <x:v>No evidence yet; schedule only when environment and owner are available.</x:v>
      </x:c>
    </x:row>
    <x:row r="60">
      <x:c r="A60" s="27" t="str">
        <x:v>EX-14-2027-Q2</x:v>
      </x:c>
      <x:c r="B60" s="27" t="str">
        <x:v>EX-14</x:v>
      </x:c>
      <x:c r="C60" s="36" t="str">
        <x:v>Performance regression rollback</x:v>
      </x:c>
      <x:c r="D60" s="36" t="str">
        <x:v>Technical recovery</x:v>
      </x:c>
      <x:c r="E60" s="36" t="str">
        <x:v>BIA-07</x:v>
      </x:c>
      <x:c r="F60" s="36" t="str">
        <x:v>Per milestone</x:v>
      </x:c>
      <x:c r="G60" s="36" t="str">
        <x:v>2027-Q2</x:v>
      </x:c>
      <x:c r="H60" s="36" t="str">
        <x:v>Engineering/QA</x:v>
      </x:c>
      <x:c r="I60" s="36" t="str">
        <x:v>Independent reviewer / alternate</x:v>
      </x:c>
      <x:c r="J60" s="36" t="str">
        <x:v>Return to safe baseline/preset</x:v>
      </x:c>
      <x:c r="K60" s="36" t="str">
        <x:v>24 h</x:v>
      </x:c>
      <x:c r="L60" s="36" t="str">
        <x:v>Targets or safe limit restored</x:v>
      </x:c>
      <x:c r="M60" s="36" t="str">
        <x:v>NOT SCHEDULED</x:v>
      </x:c>
      <x:c r="N60" s="36" t="str">
        <x:v>NOT RUN</x:v>
      </x:c>
      <x:c r="O60" s="36" t="str"/>
      <x:c r="P60" s="36" t="str">
        <x:v>PLANNED</x:v>
      </x:c>
      <x:c r="Q60" s="36" t="str">
        <x:v>No evidence yet; schedule only when environment and owner are available.</x:v>
      </x:c>
    </x:row>
    <x:row r="61">
      <x:c r="A61" s="27" t="str">
        <x:v>EX-15-2026-Q3</x:v>
      </x:c>
      <x:c r="B61" s="27" t="str">
        <x:v>EX-15</x:v>
      </x:c>
      <x:c r="C61" s="36" t="str">
        <x:v>Owner-unavailable handoff drill</x:v>
      </x:c>
      <x:c r="D61" s="36" t="str">
        <x:v>People continuity</x:v>
      </x:c>
      <x:c r="E61" s="36" t="str">
        <x:v>BIA-02</x:v>
      </x:c>
      <x:c r="F61" s="36" t="str">
        <x:v>Semiannual</x:v>
      </x:c>
      <x:c r="G61" s="36" t="str">
        <x:v>2026-Q3</x:v>
      </x:c>
      <x:c r="H61" s="36" t="str">
        <x:v>Designated Alternate</x:v>
      </x:c>
      <x:c r="I61" s="36" t="str">
        <x:v>Independent reviewer / alternate</x:v>
      </x:c>
      <x:c r="J61" s="36" t="str">
        <x:v>Resume priorities/build/status from docs</x:v>
      </x:c>
      <x:c r="K61" s="36" t="str">
        <x:v>24 h</x:v>
      </x:c>
      <x:c r="L61" s="36" t="str">
        <x:v>Alternate completes checklist</x:v>
      </x:c>
      <x:c r="M61" s="36" t="str">
        <x:v>NOT SCHEDULED</x:v>
      </x:c>
      <x:c r="N61" s="36" t="str">
        <x:v>NOT RUN</x:v>
      </x:c>
      <x:c r="O61" s="36" t="str"/>
      <x:c r="P61" s="36" t="str">
        <x:v>PLANNED</x:v>
      </x:c>
      <x:c r="Q61" s="36" t="str">
        <x:v>No evidence yet; schedule only when environment and owner are available.</x:v>
      </x:c>
    </x:row>
    <x:row r="62">
      <x:c r="A62" s="27" t="str">
        <x:v>EX-15-2026-Q4</x:v>
      </x:c>
      <x:c r="B62" s="27" t="str">
        <x:v>EX-15</x:v>
      </x:c>
      <x:c r="C62" s="36" t="str">
        <x:v>Owner-unavailable handoff drill</x:v>
      </x:c>
      <x:c r="D62" s="36" t="str">
        <x:v>People continuity</x:v>
      </x:c>
      <x:c r="E62" s="36" t="str">
        <x:v>BIA-02</x:v>
      </x:c>
      <x:c r="F62" s="36" t="str">
        <x:v>Semiannual</x:v>
      </x:c>
      <x:c r="G62" s="36" t="str">
        <x:v>2026-Q4</x:v>
      </x:c>
      <x:c r="H62" s="36" t="str">
        <x:v>Designated Alternate</x:v>
      </x:c>
      <x:c r="I62" s="36" t="str">
        <x:v>Independent reviewer / alternate</x:v>
      </x:c>
      <x:c r="J62" s="36" t="str">
        <x:v>Resume priorities/build/status from docs</x:v>
      </x:c>
      <x:c r="K62" s="36" t="str">
        <x:v>24 h</x:v>
      </x:c>
      <x:c r="L62" s="36" t="str">
        <x:v>Alternate completes checklist</x:v>
      </x:c>
      <x:c r="M62" s="36" t="str">
        <x:v>NOT SCHEDULED</x:v>
      </x:c>
      <x:c r="N62" s="36" t="str">
        <x:v>NOT RUN</x:v>
      </x:c>
      <x:c r="O62" s="36" t="str"/>
      <x:c r="P62" s="36" t="str">
        <x:v>PLANNED</x:v>
      </x:c>
      <x:c r="Q62" s="36" t="str">
        <x:v>No evidence yet; schedule only when environment and owner are available.</x:v>
      </x:c>
    </x:row>
    <x:row r="63">
      <x:c r="A63" s="27" t="str">
        <x:v>EX-15-2027-Q1</x:v>
      </x:c>
      <x:c r="B63" s="27" t="str">
        <x:v>EX-15</x:v>
      </x:c>
      <x:c r="C63" s="36" t="str">
        <x:v>Owner-unavailable handoff drill</x:v>
      </x:c>
      <x:c r="D63" s="36" t="str">
        <x:v>People continuity</x:v>
      </x:c>
      <x:c r="E63" s="36" t="str">
        <x:v>BIA-02</x:v>
      </x:c>
      <x:c r="F63" s="36" t="str">
        <x:v>Semiannual</x:v>
      </x:c>
      <x:c r="G63" s="36" t="str">
        <x:v>2027-Q1</x:v>
      </x:c>
      <x:c r="H63" s="36" t="str">
        <x:v>Designated Alternate</x:v>
      </x:c>
      <x:c r="I63" s="36" t="str">
        <x:v>Independent reviewer / alternate</x:v>
      </x:c>
      <x:c r="J63" s="36" t="str">
        <x:v>Resume priorities/build/status from docs</x:v>
      </x:c>
      <x:c r="K63" s="36" t="str">
        <x:v>24 h</x:v>
      </x:c>
      <x:c r="L63" s="36" t="str">
        <x:v>Alternate completes checklist</x:v>
      </x:c>
      <x:c r="M63" s="36" t="str">
        <x:v>NOT SCHEDULED</x:v>
      </x:c>
      <x:c r="N63" s="36" t="str">
        <x:v>NOT RUN</x:v>
      </x:c>
      <x:c r="O63" s="36" t="str"/>
      <x:c r="P63" s="36" t="str">
        <x:v>PLANNED</x:v>
      </x:c>
      <x:c r="Q63" s="36" t="str">
        <x:v>No evidence yet; schedule only when environment and owner are available.</x:v>
      </x:c>
    </x:row>
    <x:row r="64">
      <x:c r="A64" s="27" t="str">
        <x:v>EX-15-2027-Q2</x:v>
      </x:c>
      <x:c r="B64" s="27" t="str">
        <x:v>EX-15</x:v>
      </x:c>
      <x:c r="C64" s="36" t="str">
        <x:v>Owner-unavailable handoff drill</x:v>
      </x:c>
      <x:c r="D64" s="36" t="str">
        <x:v>People continuity</x:v>
      </x:c>
      <x:c r="E64" s="36" t="str">
        <x:v>BIA-02</x:v>
      </x:c>
      <x:c r="F64" s="36" t="str">
        <x:v>Semiannual</x:v>
      </x:c>
      <x:c r="G64" s="36" t="str">
        <x:v>2027-Q2</x:v>
      </x:c>
      <x:c r="H64" s="36" t="str">
        <x:v>Designated Alternate</x:v>
      </x:c>
      <x:c r="I64" s="36" t="str">
        <x:v>Independent reviewer / alternate</x:v>
      </x:c>
      <x:c r="J64" s="36" t="str">
        <x:v>Resume priorities/build/status from docs</x:v>
      </x:c>
      <x:c r="K64" s="36" t="str">
        <x:v>24 h</x:v>
      </x:c>
      <x:c r="L64" s="36" t="str">
        <x:v>Alternate completes checklist</x:v>
      </x:c>
      <x:c r="M64" s="36" t="str">
        <x:v>NOT SCHEDULED</x:v>
      </x:c>
      <x:c r="N64" s="36" t="str">
        <x:v>NOT RUN</x:v>
      </x:c>
      <x:c r="O64" s="36" t="str"/>
      <x:c r="P64" s="36" t="str">
        <x:v>PLANNED</x:v>
      </x:c>
      <x:c r="Q64" s="36" t="str">
        <x:v>No evidence yet; schedule only when environment and owner are available.</x:v>
      </x:c>
    </x:row>
    <x:row r="65">
      <x:c r="A65" s="27" t="str">
        <x:v>EX-16-2026-Q3</x:v>
      </x:c>
      <x:c r="B65" s="27" t="str">
        <x:v>EX-16</x:v>
      </x:c>
      <x:c r="C65" s="36" t="str">
        <x:v>Community crisis tabletop</x:v>
      </x:c>
      <x:c r="D65" s="36" t="str">
        <x:v>Communication continuity</x:v>
      </x:c>
      <x:c r="E65" s="36" t="str">
        <x:v>BIA-11</x:v>
      </x:c>
      <x:c r="F65" s="36" t="str">
        <x:v>Annual</x:v>
      </x:c>
      <x:c r="G65" s="36" t="str">
        <x:v>2026-Q3</x:v>
      </x:c>
      <x:c r="H65" s="36" t="str">
        <x:v>Marketing/Community</x:v>
      </x:c>
      <x:c r="I65" s="36" t="str">
        <x:v>Independent reviewer / alternate</x:v>
      </x:c>
      <x:c r="J65" s="36" t="str">
        <x:v>Moderation, holding message and evidence</x:v>
      </x:c>
      <x:c r="K65" s="36" t="str">
        <x:v>8 h</x:v>
      </x:c>
      <x:c r="L65" s="36" t="str">
        <x:v>Single verified response path</x:v>
      </x:c>
      <x:c r="M65" s="36" t="str">
        <x:v>NOT SCHEDULED</x:v>
      </x:c>
      <x:c r="N65" s="36" t="str">
        <x:v>NOT RUN</x:v>
      </x:c>
      <x:c r="O65" s="36" t="str"/>
      <x:c r="P65" s="36" t="str">
        <x:v>PLANNED</x:v>
      </x:c>
      <x:c r="Q65" s="36" t="str">
        <x:v>No evidence yet; schedule only when environment and owner are available.</x:v>
      </x:c>
    </x:row>
    <x:row r="66">
      <x:c r="A66" s="27" t="str">
        <x:v>EX-16-2026-Q4</x:v>
      </x:c>
      <x:c r="B66" s="27" t="str">
        <x:v>EX-16</x:v>
      </x:c>
      <x:c r="C66" s="36" t="str">
        <x:v>Community crisis tabletop</x:v>
      </x:c>
      <x:c r="D66" s="36" t="str">
        <x:v>Communication continuity</x:v>
      </x:c>
      <x:c r="E66" s="36" t="str">
        <x:v>BIA-11</x:v>
      </x:c>
      <x:c r="F66" s="36" t="str">
        <x:v>Annual</x:v>
      </x:c>
      <x:c r="G66" s="36" t="str">
        <x:v>2026-Q4</x:v>
      </x:c>
      <x:c r="H66" s="36" t="str">
        <x:v>Marketing/Community</x:v>
      </x:c>
      <x:c r="I66" s="36" t="str">
        <x:v>Independent reviewer / alternate</x:v>
      </x:c>
      <x:c r="J66" s="36" t="str">
        <x:v>Moderation, holding message and evidence</x:v>
      </x:c>
      <x:c r="K66" s="36" t="str">
        <x:v>8 h</x:v>
      </x:c>
      <x:c r="L66" s="36" t="str">
        <x:v>Single verified response path</x:v>
      </x:c>
      <x:c r="M66" s="36" t="str">
        <x:v>NOT SCHEDULED</x:v>
      </x:c>
      <x:c r="N66" s="36" t="str">
        <x:v>NOT RUN</x:v>
      </x:c>
      <x:c r="O66" s="36" t="str"/>
      <x:c r="P66" s="36" t="str">
        <x:v>PLANNED</x:v>
      </x:c>
      <x:c r="Q66" s="36" t="str">
        <x:v>No evidence yet; schedule only when environment and owner are available.</x:v>
      </x:c>
    </x:row>
    <x:row r="67">
      <x:c r="A67" s="27" t="str">
        <x:v>EX-16-2027-Q1</x:v>
      </x:c>
      <x:c r="B67" s="27" t="str">
        <x:v>EX-16</x:v>
      </x:c>
      <x:c r="C67" s="36" t="str">
        <x:v>Community crisis tabletop</x:v>
      </x:c>
      <x:c r="D67" s="36" t="str">
        <x:v>Communication continuity</x:v>
      </x:c>
      <x:c r="E67" s="36" t="str">
        <x:v>BIA-11</x:v>
      </x:c>
      <x:c r="F67" s="36" t="str">
        <x:v>Annual</x:v>
      </x:c>
      <x:c r="G67" s="36" t="str">
        <x:v>2027-Q1</x:v>
      </x:c>
      <x:c r="H67" s="36" t="str">
        <x:v>Marketing/Community</x:v>
      </x:c>
      <x:c r="I67" s="36" t="str">
        <x:v>Independent reviewer / alternate</x:v>
      </x:c>
      <x:c r="J67" s="36" t="str">
        <x:v>Moderation, holding message and evidence</x:v>
      </x:c>
      <x:c r="K67" s="36" t="str">
        <x:v>8 h</x:v>
      </x:c>
      <x:c r="L67" s="36" t="str">
        <x:v>Single verified response path</x:v>
      </x:c>
      <x:c r="M67" s="36" t="str">
        <x:v>NOT SCHEDULED</x:v>
      </x:c>
      <x:c r="N67" s="36" t="str">
        <x:v>NOT RUN</x:v>
      </x:c>
      <x:c r="O67" s="36" t="str"/>
      <x:c r="P67" s="36" t="str">
        <x:v>PLANNED</x:v>
      </x:c>
      <x:c r="Q67" s="36" t="str">
        <x:v>No evidence yet; schedule only when environment and owner are available.</x:v>
      </x:c>
    </x:row>
    <x:row r="68">
      <x:c r="A68" s="27" t="str">
        <x:v>EX-16-2027-Q2</x:v>
      </x:c>
      <x:c r="B68" s="27" t="str">
        <x:v>EX-16</x:v>
      </x:c>
      <x:c r="C68" s="36" t="str">
        <x:v>Community crisis tabletop</x:v>
      </x:c>
      <x:c r="D68" s="36" t="str">
        <x:v>Communication continuity</x:v>
      </x:c>
      <x:c r="E68" s="36" t="str">
        <x:v>BIA-11</x:v>
      </x:c>
      <x:c r="F68" s="36" t="str">
        <x:v>Annual</x:v>
      </x:c>
      <x:c r="G68" s="36" t="str">
        <x:v>2027-Q2</x:v>
      </x:c>
      <x:c r="H68" s="36" t="str">
        <x:v>Marketing/Community</x:v>
      </x:c>
      <x:c r="I68" s="36" t="str">
        <x:v>Independent reviewer / alternate</x:v>
      </x:c>
      <x:c r="J68" s="36" t="str">
        <x:v>Moderation, holding message and evidence</x:v>
      </x:c>
      <x:c r="K68" s="36" t="str">
        <x:v>8 h</x:v>
      </x:c>
      <x:c r="L68" s="36" t="str">
        <x:v>Single verified response path</x:v>
      </x:c>
      <x:c r="M68" s="36" t="str">
        <x:v>NOT SCHEDULED</x:v>
      </x:c>
      <x:c r="N68" s="36" t="str">
        <x:v>NOT RUN</x:v>
      </x:c>
      <x:c r="O68" s="36" t="str"/>
      <x:c r="P68" s="36" t="str">
        <x:v>PLANNED</x:v>
      </x:c>
      <x:c r="Q68" s="36" t="str">
        <x:v>No evidence yet; schedule only when environment and owner are available.</x:v>
      </x:c>
    </x:row>
    <x:row r="69">
      <x:c r="A69" t="str">
        <x:v>EX-17-2026-Q3</x:v>
      </x:c>
      <x:c r="B69" t="str">
        <x:v>EX-17</x:v>
      </x:c>
      <x:c r="C69" t="str">
        <x:v>Final package clean-room restore</x:v>
      </x:c>
      <x:c r="D69" t="str">
        <x:v>Documentation recovery</x:v>
      </x:c>
      <x:c r="E69" t="str">
        <x:v>BIA-19</x:v>
      </x:c>
      <x:c r="F69" t="str">
        <x:v>Per baseline</x:v>
      </x:c>
      <x:c r="G69" t="str">
        <x:v>2026-Q3</x:v>
      </x:c>
      <x:c r="H69" t="str">
        <x:v>Documentation / Continuity</x:v>
      </x:c>
      <x:c r="I69" t="str">
        <x:v>Independent reviewer / alternate</x:v>
      </x:c>
      <x:c r="J69" t="str">
        <x:v>Verify ZIP checksum, extract, compare inventory/hashes, open all artifacts</x:v>
      </x:c>
      <x:c r="K69" t="str">
        <x:v>24 h</x:v>
      </x:c>
      <x:c r="L69" t="str">
        <x:v>All expected files verify and open; defects resolved or package rejected</x:v>
      </x:c>
      <x:c r="M69" t="str">
        <x:v>NOT SCHEDULED</x:v>
      </x:c>
      <x:c r="N69" t="str">
        <x:v>NOT RUN</x:v>
      </x:c>
      <x:c r="O69"/>
      <x:c r="P69" t="str">
        <x:v>PLANNED</x:v>
      </x:c>
      <x:c r="Q69" t="str">
        <x:v>No evidence yet; run after candidate 16/32 corrections and final freeze.</x:v>
      </x:c>
    </x:row>
    <x:row r="70">
      <x:c r="A70" t="str">
        <x:v>EX-17-2026-Q4</x:v>
      </x:c>
      <x:c r="B70" t="str">
        <x:v>EX-17</x:v>
      </x:c>
      <x:c r="C70" t="str">
        <x:v>Final package clean-room restore</x:v>
      </x:c>
      <x:c r="D70" t="str">
        <x:v>Documentation recovery</x:v>
      </x:c>
      <x:c r="E70" t="str">
        <x:v>BIA-19</x:v>
      </x:c>
      <x:c r="F70" t="str">
        <x:v>Per baseline</x:v>
      </x:c>
      <x:c r="G70" t="str">
        <x:v>2026-Q4</x:v>
      </x:c>
      <x:c r="H70" t="str">
        <x:v>Documentation / Continuity</x:v>
      </x:c>
      <x:c r="I70" t="str">
        <x:v>Independent reviewer / alternate</x:v>
      </x:c>
      <x:c r="J70" t="str">
        <x:v>Verify ZIP checksum, extract, compare inventory/hashes, open all artifacts</x:v>
      </x:c>
      <x:c r="K70" t="str">
        <x:v>24 h</x:v>
      </x:c>
      <x:c r="L70" t="str">
        <x:v>All expected files verify and open; defects resolved or package rejected</x:v>
      </x:c>
      <x:c r="M70" t="str">
        <x:v>NOT SCHEDULED</x:v>
      </x:c>
      <x:c r="N70" t="str">
        <x:v>NOT RUN</x:v>
      </x:c>
      <x:c r="O70"/>
      <x:c r="P70" t="str">
        <x:v>PLANNED</x:v>
      </x:c>
      <x:c r="Q70" t="str">
        <x:v>No evidence yet; run after candidate 16/32 corrections and final freeze.</x:v>
      </x:c>
    </x:row>
    <x:row r="71">
      <x:c r="A71" t="str">
        <x:v>EX-17-2027-Q1</x:v>
      </x:c>
      <x:c r="B71" t="str">
        <x:v>EX-17</x:v>
      </x:c>
      <x:c r="C71" t="str">
        <x:v>Final package clean-room restore</x:v>
      </x:c>
      <x:c r="D71" t="str">
        <x:v>Documentation recovery</x:v>
      </x:c>
      <x:c r="E71" t="str">
        <x:v>BIA-19</x:v>
      </x:c>
      <x:c r="F71" t="str">
        <x:v>Per baseline</x:v>
      </x:c>
      <x:c r="G71" t="str">
        <x:v>2027-Q1</x:v>
      </x:c>
      <x:c r="H71" t="str">
        <x:v>Documentation / Continuity</x:v>
      </x:c>
      <x:c r="I71" t="str">
        <x:v>Independent reviewer / alternate</x:v>
      </x:c>
      <x:c r="J71" t="str">
        <x:v>Verify ZIP checksum, extract, compare inventory/hashes, open all artifacts</x:v>
      </x:c>
      <x:c r="K71" t="str">
        <x:v>24 h</x:v>
      </x:c>
      <x:c r="L71" t="str">
        <x:v>All expected files verify and open; defects resolved or package rejected</x:v>
      </x:c>
      <x:c r="M71" t="str">
        <x:v>NOT SCHEDULED</x:v>
      </x:c>
      <x:c r="N71" t="str">
        <x:v>NOT RUN</x:v>
      </x:c>
      <x:c r="O71"/>
      <x:c r="P71" t="str">
        <x:v>PLANNED</x:v>
      </x:c>
      <x:c r="Q71" t="str">
        <x:v>No evidence yet; run after candidate 16/32 corrections and final freeze.</x:v>
      </x:c>
    </x:row>
    <x:row r="72">
      <x:c r="A72" t="str">
        <x:v>EX-17-2027-Q2</x:v>
      </x:c>
      <x:c r="B72" t="str">
        <x:v>EX-17</x:v>
      </x:c>
      <x:c r="C72" t="str">
        <x:v>Final package clean-room restore</x:v>
      </x:c>
      <x:c r="D72" t="str">
        <x:v>Documentation recovery</x:v>
      </x:c>
      <x:c r="E72" t="str">
        <x:v>BIA-19</x:v>
      </x:c>
      <x:c r="F72" t="str">
        <x:v>Per baseline</x:v>
      </x:c>
      <x:c r="G72" t="str">
        <x:v>2027-Q2</x:v>
      </x:c>
      <x:c r="H72" t="str">
        <x:v>Documentation / Continuity</x:v>
      </x:c>
      <x:c r="I72" t="str">
        <x:v>Independent reviewer / alternate</x:v>
      </x:c>
      <x:c r="J72" t="str">
        <x:v>Verify ZIP checksum, extract, compare inventory/hashes, open all artifacts</x:v>
      </x:c>
      <x:c r="K72" t="str">
        <x:v>24 h</x:v>
      </x:c>
      <x:c r="L72" t="str">
        <x:v>All expected files verify and open; defects resolved or package rejected</x:v>
      </x:c>
      <x:c r="M72" t="str">
        <x:v>NOT SCHEDULED</x:v>
      </x:c>
      <x:c r="N72" t="str">
        <x:v>NOT RUN</x:v>
      </x:c>
      <x:c r="O72"/>
      <x:c r="P72" t="str">
        <x:v>PLANNED</x:v>
      </x:c>
      <x:c r="Q72" t="str">
        <x:v>No evidence yet; run after candidate 16/32 corrections and final freeze.</x:v>
      </x:c>
    </x:row>
    <x:row r="73">
      <x:c r="A73" t="str">
        <x:v>EX-18-2026-Q3</x:v>
      </x:c>
      <x:c r="B73" t="str">
        <x:v>EX-18</x:v>
      </x:c>
      <x:c r="C73" t="str">
        <x:v>Independent handoff and project resumption drill</x:v>
      </x:c>
      <x:c r="D73" t="str">
        <x:v>People continuity</x:v>
      </x:c>
      <x:c r="E73" t="str">
        <x:v>BIA-20</x:v>
      </x:c>
      <x:c r="F73" t="str">
        <x:v>Semiannual / per handoff</x:v>
      </x:c>
      <x:c r="G73" t="str">
        <x:v>2026-Q3</x:v>
      </x:c>
      <x:c r="H73" t="str">
        <x:v>Designated Alternate</x:v>
      </x:c>
      <x:c r="I73" t="str">
        <x:v>Independent reviewer</x:v>
      </x:c>
      <x:c r="J73" t="str">
        <x:v>Resume from manual 34 and verified package without owner assistance</x:v>
      </x:c>
      <x:c r="K73" t="str">
        <x:v>24 h</x:v>
      </x:c>
      <x:c r="L73" t="str">
        <x:v>Alternate verifies state, accesses required assets and produces first-day plan</x:v>
      </x:c>
      <x:c r="M73" t="str">
        <x:v>NOT SCHEDULED</x:v>
      </x:c>
      <x:c r="N73" t="str">
        <x:v>NOT RUN</x:v>
      </x:c>
      <x:c r="O73"/>
      <x:c r="P73" t="str">
        <x:v>PLANNED</x:v>
      </x:c>
      <x:c r="Q73" t="str">
        <x:v>No evidence yet; document gaps and repeat after remediation.</x:v>
      </x:c>
    </x:row>
    <x:row r="74">
      <x:c r="A74" t="str">
        <x:v>EX-18-2026-Q4</x:v>
      </x:c>
      <x:c r="B74" t="str">
        <x:v>EX-18</x:v>
      </x:c>
      <x:c r="C74" t="str">
        <x:v>Independent handoff and project resumption drill</x:v>
      </x:c>
      <x:c r="D74" t="str">
        <x:v>People continuity</x:v>
      </x:c>
      <x:c r="E74" t="str">
        <x:v>BIA-20</x:v>
      </x:c>
      <x:c r="F74" t="str">
        <x:v>Semiannual / per handoff</x:v>
      </x:c>
      <x:c r="G74" t="str">
        <x:v>2026-Q4</x:v>
      </x:c>
      <x:c r="H74" t="str">
        <x:v>Designated Alternate</x:v>
      </x:c>
      <x:c r="I74" t="str">
        <x:v>Independent reviewer</x:v>
      </x:c>
      <x:c r="J74" t="str">
        <x:v>Resume from manual 34 and verified package without owner assistance</x:v>
      </x:c>
      <x:c r="K74" t="str">
        <x:v>24 h</x:v>
      </x:c>
      <x:c r="L74" t="str">
        <x:v>Alternate verifies state, accesses required assets and produces first-day plan</x:v>
      </x:c>
      <x:c r="M74" t="str">
        <x:v>NOT SCHEDULED</x:v>
      </x:c>
      <x:c r="N74" t="str">
        <x:v>NOT RUN</x:v>
      </x:c>
      <x:c r="O74"/>
      <x:c r="P74" t="str">
        <x:v>PLANNED</x:v>
      </x:c>
      <x:c r="Q74" t="str">
        <x:v>No evidence yet; document gaps and repeat after remediation.</x:v>
      </x:c>
    </x:row>
    <x:row r="75">
      <x:c r="A75" t="str">
        <x:v>EX-18-2027-Q1</x:v>
      </x:c>
      <x:c r="B75" t="str">
        <x:v>EX-18</x:v>
      </x:c>
      <x:c r="C75" t="str">
        <x:v>Independent handoff and project resumption drill</x:v>
      </x:c>
      <x:c r="D75" t="str">
        <x:v>People continuity</x:v>
      </x:c>
      <x:c r="E75" t="str">
        <x:v>BIA-20</x:v>
      </x:c>
      <x:c r="F75" t="str">
        <x:v>Semiannual / per handoff</x:v>
      </x:c>
      <x:c r="G75" t="str">
        <x:v>2027-Q1</x:v>
      </x:c>
      <x:c r="H75" t="str">
        <x:v>Designated Alternate</x:v>
      </x:c>
      <x:c r="I75" t="str">
        <x:v>Independent reviewer</x:v>
      </x:c>
      <x:c r="J75" t="str">
        <x:v>Resume from manual 34 and verified package without owner assistance</x:v>
      </x:c>
      <x:c r="K75" t="str">
        <x:v>24 h</x:v>
      </x:c>
      <x:c r="L75" t="str">
        <x:v>Alternate verifies state, accesses required assets and produces first-day plan</x:v>
      </x:c>
      <x:c r="M75" t="str">
        <x:v>NOT SCHEDULED</x:v>
      </x:c>
      <x:c r="N75" t="str">
        <x:v>NOT RUN</x:v>
      </x:c>
      <x:c r="O75"/>
      <x:c r="P75" t="str">
        <x:v>PLANNED</x:v>
      </x:c>
      <x:c r="Q75" t="str">
        <x:v>No evidence yet; document gaps and repeat after remediation.</x:v>
      </x:c>
    </x:row>
    <x:row r="76">
      <x:c r="A76" t="str">
        <x:v>EX-18-2027-Q2</x:v>
      </x:c>
      <x:c r="B76" t="str">
        <x:v>EX-18</x:v>
      </x:c>
      <x:c r="C76" t="str">
        <x:v>Independent handoff and project resumption drill</x:v>
      </x:c>
      <x:c r="D76" t="str">
        <x:v>People continuity</x:v>
      </x:c>
      <x:c r="E76" t="str">
        <x:v>BIA-20</x:v>
      </x:c>
      <x:c r="F76" t="str">
        <x:v>Semiannual / per handoff</x:v>
      </x:c>
      <x:c r="G76" t="str">
        <x:v>2027-Q2</x:v>
      </x:c>
      <x:c r="H76" t="str">
        <x:v>Designated Alternate</x:v>
      </x:c>
      <x:c r="I76" t="str">
        <x:v>Independent reviewer</x:v>
      </x:c>
      <x:c r="J76" t="str">
        <x:v>Resume from manual 34 and verified package without owner assistance</x:v>
      </x:c>
      <x:c r="K76" t="str">
        <x:v>24 h</x:v>
      </x:c>
      <x:c r="L76" t="str">
        <x:v>Alternate verifies state, accesses required assets and produces first-day plan</x:v>
      </x:c>
      <x:c r="M76" t="str">
        <x:v>NOT SCHEDULED</x:v>
      </x:c>
      <x:c r="N76" t="str">
        <x:v>NOT RUN</x:v>
      </x:c>
      <x:c r="O76"/>
      <x:c r="P76" t="str">
        <x:v>PLANNED</x:v>
      </x:c>
      <x:c r="Q76" t="str">
        <x:v>No evidence yet; document gaps and repeat after remediation.</x:v>
      </x:c>
    </x:row>
  </x:sheetData>
  <x:mergeCells>
    <x:mergeCell ref="A1:Q1"/>
    <x:mergeCell ref="A2:Q2"/>
  </x:mergeCells>
  <x:conditionalFormatting sqref="N5:N68">
    <x:cfRule type="expression" dxfId="23" priority="1">
      <x:formula>N5="PASS"</x:formula>
    </x:cfRule>
    <x:cfRule type="expression" dxfId="24" priority="2">
      <x:formula>OR(N5="FAIL",N5="NOT RUN")</x:formula>
    </x:cfRule>
  </x:conditionalFormatting>
  <x:dataValidations count="3">
    <x:dataValidation type="list" sqref="M5:M68">
      <x:formula1>"NOT SCHEDULED,SCHEDULED,IN PROGRESS,COMPLETED,CANCELLED"</x:formula1>
    </x:dataValidation>
    <x:dataValidation type="list" sqref="N5:N68">
      <x:formula1>"NOT RUN,PASS,FAIL,PARTIAL,NOT APPLICABLE"</x:formula1>
    </x:dataValidation>
    <x:dataValidation type="list" sqref="P5:P68">
      <x:formula1>"PLANNED,OPEN,CLOSED,OVERDUE"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9b7f531b024da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6" hidden="0" customWidth="1"/>
    <x:col min="5" max="5" width="50" hidden="0" customWidth="1"/>
    <x:col min="6" max="6" width="45" hidden="0" customWidth="1"/>
    <x:col min="7" max="7" width="42" hidden="0" customWidth="1"/>
    <x:col min="8" max="8" width="28" hidden="0" customWidth="1"/>
    <x:col min="9" max="9" width="16" hidden="0" customWidth="1"/>
    <x:col min="10" max="10" width="18" hidden="0" customWidth="1"/>
    <x:col min="11" max="11" width="18" hidden="0" customWidth="1"/>
    <x:col min="12" max="12" width="24" hidden="0" customWidth="1"/>
    <x:col min="13" max="13" width="13" hidden="0" customWidth="1"/>
    <x:col min="14" max="14" width="18" hidden="0" customWidth="1"/>
    <x:col min="15" max="15" width="45" hidden="0" customWidth="1"/>
    <x:col min="16" max="16" width="50" hidden="0" customWidth="1"/>
    <x:col min="17" max="17" width="48" hidden="0" customWidth="1"/>
    <x:col min="18" max="18" width="55" hidden="0" customWidth="1"/>
    <x:col min="19" max="19" width="14" hidden="0" customWidth="1"/>
    <x:col min="20" max="20" width="55" hidden="0" customWidth="1"/>
  </x:cols>
  <x:sheetData>
    <x:row r="1" ht="36" customHeight="1">
      <x:c r="A1" s="5" t="str">
        <x:v>11 — Incident and Disruption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42" customHeight="1">
      <x:c r="A2" s="13" t="str">
        <x:v>Append-only record for actual events. The table is intentionally empty; do not invent incidents from risks or historical document references.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4">
      <x:c r="A4" t="str">
        <x:v>Incident ID</x:v>
      </x:c>
      <x:c r="B4" t="str">
        <x:v>Date/Time Opened</x:v>
      </x:c>
      <x:c r="C4" t="str">
        <x:v>Incident Type</x:v>
      </x:c>
      <x:c r="D4" t="str">
        <x:v>Severity</x:v>
      </x:c>
      <x:c r="E4" t="str">
        <x:v>Actual Impact</x:v>
      </x:c>
      <x:c r="F4" t="str">
        <x:v>Affected Assets / Capabilities</x:v>
      </x:c>
      <x:c r="G4" t="str">
        <x:v>Trigger / Detection</x:v>
      </x:c>
      <x:c r="H4" t="str">
        <x:v>Incident Commander</x:v>
      </x:c>
      <x:c r="I4" t="str">
        <x:v>Status</x:v>
      </x:c>
      <x:c r="J4" t="str">
        <x:v>Containment Time</x:v>
      </x:c>
      <x:c r="K4" t="str">
        <x:v>Recovery Time</x:v>
      </x:c>
      <x:c r="L4" t="str">
        <x:v>RPO / Data Loss</x:v>
      </x:c>
      <x:c r="M4" t="str">
        <x:v>Playbook</x:v>
      </x:c>
      <x:c r="N4" t="str">
        <x:v>Evidence Package</x:v>
      </x:c>
      <x:c r="O4" t="str">
        <x:v>Internal Communication</x:v>
      </x:c>
      <x:c r="P4" t="str">
        <x:v>External / Legal Decision</x:v>
      </x:c>
      <x:c r="Q4" t="str">
        <x:v>Root Cause</x:v>
      </x:c>
      <x:c r="R4" t="str">
        <x:v>Corrective Actions</x:v>
      </x:c>
      <x:c r="S4" t="str">
        <x:v>Closed Date</x:v>
      </x:c>
      <x:c r="T4" t="str">
        <x:v>Post-Incident Review</x:v>
      </x:c>
    </x:row>
    <x:row r="5">
      <x:c r="A5" s="27"/>
      <x:c r="B5" s="50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  <x:c r="P5" s="36"/>
      <x:c r="Q5" s="36"/>
      <x:c r="R5" s="36"/>
      <x:c r="S5" s="46"/>
      <x:c r="T5" s="36"/>
    </x:row>
    <x:row r="6">
      <x:c r="A6" s="27"/>
      <x:c r="B6" s="50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  <x:c r="P6" s="36"/>
      <x:c r="Q6" s="36"/>
      <x:c r="R6" s="36"/>
      <x:c r="S6" s="46"/>
      <x:c r="T6" s="36"/>
    </x:row>
    <x:row r="7">
      <x:c r="A7" s="27"/>
      <x:c r="B7" s="50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  <x:c r="P7" s="36"/>
      <x:c r="Q7" s="36"/>
      <x:c r="R7" s="36"/>
      <x:c r="S7" s="46"/>
      <x:c r="T7" s="36"/>
    </x:row>
    <x:row r="8">
      <x:c r="A8" s="27"/>
      <x:c r="B8" s="50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  <x:c r="P8" s="36"/>
      <x:c r="Q8" s="36"/>
      <x:c r="R8" s="36"/>
      <x:c r="S8" s="46"/>
      <x:c r="T8" s="36"/>
    </x:row>
    <x:row r="9">
      <x:c r="A9" s="27"/>
      <x:c r="B9" s="50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  <x:c r="P9" s="36"/>
      <x:c r="Q9" s="36"/>
      <x:c r="R9" s="36"/>
      <x:c r="S9" s="46"/>
      <x:c r="T9" s="36"/>
    </x:row>
    <x:row r="10">
      <x:c r="A10" s="27"/>
      <x:c r="B10" s="50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  <x:c r="P10" s="36"/>
      <x:c r="Q10" s="36"/>
      <x:c r="R10" s="36"/>
      <x:c r="S10" s="46"/>
      <x:c r="T10" s="36"/>
    </x:row>
    <x:row r="11">
      <x:c r="A11" s="27"/>
      <x:c r="B11" s="50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  <x:c r="P11" s="36"/>
      <x:c r="Q11" s="36"/>
      <x:c r="R11" s="36"/>
      <x:c r="S11" s="46"/>
      <x:c r="T11" s="36"/>
    </x:row>
    <x:row r="12">
      <x:c r="A12" s="27"/>
      <x:c r="B12" s="50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  <x:c r="P12" s="36"/>
      <x:c r="Q12" s="36"/>
      <x:c r="R12" s="36"/>
      <x:c r="S12" s="46"/>
      <x:c r="T12" s="36"/>
    </x:row>
    <x:row r="13">
      <x:c r="A13" s="27"/>
      <x:c r="B13" s="50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  <x:c r="P13" s="36"/>
      <x:c r="Q13" s="36"/>
      <x:c r="R13" s="36"/>
      <x:c r="S13" s="46"/>
      <x:c r="T13" s="36"/>
    </x:row>
    <x:row r="14">
      <x:c r="A14" s="27"/>
      <x:c r="B14" s="50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46"/>
      <x:c r="T14" s="36"/>
    </x:row>
    <x:row r="15">
      <x:c r="A15" s="27"/>
      <x:c r="B15" s="50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  <x:c r="P15" s="36"/>
      <x:c r="Q15" s="36"/>
      <x:c r="R15" s="36"/>
      <x:c r="S15" s="46"/>
      <x:c r="T15" s="36"/>
    </x:row>
    <x:row r="16">
      <x:c r="A16" s="27"/>
      <x:c r="B16" s="50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  <x:c r="P16" s="36"/>
      <x:c r="Q16" s="36"/>
      <x:c r="R16" s="36"/>
      <x:c r="S16" s="46"/>
      <x:c r="T16" s="36"/>
    </x:row>
    <x:row r="17">
      <x:c r="A17" s="27"/>
      <x:c r="B17" s="50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  <x:c r="P17" s="36"/>
      <x:c r="Q17" s="36"/>
      <x:c r="R17" s="36"/>
      <x:c r="S17" s="46"/>
      <x:c r="T17" s="36"/>
    </x:row>
    <x:row r="18">
      <x:c r="A18" s="27"/>
      <x:c r="B18" s="50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  <x:c r="P18" s="36"/>
      <x:c r="Q18" s="36"/>
      <x:c r="R18" s="36"/>
      <x:c r="S18" s="46"/>
      <x:c r="T18" s="36"/>
    </x:row>
    <x:row r="19">
      <x:c r="A19" s="27"/>
      <x:c r="B19" s="50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  <x:c r="P19" s="36"/>
      <x:c r="Q19" s="36"/>
      <x:c r="R19" s="36"/>
      <x:c r="S19" s="46"/>
      <x:c r="T19" s="36"/>
    </x:row>
    <x:row r="20">
      <x:c r="A20" s="27"/>
      <x:c r="B20" s="50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  <x:c r="P20" s="36"/>
      <x:c r="Q20" s="36"/>
      <x:c r="R20" s="36"/>
      <x:c r="S20" s="46"/>
      <x:c r="T20" s="36"/>
    </x:row>
    <x:row r="21">
      <x:c r="A21" s="27"/>
      <x:c r="B21" s="50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  <x:c r="P21" s="36"/>
      <x:c r="Q21" s="36"/>
      <x:c r="R21" s="36"/>
      <x:c r="S21" s="46"/>
      <x:c r="T21" s="36"/>
    </x:row>
    <x:row r="22">
      <x:c r="A22" s="27"/>
      <x:c r="B22" s="50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  <x:c r="P22" s="36"/>
      <x:c r="Q22" s="36"/>
      <x:c r="R22" s="36"/>
      <x:c r="S22" s="46"/>
      <x:c r="T22" s="36"/>
    </x:row>
    <x:row r="23">
      <x:c r="A23" s="27"/>
      <x:c r="B23" s="50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  <x:c r="P23" s="36"/>
      <x:c r="Q23" s="36"/>
      <x:c r="R23" s="36"/>
      <x:c r="S23" s="46"/>
      <x:c r="T23" s="36"/>
    </x:row>
    <x:row r="24">
      <x:c r="A24" s="27"/>
      <x:c r="B24" s="50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  <x:c r="P24" s="36"/>
      <x:c r="Q24" s="36"/>
      <x:c r="R24" s="36"/>
      <x:c r="S24" s="46"/>
      <x:c r="T24" s="36"/>
    </x:row>
    <x:row r="25">
      <x:c r="A25" s="27"/>
      <x:c r="B25" s="50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  <x:c r="P25" s="36"/>
      <x:c r="Q25" s="36"/>
      <x:c r="R25" s="36"/>
      <x:c r="S25" s="46"/>
      <x:c r="T25" s="36"/>
    </x:row>
    <x:row r="26">
      <x:c r="A26" s="27"/>
      <x:c r="B26" s="50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  <x:c r="P26" s="36"/>
      <x:c r="Q26" s="36"/>
      <x:c r="R26" s="36"/>
      <x:c r="S26" s="46"/>
      <x:c r="T26" s="36"/>
    </x:row>
    <x:row r="27">
      <x:c r="A27" s="27"/>
      <x:c r="B27" s="50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  <x:c r="P27" s="36"/>
      <x:c r="Q27" s="36"/>
      <x:c r="R27" s="36"/>
      <x:c r="S27" s="46"/>
      <x:c r="T27" s="36"/>
    </x:row>
    <x:row r="28">
      <x:c r="A28" s="27"/>
      <x:c r="B28" s="50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  <x:c r="P28" s="36"/>
      <x:c r="Q28" s="36"/>
      <x:c r="R28" s="36"/>
      <x:c r="S28" s="46"/>
      <x:c r="T28" s="36"/>
    </x:row>
    <x:row r="29">
      <x:c r="A29" s="27"/>
      <x:c r="B29" s="50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  <x:c r="P29" s="36"/>
      <x:c r="Q29" s="36"/>
      <x:c r="R29" s="36"/>
      <x:c r="S29" s="46"/>
      <x:c r="T29" s="36"/>
    </x:row>
    <x:row r="30">
      <x:c r="A30" s="27"/>
      <x:c r="B30" s="50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  <x:c r="P30" s="36"/>
      <x:c r="Q30" s="36"/>
      <x:c r="R30" s="36"/>
      <x:c r="S30" s="46"/>
      <x:c r="T30" s="36"/>
    </x:row>
    <x:row r="31">
      <x:c r="A31" s="27"/>
      <x:c r="B31" s="50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  <x:c r="P31" s="36"/>
      <x:c r="Q31" s="36"/>
      <x:c r="R31" s="36"/>
      <x:c r="S31" s="46"/>
      <x:c r="T31" s="36"/>
    </x:row>
    <x:row r="32">
      <x:c r="A32" s="27"/>
      <x:c r="B32" s="50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  <x:c r="P32" s="36"/>
      <x:c r="Q32" s="36"/>
      <x:c r="R32" s="36"/>
      <x:c r="S32" s="46"/>
      <x:c r="T32" s="36"/>
    </x:row>
    <x:row r="33">
      <x:c r="A33" s="27"/>
      <x:c r="B33" s="50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  <x:c r="P33" s="36"/>
      <x:c r="Q33" s="36"/>
      <x:c r="R33" s="36"/>
      <x:c r="S33" s="46"/>
      <x:c r="T33" s="36"/>
    </x:row>
    <x:row r="34">
      <x:c r="A34" s="27"/>
      <x:c r="B34" s="50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36"/>
      <x:c r="R34" s="36"/>
      <x:c r="S34" s="46"/>
      <x:c r="T34" s="36"/>
    </x:row>
    <x:row r="35">
      <x:c r="A35" s="27"/>
      <x:c r="B35" s="50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  <x:c r="P35" s="36"/>
      <x:c r="Q35" s="36"/>
      <x:c r="R35" s="36"/>
      <x:c r="S35" s="46"/>
      <x:c r="T35" s="36"/>
    </x:row>
    <x:row r="36">
      <x:c r="A36" s="27"/>
      <x:c r="B36" s="50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  <x:c r="P36" s="36"/>
      <x:c r="Q36" s="36"/>
      <x:c r="R36" s="36"/>
      <x:c r="S36" s="46"/>
      <x:c r="T36" s="36"/>
    </x:row>
    <x:row r="37">
      <x:c r="A37" s="27"/>
      <x:c r="B37" s="50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  <x:c r="P37" s="36"/>
      <x:c r="Q37" s="36"/>
      <x:c r="R37" s="36"/>
      <x:c r="S37" s="46"/>
      <x:c r="T37" s="36"/>
    </x:row>
    <x:row r="38">
      <x:c r="A38" s="27"/>
      <x:c r="B38" s="50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  <x:c r="P38" s="36"/>
      <x:c r="Q38" s="36"/>
      <x:c r="R38" s="36"/>
      <x:c r="S38" s="46"/>
      <x:c r="T38" s="36"/>
    </x:row>
    <x:row r="39">
      <x:c r="A39" s="27"/>
      <x:c r="B39" s="50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  <x:c r="P39" s="36"/>
      <x:c r="Q39" s="36"/>
      <x:c r="R39" s="36"/>
      <x:c r="S39" s="46"/>
      <x:c r="T39" s="36"/>
    </x:row>
    <x:row r="40">
      <x:c r="A40" s="27"/>
      <x:c r="B40" s="50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  <x:c r="P40" s="36"/>
      <x:c r="Q40" s="36"/>
      <x:c r="R40" s="36"/>
      <x:c r="S40" s="46"/>
      <x:c r="T40" s="36"/>
    </x:row>
    <x:row r="41">
      <x:c r="A41" s="27"/>
      <x:c r="B41" s="50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  <x:c r="P41" s="36"/>
      <x:c r="Q41" s="36"/>
      <x:c r="R41" s="36"/>
      <x:c r="S41" s="46"/>
      <x:c r="T41" s="36"/>
    </x:row>
    <x:row r="42">
      <x:c r="A42" s="27"/>
      <x:c r="B42" s="50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  <x:c r="P42" s="36"/>
      <x:c r="Q42" s="36"/>
      <x:c r="R42" s="36"/>
      <x:c r="S42" s="46"/>
      <x:c r="T42" s="36"/>
    </x:row>
    <x:row r="43">
      <x:c r="A43" s="27"/>
      <x:c r="B43" s="50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  <x:c r="P43" s="36"/>
      <x:c r="Q43" s="36"/>
      <x:c r="R43" s="36"/>
      <x:c r="S43" s="46"/>
      <x:c r="T43" s="36"/>
    </x:row>
    <x:row r="44">
      <x:c r="A44" s="27"/>
      <x:c r="B44" s="50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  <x:c r="P44" s="36"/>
      <x:c r="Q44" s="36"/>
      <x:c r="R44" s="36"/>
      <x:c r="S44" s="46"/>
      <x:c r="T44" s="36"/>
    </x:row>
    <x:row r="45">
      <x:c r="A45" s="27"/>
      <x:c r="B45" s="50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  <x:c r="P45" s="36"/>
      <x:c r="Q45" s="36"/>
      <x:c r="R45" s="36"/>
      <x:c r="S45" s="46"/>
      <x:c r="T45" s="36"/>
    </x:row>
    <x:row r="46">
      <x:c r="A46" s="27"/>
      <x:c r="B46" s="50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  <x:c r="P46" s="36"/>
      <x:c r="Q46" s="36"/>
      <x:c r="R46" s="36"/>
      <x:c r="S46" s="46"/>
      <x:c r="T46" s="36"/>
    </x:row>
    <x:row r="47">
      <x:c r="A47" s="27"/>
      <x:c r="B47" s="50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  <x:c r="P47" s="36"/>
      <x:c r="Q47" s="36"/>
      <x:c r="R47" s="36"/>
      <x:c r="S47" s="46"/>
      <x:c r="T47" s="36"/>
    </x:row>
    <x:row r="48">
      <x:c r="A48" s="27"/>
      <x:c r="B48" s="50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  <x:c r="P48" s="36"/>
      <x:c r="Q48" s="36"/>
      <x:c r="R48" s="36"/>
      <x:c r="S48" s="46"/>
      <x:c r="T48" s="36"/>
    </x:row>
    <x:row r="49">
      <x:c r="A49" s="27"/>
      <x:c r="B49" s="50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  <x:c r="P49" s="36"/>
      <x:c r="Q49" s="36"/>
      <x:c r="R49" s="36"/>
      <x:c r="S49" s="46"/>
      <x:c r="T49" s="36"/>
    </x:row>
    <x:row r="50">
      <x:c r="A50" s="27"/>
      <x:c r="B50" s="50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  <x:c r="P50" s="36"/>
      <x:c r="Q50" s="36"/>
      <x:c r="R50" s="36"/>
      <x:c r="S50" s="46"/>
      <x:c r="T50" s="36"/>
    </x:row>
    <x:row r="51">
      <x:c r="A51" s="27"/>
      <x:c r="B51" s="50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  <x:c r="P51" s="36"/>
      <x:c r="Q51" s="36"/>
      <x:c r="R51" s="36"/>
      <x:c r="S51" s="46"/>
      <x:c r="T51" s="36"/>
    </x:row>
    <x:row r="52">
      <x:c r="A52" s="27"/>
      <x:c r="B52" s="50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  <x:c r="P52" s="36"/>
      <x:c r="Q52" s="36"/>
      <x:c r="R52" s="36"/>
      <x:c r="S52" s="46"/>
      <x:c r="T52" s="36"/>
    </x:row>
    <x:row r="53">
      <x:c r="A53" s="27"/>
      <x:c r="B53" s="50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  <x:c r="P53" s="36"/>
      <x:c r="Q53" s="36"/>
      <x:c r="R53" s="36"/>
      <x:c r="S53" s="46"/>
      <x:c r="T53" s="36"/>
    </x:row>
    <x:row r="54">
      <x:c r="A54" s="27"/>
      <x:c r="B54" s="50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  <x:c r="P54" s="36"/>
      <x:c r="Q54" s="36"/>
      <x:c r="R54" s="36"/>
      <x:c r="S54" s="46"/>
      <x:c r="T54" s="36"/>
    </x:row>
    <x:row r="55">
      <x:c r="A55" s="27"/>
      <x:c r="B55" s="50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  <x:c r="P55" s="36"/>
      <x:c r="Q55" s="36"/>
      <x:c r="R55" s="36"/>
      <x:c r="S55" s="46"/>
      <x:c r="T55" s="36"/>
    </x:row>
    <x:row r="56">
      <x:c r="A56" s="27"/>
      <x:c r="B56" s="50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  <x:c r="P56" s="36"/>
      <x:c r="Q56" s="36"/>
      <x:c r="R56" s="36"/>
      <x:c r="S56" s="46"/>
      <x:c r="T56" s="36"/>
    </x:row>
    <x:row r="57">
      <x:c r="A57" s="27"/>
      <x:c r="B57" s="50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  <x:c r="P57" s="36"/>
      <x:c r="Q57" s="36"/>
      <x:c r="R57" s="36"/>
      <x:c r="S57" s="46"/>
      <x:c r="T57" s="36"/>
    </x:row>
    <x:row r="58">
      <x:c r="A58" s="27"/>
      <x:c r="B58" s="50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  <x:c r="P58" s="36"/>
      <x:c r="Q58" s="36"/>
      <x:c r="R58" s="36"/>
      <x:c r="S58" s="46"/>
      <x:c r="T58" s="36"/>
    </x:row>
    <x:row r="59">
      <x:c r="A59" s="27"/>
      <x:c r="B59" s="50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  <x:c r="P59" s="36"/>
      <x:c r="Q59" s="36"/>
      <x:c r="R59" s="36"/>
      <x:c r="S59" s="46"/>
      <x:c r="T59" s="36"/>
    </x:row>
    <x:row r="60">
      <x:c r="A60" s="27"/>
      <x:c r="B60" s="50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  <x:c r="P60" s="36"/>
      <x:c r="Q60" s="36"/>
      <x:c r="R60" s="36"/>
      <x:c r="S60" s="46"/>
      <x:c r="T60" s="36"/>
    </x:row>
    <x:row r="61">
      <x:c r="A61" s="27"/>
      <x:c r="B61" s="50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  <x:c r="P61" s="36"/>
      <x:c r="Q61" s="36"/>
      <x:c r="R61" s="36"/>
      <x:c r="S61" s="46"/>
      <x:c r="T61" s="36"/>
    </x:row>
    <x:row r="62">
      <x:c r="A62" s="27"/>
      <x:c r="B62" s="50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  <x:c r="P62" s="36"/>
      <x:c r="Q62" s="36"/>
      <x:c r="R62" s="36"/>
      <x:c r="S62" s="46"/>
      <x:c r="T62" s="36"/>
    </x:row>
    <x:row r="63">
      <x:c r="A63" s="27"/>
      <x:c r="B63" s="50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  <x:c r="P63" s="36"/>
      <x:c r="Q63" s="36"/>
      <x:c r="R63" s="36"/>
      <x:c r="S63" s="46"/>
      <x:c r="T63" s="36"/>
    </x:row>
    <x:row r="64">
      <x:c r="A64" s="27"/>
      <x:c r="B64" s="50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  <x:c r="P64" s="36"/>
      <x:c r="Q64" s="36"/>
      <x:c r="R64" s="36"/>
      <x:c r="S64" s="46"/>
      <x:c r="T64" s="36"/>
    </x:row>
    <x:row r="65">
      <x:c r="A65" s="27"/>
      <x:c r="B65" s="50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  <x:c r="P65" s="36"/>
      <x:c r="Q65" s="36"/>
      <x:c r="R65" s="36"/>
      <x:c r="S65" s="46"/>
      <x:c r="T65" s="36"/>
    </x:row>
    <x:row r="66">
      <x:c r="A66" s="27"/>
      <x:c r="B66" s="50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  <x:c r="P66" s="36"/>
      <x:c r="Q66" s="36"/>
      <x:c r="R66" s="36"/>
      <x:c r="S66" s="46"/>
      <x:c r="T66" s="36"/>
    </x:row>
    <x:row r="67">
      <x:c r="A67" s="27"/>
      <x:c r="B67" s="50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  <x:c r="P67" s="36"/>
      <x:c r="Q67" s="36"/>
      <x:c r="R67" s="36"/>
      <x:c r="S67" s="46"/>
      <x:c r="T67" s="36"/>
    </x:row>
    <x:row r="68">
      <x:c r="A68" s="27"/>
      <x:c r="B68" s="50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  <x:c r="P68" s="36"/>
      <x:c r="Q68" s="36"/>
      <x:c r="R68" s="36"/>
      <x:c r="S68" s="46"/>
      <x:c r="T68" s="36"/>
    </x:row>
    <x:row r="69">
      <x:c r="A69" s="27"/>
      <x:c r="B69" s="50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  <x:c r="P69" s="36"/>
      <x:c r="Q69" s="36"/>
      <x:c r="R69" s="36"/>
      <x:c r="S69" s="46"/>
      <x:c r="T69" s="36"/>
    </x:row>
    <x:row r="70">
      <x:c r="A70" s="27"/>
      <x:c r="B70" s="50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  <x:c r="P70" s="36"/>
      <x:c r="Q70" s="36"/>
      <x:c r="R70" s="36"/>
      <x:c r="S70" s="46"/>
      <x:c r="T70" s="36"/>
    </x:row>
    <x:row r="71">
      <x:c r="A71" s="27"/>
      <x:c r="B71" s="50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  <x:c r="P71" s="36"/>
      <x:c r="Q71" s="36"/>
      <x:c r="R71" s="36"/>
      <x:c r="S71" s="46"/>
      <x:c r="T71" s="36"/>
    </x:row>
    <x:row r="72">
      <x:c r="A72" s="27"/>
      <x:c r="B72" s="50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  <x:c r="P72" s="36"/>
      <x:c r="Q72" s="36"/>
      <x:c r="R72" s="36"/>
      <x:c r="S72" s="46"/>
      <x:c r="T72" s="36"/>
    </x:row>
    <x:row r="73">
      <x:c r="A73" s="27"/>
      <x:c r="B73" s="50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  <x:c r="P73" s="36"/>
      <x:c r="Q73" s="36"/>
      <x:c r="R73" s="36"/>
      <x:c r="S73" s="46"/>
      <x:c r="T73" s="36"/>
    </x:row>
    <x:row r="74">
      <x:c r="A74" s="27"/>
      <x:c r="B74" s="50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  <x:c r="P74" s="36"/>
      <x:c r="Q74" s="36"/>
      <x:c r="R74" s="36"/>
      <x:c r="S74" s="46"/>
      <x:c r="T74" s="36"/>
    </x:row>
    <x:row r="75">
      <x:c r="A75" s="27"/>
      <x:c r="B75" s="50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  <x:c r="P75" s="36"/>
      <x:c r="Q75" s="36"/>
      <x:c r="R75" s="36"/>
      <x:c r="S75" s="46"/>
      <x:c r="T75" s="36"/>
    </x:row>
    <x:row r="76">
      <x:c r="A76" s="27"/>
      <x:c r="B76" s="50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  <x:c r="P76" s="36"/>
      <x:c r="Q76" s="36"/>
      <x:c r="R76" s="36"/>
      <x:c r="S76" s="46"/>
      <x:c r="T76" s="36"/>
    </x:row>
    <x:row r="77">
      <x:c r="A77" s="27"/>
      <x:c r="B77" s="50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  <x:c r="P77" s="36"/>
      <x:c r="Q77" s="36"/>
      <x:c r="R77" s="36"/>
      <x:c r="S77" s="46"/>
      <x:c r="T77" s="36"/>
    </x:row>
    <x:row r="78">
      <x:c r="A78" s="27"/>
      <x:c r="B78" s="50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  <x:c r="P78" s="36"/>
      <x:c r="Q78" s="36"/>
      <x:c r="R78" s="36"/>
      <x:c r="S78" s="46"/>
      <x:c r="T78" s="36"/>
    </x:row>
    <x:row r="79">
      <x:c r="A79" s="27"/>
      <x:c r="B79" s="50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  <x:c r="P79" s="36"/>
      <x:c r="Q79" s="36"/>
      <x:c r="R79" s="36"/>
      <x:c r="S79" s="46"/>
      <x:c r="T79" s="36"/>
    </x:row>
    <x:row r="80">
      <x:c r="A80" s="27"/>
      <x:c r="B80" s="50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  <x:c r="P80" s="36"/>
      <x:c r="Q80" s="36"/>
      <x:c r="R80" s="36"/>
      <x:c r="S80" s="46"/>
      <x:c r="T80" s="36"/>
    </x:row>
    <x:row r="81">
      <x:c r="A81" s="27"/>
      <x:c r="B81" s="50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  <x:c r="P81" s="36"/>
      <x:c r="Q81" s="36"/>
      <x:c r="R81" s="36"/>
      <x:c r="S81" s="46"/>
      <x:c r="T81" s="36"/>
    </x:row>
    <x:row r="82">
      <x:c r="A82" s="27"/>
      <x:c r="B82" s="50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  <x:c r="P82" s="36"/>
      <x:c r="Q82" s="36"/>
      <x:c r="R82" s="36"/>
      <x:c r="S82" s="46"/>
      <x:c r="T82" s="36"/>
    </x:row>
    <x:row r="83">
      <x:c r="A83" s="27"/>
      <x:c r="B83" s="50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  <x:c r="P83" s="36"/>
      <x:c r="Q83" s="36"/>
      <x:c r="R83" s="36"/>
      <x:c r="S83" s="46"/>
      <x:c r="T83" s="36"/>
    </x:row>
    <x:row r="84">
      <x:c r="A84" s="27"/>
      <x:c r="B84" s="50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  <x:c r="P84" s="36"/>
      <x:c r="Q84" s="36"/>
      <x:c r="R84" s="36"/>
      <x:c r="S84" s="46"/>
      <x:c r="T84" s="36"/>
    </x:row>
    <x:row r="85">
      <x:c r="A85" s="27"/>
      <x:c r="B85" s="50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  <x:c r="P85" s="36"/>
      <x:c r="Q85" s="36"/>
      <x:c r="R85" s="36"/>
      <x:c r="S85" s="46"/>
      <x:c r="T85" s="36"/>
    </x:row>
    <x:row r="86">
      <x:c r="A86" s="27"/>
      <x:c r="B86" s="50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  <x:c r="P86" s="36"/>
      <x:c r="Q86" s="36"/>
      <x:c r="R86" s="36"/>
      <x:c r="S86" s="46"/>
      <x:c r="T86" s="36"/>
    </x:row>
    <x:row r="87">
      <x:c r="A87" s="27"/>
      <x:c r="B87" s="50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  <x:c r="P87" s="36"/>
      <x:c r="Q87" s="36"/>
      <x:c r="R87" s="36"/>
      <x:c r="S87" s="46"/>
      <x:c r="T87" s="36"/>
    </x:row>
    <x:row r="88">
      <x:c r="A88" s="27"/>
      <x:c r="B88" s="50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  <x:c r="P88" s="36"/>
      <x:c r="Q88" s="36"/>
      <x:c r="R88" s="36"/>
      <x:c r="S88" s="46"/>
      <x:c r="T88" s="36"/>
    </x:row>
    <x:row r="89">
      <x:c r="A89" s="27"/>
      <x:c r="B89" s="50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  <x:c r="P89" s="36"/>
      <x:c r="Q89" s="36"/>
      <x:c r="R89" s="36"/>
      <x:c r="S89" s="46"/>
      <x:c r="T89" s="36"/>
    </x:row>
    <x:row r="90">
      <x:c r="A90" s="27"/>
      <x:c r="B90" s="50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  <x:c r="P90" s="36"/>
      <x:c r="Q90" s="36"/>
      <x:c r="R90" s="36"/>
      <x:c r="S90" s="46"/>
      <x:c r="T90" s="36"/>
    </x:row>
    <x:row r="91">
      <x:c r="A91" s="27"/>
      <x:c r="B91" s="50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  <x:c r="P91" s="36"/>
      <x:c r="Q91" s="36"/>
      <x:c r="R91" s="36"/>
      <x:c r="S91" s="46"/>
      <x:c r="T91" s="36"/>
    </x:row>
    <x:row r="92">
      <x:c r="A92" s="27"/>
      <x:c r="B92" s="50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  <x:c r="P92" s="36"/>
      <x:c r="Q92" s="36"/>
      <x:c r="R92" s="36"/>
      <x:c r="S92" s="46"/>
      <x:c r="T92" s="36"/>
    </x:row>
    <x:row r="93">
      <x:c r="A93" s="27"/>
      <x:c r="B93" s="50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  <x:c r="P93" s="36"/>
      <x:c r="Q93" s="36"/>
      <x:c r="R93" s="36"/>
      <x:c r="S93" s="46"/>
      <x:c r="T93" s="36"/>
    </x:row>
    <x:row r="94">
      <x:c r="A94" s="27"/>
      <x:c r="B94" s="50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  <x:c r="P94" s="36"/>
      <x:c r="Q94" s="36"/>
      <x:c r="R94" s="36"/>
      <x:c r="S94" s="46"/>
      <x:c r="T94" s="36"/>
    </x:row>
    <x:row r="95">
      <x:c r="A95" s="27"/>
      <x:c r="B95" s="50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  <x:c r="P95" s="36"/>
      <x:c r="Q95" s="36"/>
      <x:c r="R95" s="36"/>
      <x:c r="S95" s="46"/>
      <x:c r="T95" s="36"/>
    </x:row>
    <x:row r="96">
      <x:c r="A96" s="27"/>
      <x:c r="B96" s="50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  <x:c r="P96" s="36"/>
      <x:c r="Q96" s="36"/>
      <x:c r="R96" s="36"/>
      <x:c r="S96" s="46"/>
      <x:c r="T96" s="36"/>
    </x:row>
    <x:row r="97">
      <x:c r="A97" s="27"/>
      <x:c r="B97" s="50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  <x:c r="P97" s="36"/>
      <x:c r="Q97" s="36"/>
      <x:c r="R97" s="36"/>
      <x:c r="S97" s="46"/>
      <x:c r="T97" s="36"/>
    </x:row>
    <x:row r="98">
      <x:c r="A98" s="27"/>
      <x:c r="B98" s="50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  <x:c r="P98" s="36"/>
      <x:c r="Q98" s="36"/>
      <x:c r="R98" s="36"/>
      <x:c r="S98" s="46"/>
      <x:c r="T98" s="36"/>
    </x:row>
    <x:row r="99">
      <x:c r="A99" s="27"/>
      <x:c r="B99" s="50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  <x:c r="P99" s="36"/>
      <x:c r="Q99" s="36"/>
      <x:c r="R99" s="36"/>
      <x:c r="S99" s="46"/>
      <x:c r="T99" s="36"/>
    </x:row>
    <x:row r="100">
      <x:c r="A100" s="27"/>
      <x:c r="B100" s="50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  <x:c r="P100" s="36"/>
      <x:c r="Q100" s="36"/>
      <x:c r="R100" s="36"/>
      <x:c r="S100" s="46"/>
      <x:c r="T100" s="36"/>
    </x:row>
    <x:row r="101">
      <x:c r="A101" s="27"/>
      <x:c r="B101" s="50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  <x:c r="M101" s="36"/>
      <x:c r="N101" s="36"/>
      <x:c r="O101" s="36"/>
      <x:c r="P101" s="36"/>
      <x:c r="Q101" s="36"/>
      <x:c r="R101" s="36"/>
      <x:c r="S101" s="46"/>
      <x:c r="T101" s="36"/>
    </x:row>
    <x:row r="102">
      <x:c r="A102" s="27"/>
      <x:c r="B102" s="50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  <x:c r="M102" s="36"/>
      <x:c r="N102" s="36"/>
      <x:c r="O102" s="36"/>
      <x:c r="P102" s="36"/>
      <x:c r="Q102" s="36"/>
      <x:c r="R102" s="36"/>
      <x:c r="S102" s="46"/>
      <x:c r="T102" s="36"/>
    </x:row>
    <x:row r="103">
      <x:c r="A103" s="27"/>
      <x:c r="B103" s="50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  <x:c r="M103" s="36"/>
      <x:c r="N103" s="36"/>
      <x:c r="O103" s="36"/>
      <x:c r="P103" s="36"/>
      <x:c r="Q103" s="36"/>
      <x:c r="R103" s="36"/>
      <x:c r="S103" s="46"/>
      <x:c r="T103" s="36"/>
    </x:row>
    <x:row r="104">
      <x:c r="A104" s="27"/>
      <x:c r="B104" s="50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36"/>
      <x:c r="S104" s="46"/>
      <x:c r="T104" s="36"/>
    </x:row>
    <x:row r="105">
      <x:c r="A105" s="27"/>
      <x:c r="B105" s="50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36"/>
      <x:c r="S105" s="46"/>
      <x:c r="T105" s="36"/>
    </x:row>
    <x:row r="106">
      <x:c r="A106" s="27"/>
      <x:c r="B106" s="50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36"/>
      <x:c r="S106" s="46"/>
      <x:c r="T106" s="36"/>
    </x:row>
    <x:row r="107">
      <x:c r="A107" s="27"/>
      <x:c r="B107" s="50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36"/>
      <x:c r="S107" s="46"/>
      <x:c r="T107" s="36"/>
    </x:row>
    <x:row r="108">
      <x:c r="A108" s="27"/>
      <x:c r="B108" s="50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36"/>
      <x:c r="S108" s="46"/>
      <x:c r="T108" s="36"/>
    </x:row>
    <x:row r="109">
      <x:c r="A109" s="27"/>
      <x:c r="B109" s="50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36"/>
      <x:c r="S109" s="46"/>
      <x:c r="T109" s="36"/>
    </x:row>
    <x:row r="110">
      <x:c r="A110" s="27"/>
      <x:c r="B110" s="50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36"/>
      <x:c r="S110" s="46"/>
      <x:c r="T110" s="36"/>
    </x:row>
    <x:row r="111">
      <x:c r="A111" s="27"/>
      <x:c r="B111" s="50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36"/>
      <x:c r="S111" s="46"/>
      <x:c r="T111" s="36"/>
    </x:row>
    <x:row r="112">
      <x:c r="A112" s="27"/>
      <x:c r="B112" s="50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36"/>
      <x:c r="S112" s="46"/>
      <x:c r="T112" s="36"/>
    </x:row>
    <x:row r="113">
      <x:c r="A113" s="27"/>
      <x:c r="B113" s="50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36"/>
      <x:c r="S113" s="46"/>
      <x:c r="T113" s="36"/>
    </x:row>
    <x:row r="114">
      <x:c r="A114" s="27"/>
      <x:c r="B114" s="50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36"/>
      <x:c r="S114" s="46"/>
      <x:c r="T114" s="36"/>
    </x:row>
    <x:row r="115">
      <x:c r="A115" s="27"/>
      <x:c r="B115" s="50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36"/>
      <x:c r="S115" s="46"/>
      <x:c r="T115" s="36"/>
    </x:row>
    <x:row r="116">
      <x:c r="A116" s="27"/>
      <x:c r="B116" s="50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36"/>
      <x:c r="S116" s="46"/>
      <x:c r="T116" s="36"/>
    </x:row>
    <x:row r="117">
      <x:c r="A117" s="27"/>
      <x:c r="B117" s="50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36"/>
      <x:c r="S117" s="46"/>
      <x:c r="T117" s="36"/>
    </x:row>
    <x:row r="118">
      <x:c r="A118" s="27"/>
      <x:c r="B118" s="50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36"/>
      <x:c r="S118" s="46"/>
      <x:c r="T118" s="36"/>
    </x:row>
    <x:row r="119">
      <x:c r="A119" s="27"/>
      <x:c r="B119" s="50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36"/>
      <x:c r="S119" s="46"/>
      <x:c r="T119" s="36"/>
    </x:row>
    <x:row r="120">
      <x:c r="A120" s="27"/>
      <x:c r="B120" s="50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36"/>
      <x:c r="S120" s="46"/>
      <x:c r="T120" s="36"/>
    </x:row>
    <x:row r="121">
      <x:c r="A121" s="27"/>
      <x:c r="B121" s="50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36"/>
      <x:c r="S121" s="46"/>
      <x:c r="T121" s="36"/>
    </x:row>
    <x:row r="122">
      <x:c r="A122" s="27"/>
      <x:c r="B122" s="50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36"/>
      <x:c r="S122" s="46"/>
      <x:c r="T122" s="36"/>
    </x:row>
    <x:row r="123">
      <x:c r="A123" s="27"/>
      <x:c r="B123" s="50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36"/>
      <x:c r="S123" s="46"/>
      <x:c r="T123" s="36"/>
    </x:row>
    <x:row r="124">
      <x:c r="A124" s="27"/>
      <x:c r="B124" s="50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36"/>
      <x:c r="S124" s="46"/>
      <x:c r="T124" s="36"/>
    </x:row>
    <x:row r="125">
      <x:c r="A125" s="27"/>
      <x:c r="B125" s="50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36"/>
      <x:c r="S125" s="46"/>
      <x:c r="T125" s="36"/>
    </x:row>
    <x:row r="126">
      <x:c r="A126" s="27"/>
      <x:c r="B126" s="50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36"/>
      <x:c r="S126" s="46"/>
      <x:c r="T126" s="36"/>
    </x:row>
    <x:row r="127">
      <x:c r="A127" s="27"/>
      <x:c r="B127" s="50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36"/>
      <x:c r="S127" s="46"/>
      <x:c r="T127" s="36"/>
    </x:row>
    <x:row r="128">
      <x:c r="A128" s="27"/>
      <x:c r="B128" s="50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36"/>
      <x:c r="S128" s="46"/>
      <x:c r="T128" s="36"/>
    </x:row>
    <x:row r="129">
      <x:c r="A129" s="27"/>
      <x:c r="B129" s="50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36"/>
      <x:c r="S129" s="46"/>
      <x:c r="T129" s="36"/>
    </x:row>
    <x:row r="130">
      <x:c r="A130" s="27"/>
      <x:c r="B130" s="50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36"/>
      <x:c r="S130" s="46"/>
      <x:c r="T130" s="36"/>
    </x:row>
    <x:row r="131">
      <x:c r="A131" s="27"/>
      <x:c r="B131" s="50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36"/>
      <x:c r="S131" s="46"/>
      <x:c r="T131" s="36"/>
    </x:row>
    <x:row r="132">
      <x:c r="A132" s="27"/>
      <x:c r="B132" s="50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36"/>
      <x:c r="S132" s="46"/>
      <x:c r="T132" s="36"/>
    </x:row>
    <x:row r="133">
      <x:c r="A133" s="27"/>
      <x:c r="B133" s="50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36"/>
      <x:c r="S133" s="46"/>
      <x:c r="T133" s="36"/>
    </x:row>
    <x:row r="134">
      <x:c r="A134" s="27"/>
      <x:c r="B134" s="50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36"/>
      <x:c r="S134" s="46"/>
      <x:c r="T134" s="36"/>
    </x:row>
    <x:row r="135">
      <x:c r="A135" s="27"/>
      <x:c r="B135" s="50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36"/>
      <x:c r="S135" s="46"/>
      <x:c r="T135" s="36"/>
    </x:row>
    <x:row r="136">
      <x:c r="A136" s="27"/>
      <x:c r="B136" s="50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36"/>
      <x:c r="S136" s="46"/>
      <x:c r="T136" s="36"/>
    </x:row>
    <x:row r="137">
      <x:c r="A137" s="27"/>
      <x:c r="B137" s="50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36"/>
      <x:c r="S137" s="46"/>
      <x:c r="T137" s="36"/>
    </x:row>
    <x:row r="138">
      <x:c r="A138" s="27"/>
      <x:c r="B138" s="50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36"/>
      <x:c r="S138" s="46"/>
      <x:c r="T138" s="36"/>
    </x:row>
    <x:row r="139">
      <x:c r="A139" s="27"/>
      <x:c r="B139" s="50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36"/>
      <x:c r="S139" s="46"/>
      <x:c r="T139" s="36"/>
    </x:row>
    <x:row r="140">
      <x:c r="A140" s="27"/>
      <x:c r="B140" s="50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36"/>
      <x:c r="S140" s="46"/>
      <x:c r="T140" s="36"/>
    </x:row>
    <x:row r="141">
      <x:c r="A141" s="27"/>
      <x:c r="B141" s="50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36"/>
      <x:c r="S141" s="46"/>
      <x:c r="T141" s="36"/>
    </x:row>
    <x:row r="142">
      <x:c r="A142" s="27"/>
      <x:c r="B142" s="50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36"/>
      <x:c r="S142" s="46"/>
      <x:c r="T142" s="36"/>
    </x:row>
    <x:row r="143">
      <x:c r="A143" s="27"/>
      <x:c r="B143" s="50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36"/>
      <x:c r="S143" s="46"/>
      <x:c r="T143" s="36"/>
    </x:row>
    <x:row r="144">
      <x:c r="A144" s="27"/>
      <x:c r="B144" s="50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36"/>
      <x:c r="S144" s="46"/>
      <x:c r="T144" s="36"/>
    </x:row>
    <x:row r="145">
      <x:c r="A145" s="27"/>
      <x:c r="B145" s="50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36"/>
      <x:c r="S145" s="46"/>
      <x:c r="T145" s="36"/>
    </x:row>
    <x:row r="146">
      <x:c r="A146" s="27"/>
      <x:c r="B146" s="50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36"/>
      <x:c r="S146" s="46"/>
      <x:c r="T146" s="36"/>
    </x:row>
    <x:row r="147">
      <x:c r="A147" s="27"/>
      <x:c r="B147" s="50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36"/>
      <x:c r="S147" s="46"/>
      <x:c r="T147" s="36"/>
    </x:row>
    <x:row r="148">
      <x:c r="A148" s="27"/>
      <x:c r="B148" s="50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36"/>
      <x:c r="S148" s="46"/>
      <x:c r="T148" s="36"/>
    </x:row>
    <x:row r="149">
      <x:c r="A149" s="27"/>
      <x:c r="B149" s="50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36"/>
      <x:c r="S149" s="46"/>
      <x:c r="T149" s="36"/>
    </x:row>
    <x:row r="150">
      <x:c r="A150" s="27"/>
      <x:c r="B150" s="50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36"/>
      <x:c r="S150" s="46"/>
      <x:c r="T150" s="36"/>
    </x:row>
    <x:row r="151">
      <x:c r="A151" s="27"/>
      <x:c r="B151" s="50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36"/>
      <x:c r="S151" s="46"/>
      <x:c r="T151" s="36"/>
    </x:row>
    <x:row r="152">
      <x:c r="A152" s="27"/>
      <x:c r="B152" s="50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36"/>
      <x:c r="S152" s="46"/>
      <x:c r="T152" s="36"/>
    </x:row>
    <x:row r="153">
      <x:c r="A153" s="27"/>
      <x:c r="B153" s="50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36"/>
      <x:c r="S153" s="46"/>
      <x:c r="T153" s="36"/>
    </x:row>
    <x:row r="154">
      <x:c r="A154" s="27"/>
      <x:c r="B154" s="50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36"/>
      <x:c r="S154" s="46"/>
      <x:c r="T154" s="36"/>
    </x:row>
    <x:row r="155">
      <x:c r="A155" s="27"/>
      <x:c r="B155" s="50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36"/>
      <x:c r="S155" s="46"/>
      <x:c r="T155" s="36"/>
    </x:row>
    <x:row r="156">
      <x:c r="A156" s="27"/>
      <x:c r="B156" s="50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36"/>
      <x:c r="S156" s="46"/>
      <x:c r="T156" s="36"/>
    </x:row>
    <x:row r="157">
      <x:c r="A157" s="27"/>
      <x:c r="B157" s="50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36"/>
      <x:c r="S157" s="46"/>
      <x:c r="T157" s="36"/>
    </x:row>
    <x:row r="158">
      <x:c r="A158" s="27"/>
      <x:c r="B158" s="50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36"/>
      <x:c r="S158" s="46"/>
      <x:c r="T158" s="36"/>
    </x:row>
    <x:row r="159">
      <x:c r="A159" s="27"/>
      <x:c r="B159" s="50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36"/>
      <x:c r="S159" s="46"/>
      <x:c r="T159" s="36"/>
    </x:row>
    <x:row r="160">
      <x:c r="A160" s="27"/>
      <x:c r="B160" s="50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36"/>
      <x:c r="S160" s="46"/>
      <x:c r="T160" s="36"/>
    </x:row>
    <x:row r="161">
      <x:c r="A161" s="27"/>
      <x:c r="B161" s="50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36"/>
      <x:c r="S161" s="46"/>
      <x:c r="T161" s="36"/>
    </x:row>
    <x:row r="162">
      <x:c r="A162" s="27"/>
      <x:c r="B162" s="50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36"/>
      <x:c r="S162" s="46"/>
      <x:c r="T162" s="36"/>
    </x:row>
    <x:row r="163">
      <x:c r="A163" s="27"/>
      <x:c r="B163" s="50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36"/>
      <x:c r="S163" s="46"/>
      <x:c r="T163" s="36"/>
    </x:row>
    <x:row r="164">
      <x:c r="A164" s="27"/>
      <x:c r="B164" s="50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36"/>
      <x:c r="S164" s="46"/>
      <x:c r="T164" s="36"/>
    </x:row>
    <x:row r="165">
      <x:c r="A165" s="27"/>
      <x:c r="B165" s="50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36"/>
      <x:c r="S165" s="46"/>
      <x:c r="T165" s="36"/>
    </x:row>
    <x:row r="166">
      <x:c r="A166" s="27"/>
      <x:c r="B166" s="50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36"/>
      <x:c r="S166" s="46"/>
      <x:c r="T166" s="36"/>
    </x:row>
    <x:row r="167">
      <x:c r="A167" s="27"/>
      <x:c r="B167" s="50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36"/>
      <x:c r="S167" s="46"/>
      <x:c r="T167" s="36"/>
    </x:row>
    <x:row r="168">
      <x:c r="A168" s="27"/>
      <x:c r="B168" s="50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36"/>
      <x:c r="S168" s="46"/>
      <x:c r="T168" s="36"/>
    </x:row>
    <x:row r="169">
      <x:c r="A169" s="27"/>
      <x:c r="B169" s="50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36"/>
      <x:c r="S169" s="46"/>
      <x:c r="T169" s="36"/>
    </x:row>
    <x:row r="170">
      <x:c r="A170" s="27"/>
      <x:c r="B170" s="50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36"/>
      <x:c r="S170" s="46"/>
      <x:c r="T170" s="36"/>
    </x:row>
    <x:row r="171">
      <x:c r="A171" s="27"/>
      <x:c r="B171" s="50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36"/>
      <x:c r="S171" s="46"/>
      <x:c r="T171" s="36"/>
    </x:row>
    <x:row r="172">
      <x:c r="A172" s="27"/>
      <x:c r="B172" s="50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36"/>
      <x:c r="S172" s="46"/>
      <x:c r="T172" s="36"/>
    </x:row>
    <x:row r="173">
      <x:c r="A173" s="27"/>
      <x:c r="B173" s="50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36"/>
      <x:c r="S173" s="46"/>
      <x:c r="T173" s="36"/>
    </x:row>
    <x:row r="174">
      <x:c r="A174" s="27"/>
      <x:c r="B174" s="50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36"/>
      <x:c r="S174" s="46"/>
      <x:c r="T174" s="36"/>
    </x:row>
    <x:row r="175">
      <x:c r="A175" s="27"/>
      <x:c r="B175" s="50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36"/>
      <x:c r="S175" s="46"/>
      <x:c r="T175" s="36"/>
    </x:row>
    <x:row r="176">
      <x:c r="A176" s="27"/>
      <x:c r="B176" s="50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36"/>
      <x:c r="S176" s="46"/>
      <x:c r="T176" s="36"/>
    </x:row>
    <x:row r="177">
      <x:c r="A177" s="27"/>
      <x:c r="B177" s="50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36"/>
      <x:c r="S177" s="46"/>
      <x:c r="T177" s="36"/>
    </x:row>
    <x:row r="178">
      <x:c r="A178" s="27"/>
      <x:c r="B178" s="50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36"/>
      <x:c r="S178" s="46"/>
      <x:c r="T178" s="36"/>
    </x:row>
    <x:row r="179">
      <x:c r="A179" s="27"/>
      <x:c r="B179" s="50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36"/>
      <x:c r="S179" s="46"/>
      <x:c r="T179" s="36"/>
    </x:row>
    <x:row r="180">
      <x:c r="A180" s="27"/>
      <x:c r="B180" s="50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36"/>
      <x:c r="S180" s="46"/>
      <x:c r="T180" s="36"/>
    </x:row>
    <x:row r="181">
      <x:c r="A181" s="27"/>
      <x:c r="B181" s="50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36"/>
      <x:c r="S181" s="46"/>
      <x:c r="T181" s="36"/>
    </x:row>
    <x:row r="182">
      <x:c r="A182" s="27"/>
      <x:c r="B182" s="50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36"/>
      <x:c r="S182" s="46"/>
      <x:c r="T182" s="36"/>
    </x:row>
    <x:row r="183">
      <x:c r="A183" s="27"/>
      <x:c r="B183" s="50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36"/>
      <x:c r="S183" s="46"/>
      <x:c r="T183" s="36"/>
    </x:row>
    <x:row r="184">
      <x:c r="A184" s="27"/>
      <x:c r="B184" s="50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36"/>
      <x:c r="S184" s="46"/>
      <x:c r="T184" s="36"/>
    </x:row>
    <x:row r="185">
      <x:c r="A185" s="27"/>
      <x:c r="B185" s="50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36"/>
      <x:c r="S185" s="46"/>
      <x:c r="T185" s="36"/>
    </x:row>
    <x:row r="186">
      <x:c r="A186" s="27"/>
      <x:c r="B186" s="50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36"/>
      <x:c r="S186" s="46"/>
      <x:c r="T186" s="36"/>
    </x:row>
    <x:row r="187">
      <x:c r="A187" s="27"/>
      <x:c r="B187" s="50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36"/>
      <x:c r="S187" s="46"/>
      <x:c r="T187" s="36"/>
    </x:row>
    <x:row r="188">
      <x:c r="A188" s="27"/>
      <x:c r="B188" s="50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36"/>
      <x:c r="S188" s="46"/>
      <x:c r="T188" s="36"/>
    </x:row>
    <x:row r="189">
      <x:c r="A189" s="27"/>
      <x:c r="B189" s="50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36"/>
      <x:c r="S189" s="46"/>
      <x:c r="T189" s="36"/>
    </x:row>
    <x:row r="190">
      <x:c r="A190" s="27"/>
      <x:c r="B190" s="50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36"/>
      <x:c r="S190" s="46"/>
      <x:c r="T190" s="36"/>
    </x:row>
    <x:row r="191">
      <x:c r="A191" s="27"/>
      <x:c r="B191" s="50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36"/>
      <x:c r="S191" s="46"/>
      <x:c r="T191" s="36"/>
    </x:row>
    <x:row r="192">
      <x:c r="A192" s="27"/>
      <x:c r="B192" s="50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36"/>
      <x:c r="S192" s="46"/>
      <x:c r="T192" s="36"/>
    </x:row>
    <x:row r="193">
      <x:c r="A193" s="27"/>
      <x:c r="B193" s="50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36"/>
      <x:c r="S193" s="46"/>
      <x:c r="T193" s="36"/>
    </x:row>
    <x:row r="194">
      <x:c r="A194" s="27"/>
      <x:c r="B194" s="50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36"/>
      <x:c r="S194" s="46"/>
      <x:c r="T194" s="36"/>
    </x:row>
    <x:row r="195">
      <x:c r="A195" s="27"/>
      <x:c r="B195" s="50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36"/>
      <x:c r="S195" s="46"/>
      <x:c r="T195" s="36"/>
    </x:row>
    <x:row r="196">
      <x:c r="A196" s="27"/>
      <x:c r="B196" s="50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36"/>
      <x:c r="S196" s="46"/>
      <x:c r="T196" s="36"/>
    </x:row>
    <x:row r="197">
      <x:c r="A197" s="27"/>
      <x:c r="B197" s="50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36"/>
      <x:c r="S197" s="46"/>
      <x:c r="T197" s="36"/>
    </x:row>
    <x:row r="198">
      <x:c r="A198" s="27"/>
      <x:c r="B198" s="50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36"/>
      <x:c r="S198" s="46"/>
      <x:c r="T198" s="36"/>
    </x:row>
    <x:row r="199">
      <x:c r="A199" s="27"/>
      <x:c r="B199" s="50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36"/>
      <x:c r="S199" s="46"/>
      <x:c r="T199" s="36"/>
    </x:row>
    <x:row r="200">
      <x:c r="A200" s="27"/>
      <x:c r="B200" s="50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36"/>
      <x:c r="S200" s="46"/>
      <x:c r="T200" s="36"/>
    </x:row>
  </x:sheetData>
  <x:mergeCells>
    <x:mergeCell ref="A1:T1"/>
    <x:mergeCell ref="A2:T2"/>
  </x:mergeCells>
  <x:dataValidations count="2">
    <x:dataValidation type="list" sqref="D5:D200">
      <x:formula1>"S0 / CRISIS,S1 / CRITICAL,S2 / MAJOR,S3 / MINOR,S4 / OBSERVATION"</x:formula1>
    </x:dataValidation>
    <x:dataValidation type="list" sqref="I5:I200">
      <x:formula1>"OPEN,CONTAINED,RECOVERING,MONITORING,CLOSED"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c48c12d13a459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5" hidden="0" customWidth="1"/>
    <x:col min="5" max="5" width="13" hidden="0" customWidth="1"/>
    <x:col min="6" max="6" width="58" hidden="0" customWidth="1"/>
    <x:col min="7" max="7" width="38" hidden="0" customWidth="1"/>
    <x:col min="8" max="8" width="58" hidden="0" customWidth="1"/>
    <x:col min="9" max="9" width="28" hidden="0" customWidth="1"/>
    <x:col min="10" max="10" width="28" hidden="0" customWidth="1"/>
    <x:col min="11" max="11" width="14" hidden="0" customWidth="1"/>
    <x:col min="12" max="12" width="16" hidden="0" customWidth="1"/>
    <x:col min="13" max="13" width="48" hidden="0" customWidth="1"/>
    <x:col min="14" max="14" width="35" hidden="0" customWidth="1"/>
    <x:col min="15" max="15" width="40" hidden="0" customWidth="1"/>
    <x:col min="16" max="16" width="25" hidden="0" customWidth="1"/>
  </x:cols>
  <x:sheetData>
    <x:row r="1" ht="36" customHeight="1">
      <x:c r="A1" s="5" t="str">
        <x:v>12 — Formal Risk Acceptance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3" t="str">
        <x:v>Acceptance is an explicit, expiring management decision—not a synonym for inactivity. ZERO-appetite and legal/data/security risks require exceptional scrutiny.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t="str">
        <x:v>Acceptance ID</x:v>
      </x:c>
      <x:c r="B4" t="str">
        <x:v>Risk ID</x:v>
      </x:c>
      <x:c r="C4" t="str">
        <x:v>Requested Date</x:v>
      </x:c>
      <x:c r="D4" t="str">
        <x:v>Residual Score</x:v>
      </x:c>
      <x:c r="E4" t="str">
        <x:v>Appetite</x:v>
      </x:c>
      <x:c r="F4" t="str">
        <x:v>Reason Treatment Is Not Proportionate</x:v>
      </x:c>
      <x:c r="G4" t="str">
        <x:v>Scope / Duration</x:v>
      </x:c>
      <x:c r="H4" t="str">
        <x:v>Compensating Controls</x:v>
      </x:c>
      <x:c r="I4" t="str">
        <x:v>Owner</x:v>
      </x:c>
      <x:c r="J4" t="str">
        <x:v>Independent Reviewer</x:v>
      </x:c>
      <x:c r="K4" t="str">
        <x:v>Expiry Date</x:v>
      </x:c>
      <x:c r="L4" t="str">
        <x:v>Decision</x:v>
      </x:c>
      <x:c r="M4" t="str">
        <x:v>Conditions</x:v>
      </x:c>
      <x:c r="N4" t="str">
        <x:v>Evidence</x:v>
      </x:c>
      <x:c r="O4" t="str">
        <x:v>Re-review Trigger</x:v>
      </x:c>
      <x:c r="P4" t="str">
        <x:v>Closed / Superseded By</x:v>
      </x:c>
    </x:row>
    <x:row r="5">
      <x:c r="A5" s="27"/>
      <x:c r="B5" s="27"/>
      <x:c r="C5" s="40"/>
      <x:c r="D5" s="27"/>
      <x:c r="E5" s="27"/>
      <x:c r="F5" s="36"/>
      <x:c r="G5" s="36"/>
      <x:c r="H5" s="36"/>
      <x:c r="I5" s="36"/>
      <x:c r="J5" s="36"/>
      <x:c r="K5" s="46"/>
      <x:c r="L5" s="36"/>
      <x:c r="M5" s="36"/>
      <x:c r="N5" s="36"/>
      <x:c r="O5" s="36"/>
      <x:c r="P5" s="36"/>
    </x:row>
    <x:row r="6">
      <x:c r="A6" s="27"/>
      <x:c r="B6" s="27"/>
      <x:c r="C6" s="40"/>
      <x:c r="D6" s="27"/>
      <x:c r="E6" s="27"/>
      <x:c r="F6" s="36"/>
      <x:c r="G6" s="36"/>
      <x:c r="H6" s="36"/>
      <x:c r="I6" s="36"/>
      <x:c r="J6" s="36"/>
      <x:c r="K6" s="46"/>
      <x:c r="L6" s="36"/>
      <x:c r="M6" s="36"/>
      <x:c r="N6" s="36"/>
      <x:c r="O6" s="36"/>
      <x:c r="P6" s="36"/>
    </x:row>
    <x:row r="7">
      <x:c r="A7" s="27"/>
      <x:c r="B7" s="27"/>
      <x:c r="C7" s="40"/>
      <x:c r="D7" s="27"/>
      <x:c r="E7" s="27"/>
      <x:c r="F7" s="36"/>
      <x:c r="G7" s="36"/>
      <x:c r="H7" s="36"/>
      <x:c r="I7" s="36"/>
      <x:c r="J7" s="36"/>
      <x:c r="K7" s="46"/>
      <x:c r="L7" s="36"/>
      <x:c r="M7" s="36"/>
      <x:c r="N7" s="36"/>
      <x:c r="O7" s="36"/>
      <x:c r="P7" s="36"/>
    </x:row>
    <x:row r="8">
      <x:c r="A8" s="27"/>
      <x:c r="B8" s="27"/>
      <x:c r="C8" s="40"/>
      <x:c r="D8" s="27"/>
      <x:c r="E8" s="27"/>
      <x:c r="F8" s="36"/>
      <x:c r="G8" s="36"/>
      <x:c r="H8" s="36"/>
      <x:c r="I8" s="36"/>
      <x:c r="J8" s="36"/>
      <x:c r="K8" s="46"/>
      <x:c r="L8" s="36"/>
      <x:c r="M8" s="36"/>
      <x:c r="N8" s="36"/>
      <x:c r="O8" s="36"/>
      <x:c r="P8" s="36"/>
    </x:row>
    <x:row r="9">
      <x:c r="A9" s="27"/>
      <x:c r="B9" s="27"/>
      <x:c r="C9" s="40"/>
      <x:c r="D9" s="27"/>
      <x:c r="E9" s="27"/>
      <x:c r="F9" s="36"/>
      <x:c r="G9" s="36"/>
      <x:c r="H9" s="36"/>
      <x:c r="I9" s="36"/>
      <x:c r="J9" s="36"/>
      <x:c r="K9" s="46"/>
      <x:c r="L9" s="36"/>
      <x:c r="M9" s="36"/>
      <x:c r="N9" s="36"/>
      <x:c r="O9" s="36"/>
      <x:c r="P9" s="36"/>
    </x:row>
    <x:row r="10">
      <x:c r="A10" s="27"/>
      <x:c r="B10" s="27"/>
      <x:c r="C10" s="40"/>
      <x:c r="D10" s="27"/>
      <x:c r="E10" s="27"/>
      <x:c r="F10" s="36"/>
      <x:c r="G10" s="36"/>
      <x:c r="H10" s="36"/>
      <x:c r="I10" s="36"/>
      <x:c r="J10" s="36"/>
      <x:c r="K10" s="46"/>
      <x:c r="L10" s="36"/>
      <x:c r="M10" s="36"/>
      <x:c r="N10" s="36"/>
      <x:c r="O10" s="36"/>
      <x:c r="P10" s="36"/>
    </x:row>
    <x:row r="11">
      <x:c r="A11" s="27"/>
      <x:c r="B11" s="27"/>
      <x:c r="C11" s="40"/>
      <x:c r="D11" s="27"/>
      <x:c r="E11" s="27"/>
      <x:c r="F11" s="36"/>
      <x:c r="G11" s="36"/>
      <x:c r="H11" s="36"/>
      <x:c r="I11" s="36"/>
      <x:c r="J11" s="36"/>
      <x:c r="K11" s="46"/>
      <x:c r="L11" s="36"/>
      <x:c r="M11" s="36"/>
      <x:c r="N11" s="36"/>
      <x:c r="O11" s="36"/>
      <x:c r="P11" s="36"/>
    </x:row>
    <x:row r="12">
      <x:c r="A12" s="27"/>
      <x:c r="B12" s="27"/>
      <x:c r="C12" s="40"/>
      <x:c r="D12" s="27"/>
      <x:c r="E12" s="27"/>
      <x:c r="F12" s="36"/>
      <x:c r="G12" s="36"/>
      <x:c r="H12" s="36"/>
      <x:c r="I12" s="36"/>
      <x:c r="J12" s="36"/>
      <x:c r="K12" s="46"/>
      <x:c r="L12" s="36"/>
      <x:c r="M12" s="36"/>
      <x:c r="N12" s="36"/>
      <x:c r="O12" s="36"/>
      <x:c r="P12" s="36"/>
    </x:row>
    <x:row r="13">
      <x:c r="A13" s="27"/>
      <x:c r="B13" s="27"/>
      <x:c r="C13" s="40"/>
      <x:c r="D13" s="27"/>
      <x:c r="E13" s="27"/>
      <x:c r="F13" s="36"/>
      <x:c r="G13" s="36"/>
      <x:c r="H13" s="36"/>
      <x:c r="I13" s="36"/>
      <x:c r="J13" s="36"/>
      <x:c r="K13" s="46"/>
      <x:c r="L13" s="36"/>
      <x:c r="M13" s="36"/>
      <x:c r="N13" s="36"/>
      <x:c r="O13" s="36"/>
      <x:c r="P13" s="36"/>
    </x:row>
    <x:row r="14">
      <x:c r="A14" s="27"/>
      <x:c r="B14" s="27"/>
      <x:c r="C14" s="40"/>
      <x:c r="D14" s="27"/>
      <x:c r="E14" s="27"/>
      <x:c r="F14" s="36"/>
      <x:c r="G14" s="36"/>
      <x:c r="H14" s="36"/>
      <x:c r="I14" s="36"/>
      <x:c r="J14" s="36"/>
      <x:c r="K14" s="46"/>
      <x:c r="L14" s="36"/>
      <x:c r="M14" s="36"/>
      <x:c r="N14" s="36"/>
      <x:c r="O14" s="36"/>
      <x:c r="P14" s="36"/>
    </x:row>
    <x:row r="15">
      <x:c r="A15" s="27"/>
      <x:c r="B15" s="27"/>
      <x:c r="C15" s="40"/>
      <x:c r="D15" s="27"/>
      <x:c r="E15" s="27"/>
      <x:c r="F15" s="36"/>
      <x:c r="G15" s="36"/>
      <x:c r="H15" s="36"/>
      <x:c r="I15" s="36"/>
      <x:c r="J15" s="36"/>
      <x:c r="K15" s="46"/>
      <x:c r="L15" s="36"/>
      <x:c r="M15" s="36"/>
      <x:c r="N15" s="36"/>
      <x:c r="O15" s="36"/>
      <x:c r="P15" s="36"/>
    </x:row>
    <x:row r="16">
      <x:c r="A16" s="27"/>
      <x:c r="B16" s="27"/>
      <x:c r="C16" s="40"/>
      <x:c r="D16" s="27"/>
      <x:c r="E16" s="27"/>
      <x:c r="F16" s="36"/>
      <x:c r="G16" s="36"/>
      <x:c r="H16" s="36"/>
      <x:c r="I16" s="36"/>
      <x:c r="J16" s="36"/>
      <x:c r="K16" s="46"/>
      <x:c r="L16" s="36"/>
      <x:c r="M16" s="36"/>
      <x:c r="N16" s="36"/>
      <x:c r="O16" s="36"/>
      <x:c r="P16" s="36"/>
    </x:row>
    <x:row r="17">
      <x:c r="A17" s="27"/>
      <x:c r="B17" s="27"/>
      <x:c r="C17" s="40"/>
      <x:c r="D17" s="27"/>
      <x:c r="E17" s="27"/>
      <x:c r="F17" s="36"/>
      <x:c r="G17" s="36"/>
      <x:c r="H17" s="36"/>
      <x:c r="I17" s="36"/>
      <x:c r="J17" s="36"/>
      <x:c r="K17" s="46"/>
      <x:c r="L17" s="36"/>
      <x:c r="M17" s="36"/>
      <x:c r="N17" s="36"/>
      <x:c r="O17" s="36"/>
      <x:c r="P17" s="36"/>
    </x:row>
    <x:row r="18">
      <x:c r="A18" s="27"/>
      <x:c r="B18" s="27"/>
      <x:c r="C18" s="40"/>
      <x:c r="D18" s="27"/>
      <x:c r="E18" s="27"/>
      <x:c r="F18" s="36"/>
      <x:c r="G18" s="36"/>
      <x:c r="H18" s="36"/>
      <x:c r="I18" s="36"/>
      <x:c r="J18" s="36"/>
      <x:c r="K18" s="46"/>
      <x:c r="L18" s="36"/>
      <x:c r="M18" s="36"/>
      <x:c r="N18" s="36"/>
      <x:c r="O18" s="36"/>
      <x:c r="P18" s="36"/>
    </x:row>
    <x:row r="19">
      <x:c r="A19" s="27"/>
      <x:c r="B19" s="27"/>
      <x:c r="C19" s="40"/>
      <x:c r="D19" s="27"/>
      <x:c r="E19" s="27"/>
      <x:c r="F19" s="36"/>
      <x:c r="G19" s="36"/>
      <x:c r="H19" s="36"/>
      <x:c r="I19" s="36"/>
      <x:c r="J19" s="36"/>
      <x:c r="K19" s="46"/>
      <x:c r="L19" s="36"/>
      <x:c r="M19" s="36"/>
      <x:c r="N19" s="36"/>
      <x:c r="O19" s="36"/>
      <x:c r="P19" s="36"/>
    </x:row>
    <x:row r="20">
      <x:c r="A20" s="27"/>
      <x:c r="B20" s="27"/>
      <x:c r="C20" s="40"/>
      <x:c r="D20" s="27"/>
      <x:c r="E20" s="27"/>
      <x:c r="F20" s="36"/>
      <x:c r="G20" s="36"/>
      <x:c r="H20" s="36"/>
      <x:c r="I20" s="36"/>
      <x:c r="J20" s="36"/>
      <x:c r="K20" s="46"/>
      <x:c r="L20" s="36"/>
      <x:c r="M20" s="36"/>
      <x:c r="N20" s="36"/>
      <x:c r="O20" s="36"/>
      <x:c r="P20" s="36"/>
    </x:row>
    <x:row r="21">
      <x:c r="A21" s="27"/>
      <x:c r="B21" s="27"/>
      <x:c r="C21" s="40"/>
      <x:c r="D21" s="27"/>
      <x:c r="E21" s="27"/>
      <x:c r="F21" s="36"/>
      <x:c r="G21" s="36"/>
      <x:c r="H21" s="36"/>
      <x:c r="I21" s="36"/>
      <x:c r="J21" s="36"/>
      <x:c r="K21" s="46"/>
      <x:c r="L21" s="36"/>
      <x:c r="M21" s="36"/>
      <x:c r="N21" s="36"/>
      <x:c r="O21" s="36"/>
      <x:c r="P21" s="36"/>
    </x:row>
    <x:row r="22">
      <x:c r="A22" s="27"/>
      <x:c r="B22" s="27"/>
      <x:c r="C22" s="40"/>
      <x:c r="D22" s="27"/>
      <x:c r="E22" s="27"/>
      <x:c r="F22" s="36"/>
      <x:c r="G22" s="36"/>
      <x:c r="H22" s="36"/>
      <x:c r="I22" s="36"/>
      <x:c r="J22" s="36"/>
      <x:c r="K22" s="46"/>
      <x:c r="L22" s="36"/>
      <x:c r="M22" s="36"/>
      <x:c r="N22" s="36"/>
      <x:c r="O22" s="36"/>
      <x:c r="P22" s="36"/>
    </x:row>
    <x:row r="23">
      <x:c r="A23" s="27"/>
      <x:c r="B23" s="27"/>
      <x:c r="C23" s="40"/>
      <x:c r="D23" s="27"/>
      <x:c r="E23" s="27"/>
      <x:c r="F23" s="36"/>
      <x:c r="G23" s="36"/>
      <x:c r="H23" s="36"/>
      <x:c r="I23" s="36"/>
      <x:c r="J23" s="36"/>
      <x:c r="K23" s="46"/>
      <x:c r="L23" s="36"/>
      <x:c r="M23" s="36"/>
      <x:c r="N23" s="36"/>
      <x:c r="O23" s="36"/>
      <x:c r="P23" s="36"/>
    </x:row>
    <x:row r="24">
      <x:c r="A24" s="27"/>
      <x:c r="B24" s="27"/>
      <x:c r="C24" s="40"/>
      <x:c r="D24" s="27"/>
      <x:c r="E24" s="27"/>
      <x:c r="F24" s="36"/>
      <x:c r="G24" s="36"/>
      <x:c r="H24" s="36"/>
      <x:c r="I24" s="36"/>
      <x:c r="J24" s="36"/>
      <x:c r="K24" s="46"/>
      <x:c r="L24" s="36"/>
      <x:c r="M24" s="36"/>
      <x:c r="N24" s="36"/>
      <x:c r="O24" s="36"/>
      <x:c r="P24" s="36"/>
    </x:row>
    <x:row r="25">
      <x:c r="A25" s="27"/>
      <x:c r="B25" s="27"/>
      <x:c r="C25" s="40"/>
      <x:c r="D25" s="27"/>
      <x:c r="E25" s="27"/>
      <x:c r="F25" s="36"/>
      <x:c r="G25" s="36"/>
      <x:c r="H25" s="36"/>
      <x:c r="I25" s="36"/>
      <x:c r="J25" s="36"/>
      <x:c r="K25" s="46"/>
      <x:c r="L25" s="36"/>
      <x:c r="M25" s="36"/>
      <x:c r="N25" s="36"/>
      <x:c r="O25" s="36"/>
      <x:c r="P25" s="36"/>
    </x:row>
    <x:row r="26">
      <x:c r="A26" s="27"/>
      <x:c r="B26" s="27"/>
      <x:c r="C26" s="40"/>
      <x:c r="D26" s="27"/>
      <x:c r="E26" s="27"/>
      <x:c r="F26" s="36"/>
      <x:c r="G26" s="36"/>
      <x:c r="H26" s="36"/>
      <x:c r="I26" s="36"/>
      <x:c r="J26" s="36"/>
      <x:c r="K26" s="46"/>
      <x:c r="L26" s="36"/>
      <x:c r="M26" s="36"/>
      <x:c r="N26" s="36"/>
      <x:c r="O26" s="36"/>
      <x:c r="P26" s="36"/>
    </x:row>
    <x:row r="27">
      <x:c r="A27" s="27"/>
      <x:c r="B27" s="27"/>
      <x:c r="C27" s="40"/>
      <x:c r="D27" s="27"/>
      <x:c r="E27" s="27"/>
      <x:c r="F27" s="36"/>
      <x:c r="G27" s="36"/>
      <x:c r="H27" s="36"/>
      <x:c r="I27" s="36"/>
      <x:c r="J27" s="36"/>
      <x:c r="K27" s="46"/>
      <x:c r="L27" s="36"/>
      <x:c r="M27" s="36"/>
      <x:c r="N27" s="36"/>
      <x:c r="O27" s="36"/>
      <x:c r="P27" s="36"/>
    </x:row>
    <x:row r="28">
      <x:c r="A28" s="27"/>
      <x:c r="B28" s="27"/>
      <x:c r="C28" s="40"/>
      <x:c r="D28" s="27"/>
      <x:c r="E28" s="27"/>
      <x:c r="F28" s="36"/>
      <x:c r="G28" s="36"/>
      <x:c r="H28" s="36"/>
      <x:c r="I28" s="36"/>
      <x:c r="J28" s="36"/>
      <x:c r="K28" s="46"/>
      <x:c r="L28" s="36"/>
      <x:c r="M28" s="36"/>
      <x:c r="N28" s="36"/>
      <x:c r="O28" s="36"/>
      <x:c r="P28" s="36"/>
    </x:row>
    <x:row r="29">
      <x:c r="A29" s="27"/>
      <x:c r="B29" s="27"/>
      <x:c r="C29" s="40"/>
      <x:c r="D29" s="27"/>
      <x:c r="E29" s="27"/>
      <x:c r="F29" s="36"/>
      <x:c r="G29" s="36"/>
      <x:c r="H29" s="36"/>
      <x:c r="I29" s="36"/>
      <x:c r="J29" s="36"/>
      <x:c r="K29" s="46"/>
      <x:c r="L29" s="36"/>
      <x:c r="M29" s="36"/>
      <x:c r="N29" s="36"/>
      <x:c r="O29" s="36"/>
      <x:c r="P29" s="36"/>
    </x:row>
    <x:row r="30">
      <x:c r="A30" s="27"/>
      <x:c r="B30" s="27"/>
      <x:c r="C30" s="40"/>
      <x:c r="D30" s="27"/>
      <x:c r="E30" s="27"/>
      <x:c r="F30" s="36"/>
      <x:c r="G30" s="36"/>
      <x:c r="H30" s="36"/>
      <x:c r="I30" s="36"/>
      <x:c r="J30" s="36"/>
      <x:c r="K30" s="46"/>
      <x:c r="L30" s="36"/>
      <x:c r="M30" s="36"/>
      <x:c r="N30" s="36"/>
      <x:c r="O30" s="36"/>
      <x:c r="P30" s="36"/>
    </x:row>
    <x:row r="31">
      <x:c r="A31" s="27"/>
      <x:c r="B31" s="27"/>
      <x:c r="C31" s="40"/>
      <x:c r="D31" s="27"/>
      <x:c r="E31" s="27"/>
      <x:c r="F31" s="36"/>
      <x:c r="G31" s="36"/>
      <x:c r="H31" s="36"/>
      <x:c r="I31" s="36"/>
      <x:c r="J31" s="36"/>
      <x:c r="K31" s="46"/>
      <x:c r="L31" s="36"/>
      <x:c r="M31" s="36"/>
      <x:c r="N31" s="36"/>
      <x:c r="O31" s="36"/>
      <x:c r="P31" s="36"/>
    </x:row>
    <x:row r="32">
      <x:c r="A32" s="27"/>
      <x:c r="B32" s="27"/>
      <x:c r="C32" s="40"/>
      <x:c r="D32" s="27"/>
      <x:c r="E32" s="27"/>
      <x:c r="F32" s="36"/>
      <x:c r="G32" s="36"/>
      <x:c r="H32" s="36"/>
      <x:c r="I32" s="36"/>
      <x:c r="J32" s="36"/>
      <x:c r="K32" s="46"/>
      <x:c r="L32" s="36"/>
      <x:c r="M32" s="36"/>
      <x:c r="N32" s="36"/>
      <x:c r="O32" s="36"/>
      <x:c r="P32" s="36"/>
    </x:row>
    <x:row r="33">
      <x:c r="A33" s="27"/>
      <x:c r="B33" s="27"/>
      <x:c r="C33" s="40"/>
      <x:c r="D33" s="27"/>
      <x:c r="E33" s="27"/>
      <x:c r="F33" s="36"/>
      <x:c r="G33" s="36"/>
      <x:c r="H33" s="36"/>
      <x:c r="I33" s="36"/>
      <x:c r="J33" s="36"/>
      <x:c r="K33" s="46"/>
      <x:c r="L33" s="36"/>
      <x:c r="M33" s="36"/>
      <x:c r="N33" s="36"/>
      <x:c r="O33" s="36"/>
      <x:c r="P33" s="36"/>
    </x:row>
    <x:row r="34">
      <x:c r="A34" s="27"/>
      <x:c r="B34" s="27"/>
      <x:c r="C34" s="40"/>
      <x:c r="D34" s="27"/>
      <x:c r="E34" s="27"/>
      <x:c r="F34" s="36"/>
      <x:c r="G34" s="36"/>
      <x:c r="H34" s="36"/>
      <x:c r="I34" s="36"/>
      <x:c r="J34" s="36"/>
      <x:c r="K34" s="46"/>
      <x:c r="L34" s="36"/>
      <x:c r="M34" s="36"/>
      <x:c r="N34" s="36"/>
      <x:c r="O34" s="36"/>
      <x:c r="P34" s="36"/>
    </x:row>
    <x:row r="35">
      <x:c r="A35" s="27"/>
      <x:c r="B35" s="27"/>
      <x:c r="C35" s="40"/>
      <x:c r="D35" s="27"/>
      <x:c r="E35" s="27"/>
      <x:c r="F35" s="36"/>
      <x:c r="G35" s="36"/>
      <x:c r="H35" s="36"/>
      <x:c r="I35" s="36"/>
      <x:c r="J35" s="36"/>
      <x:c r="K35" s="46"/>
      <x:c r="L35" s="36"/>
      <x:c r="M35" s="36"/>
      <x:c r="N35" s="36"/>
      <x:c r="O35" s="36"/>
      <x:c r="P35" s="36"/>
    </x:row>
    <x:row r="36">
      <x:c r="A36" s="27"/>
      <x:c r="B36" s="27"/>
      <x:c r="C36" s="40"/>
      <x:c r="D36" s="27"/>
      <x:c r="E36" s="27"/>
      <x:c r="F36" s="36"/>
      <x:c r="G36" s="36"/>
      <x:c r="H36" s="36"/>
      <x:c r="I36" s="36"/>
      <x:c r="J36" s="36"/>
      <x:c r="K36" s="46"/>
      <x:c r="L36" s="36"/>
      <x:c r="M36" s="36"/>
      <x:c r="N36" s="36"/>
      <x:c r="O36" s="36"/>
      <x:c r="P36" s="36"/>
    </x:row>
    <x:row r="37">
      <x:c r="A37" s="27"/>
      <x:c r="B37" s="27"/>
      <x:c r="C37" s="40"/>
      <x:c r="D37" s="27"/>
      <x:c r="E37" s="27"/>
      <x:c r="F37" s="36"/>
      <x:c r="G37" s="36"/>
      <x:c r="H37" s="36"/>
      <x:c r="I37" s="36"/>
      <x:c r="J37" s="36"/>
      <x:c r="K37" s="46"/>
      <x:c r="L37" s="36"/>
      <x:c r="M37" s="36"/>
      <x:c r="N37" s="36"/>
      <x:c r="O37" s="36"/>
      <x:c r="P37" s="36"/>
    </x:row>
    <x:row r="38">
      <x:c r="A38" s="27"/>
      <x:c r="B38" s="27"/>
      <x:c r="C38" s="40"/>
      <x:c r="D38" s="27"/>
      <x:c r="E38" s="27"/>
      <x:c r="F38" s="36"/>
      <x:c r="G38" s="36"/>
      <x:c r="H38" s="36"/>
      <x:c r="I38" s="36"/>
      <x:c r="J38" s="36"/>
      <x:c r="K38" s="46"/>
      <x:c r="L38" s="36"/>
      <x:c r="M38" s="36"/>
      <x:c r="N38" s="36"/>
      <x:c r="O38" s="36"/>
      <x:c r="P38" s="36"/>
    </x:row>
    <x:row r="39">
      <x:c r="A39" s="27"/>
      <x:c r="B39" s="27"/>
      <x:c r="C39" s="40"/>
      <x:c r="D39" s="27"/>
      <x:c r="E39" s="27"/>
      <x:c r="F39" s="36"/>
      <x:c r="G39" s="36"/>
      <x:c r="H39" s="36"/>
      <x:c r="I39" s="36"/>
      <x:c r="J39" s="36"/>
      <x:c r="K39" s="46"/>
      <x:c r="L39" s="36"/>
      <x:c r="M39" s="36"/>
      <x:c r="N39" s="36"/>
      <x:c r="O39" s="36"/>
      <x:c r="P39" s="36"/>
    </x:row>
    <x:row r="40">
      <x:c r="A40" s="27"/>
      <x:c r="B40" s="27"/>
      <x:c r="C40" s="40"/>
      <x:c r="D40" s="27"/>
      <x:c r="E40" s="27"/>
      <x:c r="F40" s="36"/>
      <x:c r="G40" s="36"/>
      <x:c r="H40" s="36"/>
      <x:c r="I40" s="36"/>
      <x:c r="J40" s="36"/>
      <x:c r="K40" s="46"/>
      <x:c r="L40" s="36"/>
      <x:c r="M40" s="36"/>
      <x:c r="N40" s="36"/>
      <x:c r="O40" s="36"/>
      <x:c r="P40" s="36"/>
    </x:row>
    <x:row r="41">
      <x:c r="A41" s="27"/>
      <x:c r="B41" s="27"/>
      <x:c r="C41" s="40"/>
      <x:c r="D41" s="27"/>
      <x:c r="E41" s="27"/>
      <x:c r="F41" s="36"/>
      <x:c r="G41" s="36"/>
      <x:c r="H41" s="36"/>
      <x:c r="I41" s="36"/>
      <x:c r="J41" s="36"/>
      <x:c r="K41" s="46"/>
      <x:c r="L41" s="36"/>
      <x:c r="M41" s="36"/>
      <x:c r="N41" s="36"/>
      <x:c r="O41" s="36"/>
      <x:c r="P41" s="36"/>
    </x:row>
    <x:row r="42">
      <x:c r="A42" s="27"/>
      <x:c r="B42" s="27"/>
      <x:c r="C42" s="40"/>
      <x:c r="D42" s="27"/>
      <x:c r="E42" s="27"/>
      <x:c r="F42" s="36"/>
      <x:c r="G42" s="36"/>
      <x:c r="H42" s="36"/>
      <x:c r="I42" s="36"/>
      <x:c r="J42" s="36"/>
      <x:c r="K42" s="46"/>
      <x:c r="L42" s="36"/>
      <x:c r="M42" s="36"/>
      <x:c r="N42" s="36"/>
      <x:c r="O42" s="36"/>
      <x:c r="P42" s="36"/>
    </x:row>
    <x:row r="43">
      <x:c r="A43" s="27"/>
      <x:c r="B43" s="27"/>
      <x:c r="C43" s="40"/>
      <x:c r="D43" s="27"/>
      <x:c r="E43" s="27"/>
      <x:c r="F43" s="36"/>
      <x:c r="G43" s="36"/>
      <x:c r="H43" s="36"/>
      <x:c r="I43" s="36"/>
      <x:c r="J43" s="36"/>
      <x:c r="K43" s="46"/>
      <x:c r="L43" s="36"/>
      <x:c r="M43" s="36"/>
      <x:c r="N43" s="36"/>
      <x:c r="O43" s="36"/>
      <x:c r="P43" s="36"/>
    </x:row>
    <x:row r="44">
      <x:c r="A44" s="27"/>
      <x:c r="B44" s="27"/>
      <x:c r="C44" s="40"/>
      <x:c r="D44" s="27"/>
      <x:c r="E44" s="27"/>
      <x:c r="F44" s="36"/>
      <x:c r="G44" s="36"/>
      <x:c r="H44" s="36"/>
      <x:c r="I44" s="36"/>
      <x:c r="J44" s="36"/>
      <x:c r="K44" s="46"/>
      <x:c r="L44" s="36"/>
      <x:c r="M44" s="36"/>
      <x:c r="N44" s="36"/>
      <x:c r="O44" s="36"/>
      <x:c r="P44" s="36"/>
    </x:row>
    <x:row r="45">
      <x:c r="A45" s="27"/>
      <x:c r="B45" s="27"/>
      <x:c r="C45" s="40"/>
      <x:c r="D45" s="27"/>
      <x:c r="E45" s="27"/>
      <x:c r="F45" s="36"/>
      <x:c r="G45" s="36"/>
      <x:c r="H45" s="36"/>
      <x:c r="I45" s="36"/>
      <x:c r="J45" s="36"/>
      <x:c r="K45" s="46"/>
      <x:c r="L45" s="36"/>
      <x:c r="M45" s="36"/>
      <x:c r="N45" s="36"/>
      <x:c r="O45" s="36"/>
      <x:c r="P45" s="36"/>
    </x:row>
    <x:row r="46">
      <x:c r="A46" s="27"/>
      <x:c r="B46" s="27"/>
      <x:c r="C46" s="40"/>
      <x:c r="D46" s="27"/>
      <x:c r="E46" s="27"/>
      <x:c r="F46" s="36"/>
      <x:c r="G46" s="36"/>
      <x:c r="H46" s="36"/>
      <x:c r="I46" s="36"/>
      <x:c r="J46" s="36"/>
      <x:c r="K46" s="46"/>
      <x:c r="L46" s="36"/>
      <x:c r="M46" s="36"/>
      <x:c r="N46" s="36"/>
      <x:c r="O46" s="36"/>
      <x:c r="P46" s="36"/>
    </x:row>
    <x:row r="47">
      <x:c r="A47" s="27"/>
      <x:c r="B47" s="27"/>
      <x:c r="C47" s="40"/>
      <x:c r="D47" s="27"/>
      <x:c r="E47" s="27"/>
      <x:c r="F47" s="36"/>
      <x:c r="G47" s="36"/>
      <x:c r="H47" s="36"/>
      <x:c r="I47" s="36"/>
      <x:c r="J47" s="36"/>
      <x:c r="K47" s="46"/>
      <x:c r="L47" s="36"/>
      <x:c r="M47" s="36"/>
      <x:c r="N47" s="36"/>
      <x:c r="O47" s="36"/>
      <x:c r="P47" s="36"/>
    </x:row>
    <x:row r="48">
      <x:c r="A48" s="27"/>
      <x:c r="B48" s="27"/>
      <x:c r="C48" s="40"/>
      <x:c r="D48" s="27"/>
      <x:c r="E48" s="27"/>
      <x:c r="F48" s="36"/>
      <x:c r="G48" s="36"/>
      <x:c r="H48" s="36"/>
      <x:c r="I48" s="36"/>
      <x:c r="J48" s="36"/>
      <x:c r="K48" s="46"/>
      <x:c r="L48" s="36"/>
      <x:c r="M48" s="36"/>
      <x:c r="N48" s="36"/>
      <x:c r="O48" s="36"/>
      <x:c r="P48" s="36"/>
    </x:row>
    <x:row r="49">
      <x:c r="A49" s="27"/>
      <x:c r="B49" s="27"/>
      <x:c r="C49" s="40"/>
      <x:c r="D49" s="27"/>
      <x:c r="E49" s="27"/>
      <x:c r="F49" s="36"/>
      <x:c r="G49" s="36"/>
      <x:c r="H49" s="36"/>
      <x:c r="I49" s="36"/>
      <x:c r="J49" s="36"/>
      <x:c r="K49" s="46"/>
      <x:c r="L49" s="36"/>
      <x:c r="M49" s="36"/>
      <x:c r="N49" s="36"/>
      <x:c r="O49" s="36"/>
      <x:c r="P49" s="36"/>
    </x:row>
    <x:row r="50">
      <x:c r="A50" s="27"/>
      <x:c r="B50" s="27"/>
      <x:c r="C50" s="40"/>
      <x:c r="D50" s="27"/>
      <x:c r="E50" s="27"/>
      <x:c r="F50" s="36"/>
      <x:c r="G50" s="36"/>
      <x:c r="H50" s="36"/>
      <x:c r="I50" s="36"/>
      <x:c r="J50" s="36"/>
      <x:c r="K50" s="46"/>
      <x:c r="L50" s="36"/>
      <x:c r="M50" s="36"/>
      <x:c r="N50" s="36"/>
      <x:c r="O50" s="36"/>
      <x:c r="P50" s="36"/>
    </x:row>
    <x:row r="51">
      <x:c r="A51" s="27"/>
      <x:c r="B51" s="27"/>
      <x:c r="C51" s="40"/>
      <x:c r="D51" s="27"/>
      <x:c r="E51" s="27"/>
      <x:c r="F51" s="36"/>
      <x:c r="G51" s="36"/>
      <x:c r="H51" s="36"/>
      <x:c r="I51" s="36"/>
      <x:c r="J51" s="36"/>
      <x:c r="K51" s="46"/>
      <x:c r="L51" s="36"/>
      <x:c r="M51" s="36"/>
      <x:c r="N51" s="36"/>
      <x:c r="O51" s="36"/>
      <x:c r="P51" s="36"/>
    </x:row>
    <x:row r="52">
      <x:c r="A52" s="27"/>
      <x:c r="B52" s="27"/>
      <x:c r="C52" s="40"/>
      <x:c r="D52" s="27"/>
      <x:c r="E52" s="27"/>
      <x:c r="F52" s="36"/>
      <x:c r="G52" s="36"/>
      <x:c r="H52" s="36"/>
      <x:c r="I52" s="36"/>
      <x:c r="J52" s="36"/>
      <x:c r="K52" s="46"/>
      <x:c r="L52" s="36"/>
      <x:c r="M52" s="36"/>
      <x:c r="N52" s="36"/>
      <x:c r="O52" s="36"/>
      <x:c r="P52" s="36"/>
    </x:row>
    <x:row r="53">
      <x:c r="A53" s="27"/>
      <x:c r="B53" s="27"/>
      <x:c r="C53" s="40"/>
      <x:c r="D53" s="27"/>
      <x:c r="E53" s="27"/>
      <x:c r="F53" s="36"/>
      <x:c r="G53" s="36"/>
      <x:c r="H53" s="36"/>
      <x:c r="I53" s="36"/>
      <x:c r="J53" s="36"/>
      <x:c r="K53" s="46"/>
      <x:c r="L53" s="36"/>
      <x:c r="M53" s="36"/>
      <x:c r="N53" s="36"/>
      <x:c r="O53" s="36"/>
      <x:c r="P53" s="36"/>
    </x:row>
    <x:row r="54">
      <x:c r="A54" s="27"/>
      <x:c r="B54" s="27"/>
      <x:c r="C54" s="40"/>
      <x:c r="D54" s="27"/>
      <x:c r="E54" s="27"/>
      <x:c r="F54" s="36"/>
      <x:c r="G54" s="36"/>
      <x:c r="H54" s="36"/>
      <x:c r="I54" s="36"/>
      <x:c r="J54" s="36"/>
      <x:c r="K54" s="46"/>
      <x:c r="L54" s="36"/>
      <x:c r="M54" s="36"/>
      <x:c r="N54" s="36"/>
      <x:c r="O54" s="36"/>
      <x:c r="P54" s="36"/>
    </x:row>
    <x:row r="55">
      <x:c r="A55" s="27"/>
      <x:c r="B55" s="27"/>
      <x:c r="C55" s="40"/>
      <x:c r="D55" s="27"/>
      <x:c r="E55" s="27"/>
      <x:c r="F55" s="36"/>
      <x:c r="G55" s="36"/>
      <x:c r="H55" s="36"/>
      <x:c r="I55" s="36"/>
      <x:c r="J55" s="36"/>
      <x:c r="K55" s="46"/>
      <x:c r="L55" s="36"/>
      <x:c r="M55" s="36"/>
      <x:c r="N55" s="36"/>
      <x:c r="O55" s="36"/>
      <x:c r="P55" s="36"/>
    </x:row>
    <x:row r="56">
      <x:c r="A56" s="27"/>
      <x:c r="B56" s="27"/>
      <x:c r="C56" s="40"/>
      <x:c r="D56" s="27"/>
      <x:c r="E56" s="27"/>
      <x:c r="F56" s="36"/>
      <x:c r="G56" s="36"/>
      <x:c r="H56" s="36"/>
      <x:c r="I56" s="36"/>
      <x:c r="J56" s="36"/>
      <x:c r="K56" s="46"/>
      <x:c r="L56" s="36"/>
      <x:c r="M56" s="36"/>
      <x:c r="N56" s="36"/>
      <x:c r="O56" s="36"/>
      <x:c r="P56" s="36"/>
    </x:row>
    <x:row r="57">
      <x:c r="A57" s="27"/>
      <x:c r="B57" s="27"/>
      <x:c r="C57" s="40"/>
      <x:c r="D57" s="27"/>
      <x:c r="E57" s="27"/>
      <x:c r="F57" s="36"/>
      <x:c r="G57" s="36"/>
      <x:c r="H57" s="36"/>
      <x:c r="I57" s="36"/>
      <x:c r="J57" s="36"/>
      <x:c r="K57" s="46"/>
      <x:c r="L57" s="36"/>
      <x:c r="M57" s="36"/>
      <x:c r="N57" s="36"/>
      <x:c r="O57" s="36"/>
      <x:c r="P57" s="36"/>
    </x:row>
    <x:row r="58">
      <x:c r="A58" s="27"/>
      <x:c r="B58" s="27"/>
      <x:c r="C58" s="40"/>
      <x:c r="D58" s="27"/>
      <x:c r="E58" s="27"/>
      <x:c r="F58" s="36"/>
      <x:c r="G58" s="36"/>
      <x:c r="H58" s="36"/>
      <x:c r="I58" s="36"/>
      <x:c r="J58" s="36"/>
      <x:c r="K58" s="46"/>
      <x:c r="L58" s="36"/>
      <x:c r="M58" s="36"/>
      <x:c r="N58" s="36"/>
      <x:c r="O58" s="36"/>
      <x:c r="P58" s="36"/>
    </x:row>
    <x:row r="59">
      <x:c r="A59" s="27"/>
      <x:c r="B59" s="27"/>
      <x:c r="C59" s="40"/>
      <x:c r="D59" s="27"/>
      <x:c r="E59" s="27"/>
      <x:c r="F59" s="36"/>
      <x:c r="G59" s="36"/>
      <x:c r="H59" s="36"/>
      <x:c r="I59" s="36"/>
      <x:c r="J59" s="36"/>
      <x:c r="K59" s="46"/>
      <x:c r="L59" s="36"/>
      <x:c r="M59" s="36"/>
      <x:c r="N59" s="36"/>
      <x:c r="O59" s="36"/>
      <x:c r="P59" s="36"/>
    </x:row>
    <x:row r="60">
      <x:c r="A60" s="27"/>
      <x:c r="B60" s="27"/>
      <x:c r="C60" s="40"/>
      <x:c r="D60" s="27"/>
      <x:c r="E60" s="27"/>
      <x:c r="F60" s="36"/>
      <x:c r="G60" s="36"/>
      <x:c r="H60" s="36"/>
      <x:c r="I60" s="36"/>
      <x:c r="J60" s="36"/>
      <x:c r="K60" s="46"/>
      <x:c r="L60" s="36"/>
      <x:c r="M60" s="36"/>
      <x:c r="N60" s="36"/>
      <x:c r="O60" s="36"/>
      <x:c r="P60" s="36"/>
    </x:row>
    <x:row r="61">
      <x:c r="A61" s="27"/>
      <x:c r="B61" s="27"/>
      <x:c r="C61" s="40"/>
      <x:c r="D61" s="27"/>
      <x:c r="E61" s="27"/>
      <x:c r="F61" s="36"/>
      <x:c r="G61" s="36"/>
      <x:c r="H61" s="36"/>
      <x:c r="I61" s="36"/>
      <x:c r="J61" s="36"/>
      <x:c r="K61" s="46"/>
      <x:c r="L61" s="36"/>
      <x:c r="M61" s="36"/>
      <x:c r="N61" s="36"/>
      <x:c r="O61" s="36"/>
      <x:c r="P61" s="36"/>
    </x:row>
    <x:row r="62">
      <x:c r="A62" s="27"/>
      <x:c r="B62" s="27"/>
      <x:c r="C62" s="40"/>
      <x:c r="D62" s="27"/>
      <x:c r="E62" s="27"/>
      <x:c r="F62" s="36"/>
      <x:c r="G62" s="36"/>
      <x:c r="H62" s="36"/>
      <x:c r="I62" s="36"/>
      <x:c r="J62" s="36"/>
      <x:c r="K62" s="46"/>
      <x:c r="L62" s="36"/>
      <x:c r="M62" s="36"/>
      <x:c r="N62" s="36"/>
      <x:c r="O62" s="36"/>
      <x:c r="P62" s="36"/>
    </x:row>
    <x:row r="63">
      <x:c r="A63" s="27"/>
      <x:c r="B63" s="27"/>
      <x:c r="C63" s="40"/>
      <x:c r="D63" s="27"/>
      <x:c r="E63" s="27"/>
      <x:c r="F63" s="36"/>
      <x:c r="G63" s="36"/>
      <x:c r="H63" s="36"/>
      <x:c r="I63" s="36"/>
      <x:c r="J63" s="36"/>
      <x:c r="K63" s="46"/>
      <x:c r="L63" s="36"/>
      <x:c r="M63" s="36"/>
      <x:c r="N63" s="36"/>
      <x:c r="O63" s="36"/>
      <x:c r="P63" s="36"/>
    </x:row>
    <x:row r="64">
      <x:c r="A64" s="27"/>
      <x:c r="B64" s="27"/>
      <x:c r="C64" s="40"/>
      <x:c r="D64" s="27"/>
      <x:c r="E64" s="27"/>
      <x:c r="F64" s="36"/>
      <x:c r="G64" s="36"/>
      <x:c r="H64" s="36"/>
      <x:c r="I64" s="36"/>
      <x:c r="J64" s="36"/>
      <x:c r="K64" s="46"/>
      <x:c r="L64" s="36"/>
      <x:c r="M64" s="36"/>
      <x:c r="N64" s="36"/>
      <x:c r="O64" s="36"/>
      <x:c r="P64" s="36"/>
    </x:row>
    <x:row r="65">
      <x:c r="A65" s="27"/>
      <x:c r="B65" s="27"/>
      <x:c r="C65" s="40"/>
      <x:c r="D65" s="27"/>
      <x:c r="E65" s="27"/>
      <x:c r="F65" s="36"/>
      <x:c r="G65" s="36"/>
      <x:c r="H65" s="36"/>
      <x:c r="I65" s="36"/>
      <x:c r="J65" s="36"/>
      <x:c r="K65" s="46"/>
      <x:c r="L65" s="36"/>
      <x:c r="M65" s="36"/>
      <x:c r="N65" s="36"/>
      <x:c r="O65" s="36"/>
      <x:c r="P65" s="36"/>
    </x:row>
    <x:row r="66">
      <x:c r="A66" s="27"/>
      <x:c r="B66" s="27"/>
      <x:c r="C66" s="40"/>
      <x:c r="D66" s="27"/>
      <x:c r="E66" s="27"/>
      <x:c r="F66" s="36"/>
      <x:c r="G66" s="36"/>
      <x:c r="H66" s="36"/>
      <x:c r="I66" s="36"/>
      <x:c r="J66" s="36"/>
      <x:c r="K66" s="46"/>
      <x:c r="L66" s="36"/>
      <x:c r="M66" s="36"/>
      <x:c r="N66" s="36"/>
      <x:c r="O66" s="36"/>
      <x:c r="P66" s="36"/>
    </x:row>
    <x:row r="67">
      <x:c r="A67" s="27"/>
      <x:c r="B67" s="27"/>
      <x:c r="C67" s="40"/>
      <x:c r="D67" s="27"/>
      <x:c r="E67" s="27"/>
      <x:c r="F67" s="36"/>
      <x:c r="G67" s="36"/>
      <x:c r="H67" s="36"/>
      <x:c r="I67" s="36"/>
      <x:c r="J67" s="36"/>
      <x:c r="K67" s="46"/>
      <x:c r="L67" s="36"/>
      <x:c r="M67" s="36"/>
      <x:c r="N67" s="36"/>
      <x:c r="O67" s="36"/>
      <x:c r="P67" s="36"/>
    </x:row>
    <x:row r="68">
      <x:c r="A68" s="27"/>
      <x:c r="B68" s="27"/>
      <x:c r="C68" s="40"/>
      <x:c r="D68" s="27"/>
      <x:c r="E68" s="27"/>
      <x:c r="F68" s="36"/>
      <x:c r="G68" s="36"/>
      <x:c r="H68" s="36"/>
      <x:c r="I68" s="36"/>
      <x:c r="J68" s="36"/>
      <x:c r="K68" s="46"/>
      <x:c r="L68" s="36"/>
      <x:c r="M68" s="36"/>
      <x:c r="N68" s="36"/>
      <x:c r="O68" s="36"/>
      <x:c r="P68" s="36"/>
    </x:row>
    <x:row r="69">
      <x:c r="A69" s="27"/>
      <x:c r="B69" s="27"/>
      <x:c r="C69" s="40"/>
      <x:c r="D69" s="27"/>
      <x:c r="E69" s="27"/>
      <x:c r="F69" s="36"/>
      <x:c r="G69" s="36"/>
      <x:c r="H69" s="36"/>
      <x:c r="I69" s="36"/>
      <x:c r="J69" s="36"/>
      <x:c r="K69" s="46"/>
      <x:c r="L69" s="36"/>
      <x:c r="M69" s="36"/>
      <x:c r="N69" s="36"/>
      <x:c r="O69" s="36"/>
      <x:c r="P69" s="36"/>
    </x:row>
    <x:row r="70">
      <x:c r="A70" s="27"/>
      <x:c r="B70" s="27"/>
      <x:c r="C70" s="40"/>
      <x:c r="D70" s="27"/>
      <x:c r="E70" s="27"/>
      <x:c r="F70" s="36"/>
      <x:c r="G70" s="36"/>
      <x:c r="H70" s="36"/>
      <x:c r="I70" s="36"/>
      <x:c r="J70" s="36"/>
      <x:c r="K70" s="46"/>
      <x:c r="L70" s="36"/>
      <x:c r="M70" s="36"/>
      <x:c r="N70" s="36"/>
      <x:c r="O70" s="36"/>
      <x:c r="P70" s="36"/>
    </x:row>
    <x:row r="71">
      <x:c r="A71" s="27"/>
      <x:c r="B71" s="27"/>
      <x:c r="C71" s="40"/>
      <x:c r="D71" s="27"/>
      <x:c r="E71" s="27"/>
      <x:c r="F71" s="36"/>
      <x:c r="G71" s="36"/>
      <x:c r="H71" s="36"/>
      <x:c r="I71" s="36"/>
      <x:c r="J71" s="36"/>
      <x:c r="K71" s="46"/>
      <x:c r="L71" s="36"/>
      <x:c r="M71" s="36"/>
      <x:c r="N71" s="36"/>
      <x:c r="O71" s="36"/>
      <x:c r="P71" s="36"/>
    </x:row>
    <x:row r="72">
      <x:c r="A72" s="27"/>
      <x:c r="B72" s="27"/>
      <x:c r="C72" s="40"/>
      <x:c r="D72" s="27"/>
      <x:c r="E72" s="27"/>
      <x:c r="F72" s="36"/>
      <x:c r="G72" s="36"/>
      <x:c r="H72" s="36"/>
      <x:c r="I72" s="36"/>
      <x:c r="J72" s="36"/>
      <x:c r="K72" s="46"/>
      <x:c r="L72" s="36"/>
      <x:c r="M72" s="36"/>
      <x:c r="N72" s="36"/>
      <x:c r="O72" s="36"/>
      <x:c r="P72" s="36"/>
    </x:row>
    <x:row r="73">
      <x:c r="A73" s="27"/>
      <x:c r="B73" s="27"/>
      <x:c r="C73" s="40"/>
      <x:c r="D73" s="27"/>
      <x:c r="E73" s="27"/>
      <x:c r="F73" s="36"/>
      <x:c r="G73" s="36"/>
      <x:c r="H73" s="36"/>
      <x:c r="I73" s="36"/>
      <x:c r="J73" s="36"/>
      <x:c r="K73" s="46"/>
      <x:c r="L73" s="36"/>
      <x:c r="M73" s="36"/>
      <x:c r="N73" s="36"/>
      <x:c r="O73" s="36"/>
      <x:c r="P73" s="36"/>
    </x:row>
    <x:row r="74">
      <x:c r="A74" s="27"/>
      <x:c r="B74" s="27"/>
      <x:c r="C74" s="40"/>
      <x:c r="D74" s="27"/>
      <x:c r="E74" s="27"/>
      <x:c r="F74" s="36"/>
      <x:c r="G74" s="36"/>
      <x:c r="H74" s="36"/>
      <x:c r="I74" s="36"/>
      <x:c r="J74" s="36"/>
      <x:c r="K74" s="46"/>
      <x:c r="L74" s="36"/>
      <x:c r="M74" s="36"/>
      <x:c r="N74" s="36"/>
      <x:c r="O74" s="36"/>
      <x:c r="P74" s="36"/>
    </x:row>
    <x:row r="75">
      <x:c r="A75" s="27"/>
      <x:c r="B75" s="27"/>
      <x:c r="C75" s="40"/>
      <x:c r="D75" s="27"/>
      <x:c r="E75" s="27"/>
      <x:c r="F75" s="36"/>
      <x:c r="G75" s="36"/>
      <x:c r="H75" s="36"/>
      <x:c r="I75" s="36"/>
      <x:c r="J75" s="36"/>
      <x:c r="K75" s="46"/>
      <x:c r="L75" s="36"/>
      <x:c r="M75" s="36"/>
      <x:c r="N75" s="36"/>
      <x:c r="O75" s="36"/>
      <x:c r="P75" s="36"/>
    </x:row>
    <x:row r="76">
      <x:c r="A76" s="27"/>
      <x:c r="B76" s="27"/>
      <x:c r="C76" s="40"/>
      <x:c r="D76" s="27"/>
      <x:c r="E76" s="27"/>
      <x:c r="F76" s="36"/>
      <x:c r="G76" s="36"/>
      <x:c r="H76" s="36"/>
      <x:c r="I76" s="36"/>
      <x:c r="J76" s="36"/>
      <x:c r="K76" s="46"/>
      <x:c r="L76" s="36"/>
      <x:c r="M76" s="36"/>
      <x:c r="N76" s="36"/>
      <x:c r="O76" s="36"/>
      <x:c r="P76" s="36"/>
    </x:row>
    <x:row r="77">
      <x:c r="A77" s="27"/>
      <x:c r="B77" s="27"/>
      <x:c r="C77" s="40"/>
      <x:c r="D77" s="27"/>
      <x:c r="E77" s="27"/>
      <x:c r="F77" s="36"/>
      <x:c r="G77" s="36"/>
      <x:c r="H77" s="36"/>
      <x:c r="I77" s="36"/>
      <x:c r="J77" s="36"/>
      <x:c r="K77" s="46"/>
      <x:c r="L77" s="36"/>
      <x:c r="M77" s="36"/>
      <x:c r="N77" s="36"/>
      <x:c r="O77" s="36"/>
      <x:c r="P77" s="36"/>
    </x:row>
    <x:row r="78">
      <x:c r="A78" s="27"/>
      <x:c r="B78" s="27"/>
      <x:c r="C78" s="40"/>
      <x:c r="D78" s="27"/>
      <x:c r="E78" s="27"/>
      <x:c r="F78" s="36"/>
      <x:c r="G78" s="36"/>
      <x:c r="H78" s="36"/>
      <x:c r="I78" s="36"/>
      <x:c r="J78" s="36"/>
      <x:c r="K78" s="46"/>
      <x:c r="L78" s="36"/>
      <x:c r="M78" s="36"/>
      <x:c r="N78" s="36"/>
      <x:c r="O78" s="36"/>
      <x:c r="P78" s="36"/>
    </x:row>
    <x:row r="79">
      <x:c r="A79" s="27"/>
      <x:c r="B79" s="27"/>
      <x:c r="C79" s="40"/>
      <x:c r="D79" s="27"/>
      <x:c r="E79" s="27"/>
      <x:c r="F79" s="36"/>
      <x:c r="G79" s="36"/>
      <x:c r="H79" s="36"/>
      <x:c r="I79" s="36"/>
      <x:c r="J79" s="36"/>
      <x:c r="K79" s="46"/>
      <x:c r="L79" s="36"/>
      <x:c r="M79" s="36"/>
      <x:c r="N79" s="36"/>
      <x:c r="O79" s="36"/>
      <x:c r="P79" s="36"/>
    </x:row>
    <x:row r="80">
      <x:c r="A80" s="27"/>
      <x:c r="B80" s="27"/>
      <x:c r="C80" s="40"/>
      <x:c r="D80" s="27"/>
      <x:c r="E80" s="27"/>
      <x:c r="F80" s="36"/>
      <x:c r="G80" s="36"/>
      <x:c r="H80" s="36"/>
      <x:c r="I80" s="36"/>
      <x:c r="J80" s="36"/>
      <x:c r="K80" s="46"/>
      <x:c r="L80" s="36"/>
      <x:c r="M80" s="36"/>
      <x:c r="N80" s="36"/>
      <x:c r="O80" s="36"/>
      <x:c r="P80" s="36"/>
    </x:row>
    <x:row r="81">
      <x:c r="A81" s="27"/>
      <x:c r="B81" s="27"/>
      <x:c r="C81" s="40"/>
      <x:c r="D81" s="27"/>
      <x:c r="E81" s="27"/>
      <x:c r="F81" s="36"/>
      <x:c r="G81" s="36"/>
      <x:c r="H81" s="36"/>
      <x:c r="I81" s="36"/>
      <x:c r="J81" s="36"/>
      <x:c r="K81" s="46"/>
      <x:c r="L81" s="36"/>
      <x:c r="M81" s="36"/>
      <x:c r="N81" s="36"/>
      <x:c r="O81" s="36"/>
      <x:c r="P81" s="36"/>
    </x:row>
    <x:row r="82">
      <x:c r="A82" s="27"/>
      <x:c r="B82" s="27"/>
      <x:c r="C82" s="40"/>
      <x:c r="D82" s="27"/>
      <x:c r="E82" s="27"/>
      <x:c r="F82" s="36"/>
      <x:c r="G82" s="36"/>
      <x:c r="H82" s="36"/>
      <x:c r="I82" s="36"/>
      <x:c r="J82" s="36"/>
      <x:c r="K82" s="46"/>
      <x:c r="L82" s="36"/>
      <x:c r="M82" s="36"/>
      <x:c r="N82" s="36"/>
      <x:c r="O82" s="36"/>
      <x:c r="P82" s="36"/>
    </x:row>
    <x:row r="83">
      <x:c r="A83" s="27"/>
      <x:c r="B83" s="27"/>
      <x:c r="C83" s="40"/>
      <x:c r="D83" s="27"/>
      <x:c r="E83" s="27"/>
      <x:c r="F83" s="36"/>
      <x:c r="G83" s="36"/>
      <x:c r="H83" s="36"/>
      <x:c r="I83" s="36"/>
      <x:c r="J83" s="36"/>
      <x:c r="K83" s="46"/>
      <x:c r="L83" s="36"/>
      <x:c r="M83" s="36"/>
      <x:c r="N83" s="36"/>
      <x:c r="O83" s="36"/>
      <x:c r="P83" s="36"/>
    </x:row>
    <x:row r="84">
      <x:c r="A84" s="27"/>
      <x:c r="B84" s="27"/>
      <x:c r="C84" s="40"/>
      <x:c r="D84" s="27"/>
      <x:c r="E84" s="27"/>
      <x:c r="F84" s="36"/>
      <x:c r="G84" s="36"/>
      <x:c r="H84" s="36"/>
      <x:c r="I84" s="36"/>
      <x:c r="J84" s="36"/>
      <x:c r="K84" s="46"/>
      <x:c r="L84" s="36"/>
      <x:c r="M84" s="36"/>
      <x:c r="N84" s="36"/>
      <x:c r="O84" s="36"/>
      <x:c r="P84" s="36"/>
    </x:row>
    <x:row r="85">
      <x:c r="A85" s="27"/>
      <x:c r="B85" s="27"/>
      <x:c r="C85" s="40"/>
      <x:c r="D85" s="27"/>
      <x:c r="E85" s="27"/>
      <x:c r="F85" s="36"/>
      <x:c r="G85" s="36"/>
      <x:c r="H85" s="36"/>
      <x:c r="I85" s="36"/>
      <x:c r="J85" s="36"/>
      <x:c r="K85" s="46"/>
      <x:c r="L85" s="36"/>
      <x:c r="M85" s="36"/>
      <x:c r="N85" s="36"/>
      <x:c r="O85" s="36"/>
      <x:c r="P85" s="36"/>
    </x:row>
    <x:row r="86">
      <x:c r="A86" s="27"/>
      <x:c r="B86" s="27"/>
      <x:c r="C86" s="40"/>
      <x:c r="D86" s="27"/>
      <x:c r="E86" s="27"/>
      <x:c r="F86" s="36"/>
      <x:c r="G86" s="36"/>
      <x:c r="H86" s="36"/>
      <x:c r="I86" s="36"/>
      <x:c r="J86" s="36"/>
      <x:c r="K86" s="46"/>
      <x:c r="L86" s="36"/>
      <x:c r="M86" s="36"/>
      <x:c r="N86" s="36"/>
      <x:c r="O86" s="36"/>
      <x:c r="P86" s="36"/>
    </x:row>
    <x:row r="87">
      <x:c r="A87" s="27"/>
      <x:c r="B87" s="27"/>
      <x:c r="C87" s="40"/>
      <x:c r="D87" s="27"/>
      <x:c r="E87" s="27"/>
      <x:c r="F87" s="36"/>
      <x:c r="G87" s="36"/>
      <x:c r="H87" s="36"/>
      <x:c r="I87" s="36"/>
      <x:c r="J87" s="36"/>
      <x:c r="K87" s="46"/>
      <x:c r="L87" s="36"/>
      <x:c r="M87" s="36"/>
      <x:c r="N87" s="36"/>
      <x:c r="O87" s="36"/>
      <x:c r="P87" s="36"/>
    </x:row>
    <x:row r="88">
      <x:c r="A88" s="27"/>
      <x:c r="B88" s="27"/>
      <x:c r="C88" s="40"/>
      <x:c r="D88" s="27"/>
      <x:c r="E88" s="27"/>
      <x:c r="F88" s="36"/>
      <x:c r="G88" s="36"/>
      <x:c r="H88" s="36"/>
      <x:c r="I88" s="36"/>
      <x:c r="J88" s="36"/>
      <x:c r="K88" s="46"/>
      <x:c r="L88" s="36"/>
      <x:c r="M88" s="36"/>
      <x:c r="N88" s="36"/>
      <x:c r="O88" s="36"/>
      <x:c r="P88" s="36"/>
    </x:row>
    <x:row r="89">
      <x:c r="A89" s="27"/>
      <x:c r="B89" s="27"/>
      <x:c r="C89" s="40"/>
      <x:c r="D89" s="27"/>
      <x:c r="E89" s="27"/>
      <x:c r="F89" s="36"/>
      <x:c r="G89" s="36"/>
      <x:c r="H89" s="36"/>
      <x:c r="I89" s="36"/>
      <x:c r="J89" s="36"/>
      <x:c r="K89" s="46"/>
      <x:c r="L89" s="36"/>
      <x:c r="M89" s="36"/>
      <x:c r="N89" s="36"/>
      <x:c r="O89" s="36"/>
      <x:c r="P89" s="36"/>
    </x:row>
    <x:row r="90">
      <x:c r="A90" s="27"/>
      <x:c r="B90" s="27"/>
      <x:c r="C90" s="40"/>
      <x:c r="D90" s="27"/>
      <x:c r="E90" s="27"/>
      <x:c r="F90" s="36"/>
      <x:c r="G90" s="36"/>
      <x:c r="H90" s="36"/>
      <x:c r="I90" s="36"/>
      <x:c r="J90" s="36"/>
      <x:c r="K90" s="46"/>
      <x:c r="L90" s="36"/>
      <x:c r="M90" s="36"/>
      <x:c r="N90" s="36"/>
      <x:c r="O90" s="36"/>
      <x:c r="P90" s="36"/>
    </x:row>
    <x:row r="91">
      <x:c r="A91" s="27"/>
      <x:c r="B91" s="27"/>
      <x:c r="C91" s="40"/>
      <x:c r="D91" s="27"/>
      <x:c r="E91" s="27"/>
      <x:c r="F91" s="36"/>
      <x:c r="G91" s="36"/>
      <x:c r="H91" s="36"/>
      <x:c r="I91" s="36"/>
      <x:c r="J91" s="36"/>
      <x:c r="K91" s="46"/>
      <x:c r="L91" s="36"/>
      <x:c r="M91" s="36"/>
      <x:c r="N91" s="36"/>
      <x:c r="O91" s="36"/>
      <x:c r="P91" s="36"/>
    </x:row>
    <x:row r="92">
      <x:c r="A92" s="27"/>
      <x:c r="B92" s="27"/>
      <x:c r="C92" s="40"/>
      <x:c r="D92" s="27"/>
      <x:c r="E92" s="27"/>
      <x:c r="F92" s="36"/>
      <x:c r="G92" s="36"/>
      <x:c r="H92" s="36"/>
      <x:c r="I92" s="36"/>
      <x:c r="J92" s="36"/>
      <x:c r="K92" s="46"/>
      <x:c r="L92" s="36"/>
      <x:c r="M92" s="36"/>
      <x:c r="N92" s="36"/>
      <x:c r="O92" s="36"/>
      <x:c r="P92" s="36"/>
    </x:row>
    <x:row r="93">
      <x:c r="A93" s="27"/>
      <x:c r="B93" s="27"/>
      <x:c r="C93" s="40"/>
      <x:c r="D93" s="27"/>
      <x:c r="E93" s="27"/>
      <x:c r="F93" s="36"/>
      <x:c r="G93" s="36"/>
      <x:c r="H93" s="36"/>
      <x:c r="I93" s="36"/>
      <x:c r="J93" s="36"/>
      <x:c r="K93" s="46"/>
      <x:c r="L93" s="36"/>
      <x:c r="M93" s="36"/>
      <x:c r="N93" s="36"/>
      <x:c r="O93" s="36"/>
      <x:c r="P93" s="36"/>
    </x:row>
    <x:row r="94">
      <x:c r="A94" s="27"/>
      <x:c r="B94" s="27"/>
      <x:c r="C94" s="40"/>
      <x:c r="D94" s="27"/>
      <x:c r="E94" s="27"/>
      <x:c r="F94" s="36"/>
      <x:c r="G94" s="36"/>
      <x:c r="H94" s="36"/>
      <x:c r="I94" s="36"/>
      <x:c r="J94" s="36"/>
      <x:c r="K94" s="46"/>
      <x:c r="L94" s="36"/>
      <x:c r="M94" s="36"/>
      <x:c r="N94" s="36"/>
      <x:c r="O94" s="36"/>
      <x:c r="P94" s="36"/>
    </x:row>
    <x:row r="95">
      <x:c r="A95" s="27"/>
      <x:c r="B95" s="27"/>
      <x:c r="C95" s="40"/>
      <x:c r="D95" s="27"/>
      <x:c r="E95" s="27"/>
      <x:c r="F95" s="36"/>
      <x:c r="G95" s="36"/>
      <x:c r="H95" s="36"/>
      <x:c r="I95" s="36"/>
      <x:c r="J95" s="36"/>
      <x:c r="K95" s="46"/>
      <x:c r="L95" s="36"/>
      <x:c r="M95" s="36"/>
      <x:c r="N95" s="36"/>
      <x:c r="O95" s="36"/>
      <x:c r="P95" s="36"/>
    </x:row>
    <x:row r="96">
      <x:c r="A96" s="27"/>
      <x:c r="B96" s="27"/>
      <x:c r="C96" s="40"/>
      <x:c r="D96" s="27"/>
      <x:c r="E96" s="27"/>
      <x:c r="F96" s="36"/>
      <x:c r="G96" s="36"/>
      <x:c r="H96" s="36"/>
      <x:c r="I96" s="36"/>
      <x:c r="J96" s="36"/>
      <x:c r="K96" s="46"/>
      <x:c r="L96" s="36"/>
      <x:c r="M96" s="36"/>
      <x:c r="N96" s="36"/>
      <x:c r="O96" s="36"/>
      <x:c r="P96" s="36"/>
    </x:row>
    <x:row r="97">
      <x:c r="A97" s="27"/>
      <x:c r="B97" s="27"/>
      <x:c r="C97" s="40"/>
      <x:c r="D97" s="27"/>
      <x:c r="E97" s="27"/>
      <x:c r="F97" s="36"/>
      <x:c r="G97" s="36"/>
      <x:c r="H97" s="36"/>
      <x:c r="I97" s="36"/>
      <x:c r="J97" s="36"/>
      <x:c r="K97" s="46"/>
      <x:c r="L97" s="36"/>
      <x:c r="M97" s="36"/>
      <x:c r="N97" s="36"/>
      <x:c r="O97" s="36"/>
      <x:c r="P97" s="36"/>
    </x:row>
    <x:row r="98">
      <x:c r="A98" s="27"/>
      <x:c r="B98" s="27"/>
      <x:c r="C98" s="40"/>
      <x:c r="D98" s="27"/>
      <x:c r="E98" s="27"/>
      <x:c r="F98" s="36"/>
      <x:c r="G98" s="36"/>
      <x:c r="H98" s="36"/>
      <x:c r="I98" s="36"/>
      <x:c r="J98" s="36"/>
      <x:c r="K98" s="46"/>
      <x:c r="L98" s="36"/>
      <x:c r="M98" s="36"/>
      <x:c r="N98" s="36"/>
      <x:c r="O98" s="36"/>
      <x:c r="P98" s="36"/>
    </x:row>
    <x:row r="99">
      <x:c r="A99" s="27"/>
      <x:c r="B99" s="27"/>
      <x:c r="C99" s="40"/>
      <x:c r="D99" s="27"/>
      <x:c r="E99" s="27"/>
      <x:c r="F99" s="36"/>
      <x:c r="G99" s="36"/>
      <x:c r="H99" s="36"/>
      <x:c r="I99" s="36"/>
      <x:c r="J99" s="36"/>
      <x:c r="K99" s="46"/>
      <x:c r="L99" s="36"/>
      <x:c r="M99" s="36"/>
      <x:c r="N99" s="36"/>
      <x:c r="O99" s="36"/>
      <x:c r="P99" s="36"/>
    </x:row>
    <x:row r="100">
      <x:c r="A100" s="27"/>
      <x:c r="B100" s="27"/>
      <x:c r="C100" s="40"/>
      <x:c r="D100" s="27"/>
      <x:c r="E100" s="27"/>
      <x:c r="F100" s="36"/>
      <x:c r="G100" s="36"/>
      <x:c r="H100" s="36"/>
      <x:c r="I100" s="36"/>
      <x:c r="J100" s="36"/>
      <x:c r="K100" s="46"/>
      <x:c r="L100" s="36"/>
      <x:c r="M100" s="36"/>
      <x:c r="N100" s="36"/>
      <x:c r="O100" s="36"/>
      <x:c r="P100" s="36"/>
    </x:row>
  </x:sheetData>
  <x:mergeCells>
    <x:mergeCell ref="A1:P1"/>
    <x:mergeCell ref="A2:P2"/>
  </x:mergeCells>
  <x:conditionalFormatting sqref="L5:L100">
    <x:cfRule type="expression" dxfId="25" priority="1">
      <x:formula>L5="APPROVED"</x:formula>
    </x:cfRule>
    <x:cfRule type="expression" dxfId="26" priority="2">
      <x:formula>OR(L5="PENDING",L5="EXPIRED")</x:formula>
    </x:cfRule>
  </x:conditionalFormatting>
  <x:dataValidations count="1">
    <x:dataValidation type="list" sqref="L5:L100">
      <x:formula1>"PENDING,APPROVED,REJECTED,EXPIRED,WITHDRAWN"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f1ddc3dccc4c8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65" hidden="0" customWidth="1"/>
    <x:col min="4" max="4" width="30" hidden="0" customWidth="1"/>
    <x:col min="5" max="5" width="58" hidden="0" customWidth="1"/>
    <x:col min="6" max="6" width="32" hidden="0" customWidth="1"/>
    <x:col min="7" max="7" width="22" hidden="0" customWidth="1"/>
  </x:cols>
  <x:sheetData>
    <x:row r="1" ht="36" customHeight="1">
      <x:c r="A1" s="5" t="str">
        <x:v>13 — Crisis Roles and Delegation</x:v>
      </x:c>
      <x:c r="B1" s="5"/>
      <x:c r="C1" s="5"/>
      <x:c r="D1" s="5"/>
      <x:c r="E1" s="5"/>
      <x:c r="F1" s="5"/>
      <x:c r="G1" s="5"/>
    </x:row>
    <x:row r="2" ht="42" customHeight="1">
      <x:c r="A2" s="13" t="str">
        <x:v>Roles are functional, not necessarily separate people. Where the same person holds multiple roles, conflicts and single points must be explicitly managed.</x:v>
      </x:c>
      <x:c r="B2" s="13"/>
      <x:c r="C2" s="13"/>
      <x:c r="D2" s="13"/>
      <x:c r="E2" s="13"/>
      <x:c r="F2" s="13"/>
      <x:c r="G2" s="13"/>
    </x:row>
    <x:row r="4">
      <x:c r="A4" s="21" t="str">
        <x:v>Role ID</x:v>
      </x:c>
      <x:c r="B4" s="21" t="str">
        <x:v>Crisis Role</x:v>
      </x:c>
      <x:c r="C4" s="21" t="str">
        <x:v>Responsibilities</x:v>
      </x:c>
      <x:c r="D4" s="21" t="str">
        <x:v>Deputy</x:v>
      </x:c>
      <x:c r="E4" s="21" t="str">
        <x:v>Decision Authority</x:v>
      </x:c>
      <x:c r="F4" s="21" t="str">
        <x:v>Primary Contact Channel</x:v>
      </x:c>
      <x:c r="G4" s="21" t="str">
        <x:v>Activation</x:v>
      </x:c>
    </x:row>
    <x:row r="5">
      <x:c r="A5" s="27" t="str">
        <x:v>CR-01</x:v>
      </x:c>
      <x:c r="B5" s="36" t="str">
        <x:v>Project Owner / Crisis Director</x:v>
      </x:c>
      <x:c r="C5" s="36" t="str">
        <x:v>Declares crisis/disaster; approves risk acceptance, external message and return to normal.</x:v>
      </x:c>
      <x:c r="D5" s="36" t="str">
        <x:v>Production Lead</x:v>
      </x:c>
      <x:c r="E5" s="36" t="str">
        <x:v>Strategic decisions, credentials, budget and final signoff.</x:v>
      </x:c>
      <x:c r="F5" s="36" t="str">
        <x:v>Offline emergency contact record</x:v>
      </x:c>
      <x:c r="G5" s="36" t="str">
        <x:v>Primary</x:v>
      </x:c>
    </x:row>
    <x:row r="6">
      <x:c r="A6" s="27" t="str">
        <x:v>CR-02</x:v>
      </x:c>
      <x:c r="B6" s="36" t="str">
        <x:v>Incident Commander</x:v>
      </x:c>
      <x:c r="C6" s="36" t="str">
        <x:v>Coordinates timeline, actions, owners and cadence for one incident.</x:v>
      </x:c>
      <x:c r="D6" s="36" t="str">
        <x:v>Project Owner</x:v>
      </x:c>
      <x:c r="E6" s="36" t="str">
        <x:v>May pause builds/releases and allocate responders.</x:v>
      </x:c>
      <x:c r="F6" s="36" t="str">
        <x:v>Incident bridge / secure channel</x:v>
      </x:c>
      <x:c r="G6" s="36" t="str">
        <x:v>Per incident</x:v>
      </x:c>
    </x:row>
    <x:row r="7">
      <x:c r="A7" s="27" t="str">
        <x:v>CR-03</x:v>
      </x:c>
      <x:c r="B7" s="36" t="str">
        <x:v>Security Lead</x:v>
      </x:c>
      <x:c r="C7" s="36" t="str">
        <x:v>Containment, credential rotation, evidence and technical security.</x:v>
      </x:c>
      <x:c r="D7" s="36" t="str">
        <x:v>Engineering Lead</x:v>
      </x:c>
      <x:c r="E7" s="36" t="str">
        <x:v>May isolate accounts/devices and revoke access.</x:v>
      </x:c>
      <x:c r="F7" s="36" t="str">
        <x:v>Secure channel</x:v>
      </x:c>
      <x:c r="G7" s="36" t="str">
        <x:v>Security incidents</x:v>
      </x:c>
    </x:row>
    <x:row r="8">
      <x:c r="A8" s="27" t="str">
        <x:v>CR-04</x:v>
      </x:c>
      <x:c r="B8" s="36" t="str">
        <x:v>Engineering Recovery Lead</x:v>
      </x:c>
      <x:c r="C8" s="36" t="str">
        <x:v>Repository, Unity, builds, data and technical restoration.</x:v>
      </x:c>
      <x:c r="D8" s="36" t="str">
        <x:v>Build Lead</x:v>
      </x:c>
      <x:c r="E8" s="36" t="str">
        <x:v>May revert/restore technical baseline.</x:v>
      </x:c>
      <x:c r="F8" s="36" t="str">
        <x:v>Repository issue + secure channel</x:v>
      </x:c>
      <x:c r="G8" s="36" t="str">
        <x:v>Technical incidents</x:v>
      </x:c>
    </x:row>
    <x:row r="9">
      <x:c r="A9" s="27" t="str">
        <x:v>CR-05</x:v>
      </x:c>
      <x:c r="B9" s="36" t="str">
        <x:v>QA Lead</x:v>
      </x:c>
      <x:c r="C9" s="36" t="str">
        <x:v>Build quarantine, defect severity, test evidence and release recommendation.</x:v>
      </x:c>
      <x:c r="D9" s="36" t="str">
        <x:v>Production</x:v>
      </x:c>
      <x:c r="E9" s="36" t="str">
        <x:v>May block H6/RC on S0/S1 or unverifiable evidence.</x:v>
      </x:c>
      <x:c r="F9" s="36" t="str">
        <x:v>QA register</x:v>
      </x:c>
      <x:c r="G9" s="36" t="str">
        <x:v>Quality incidents</x:v>
      </x:c>
    </x:row>
    <x:row r="10">
      <x:c r="A10" s="27" t="str">
        <x:v>CR-06</x:v>
      </x:c>
      <x:c r="B10" s="36" t="str">
        <x:v>Data/Save Lead</x:v>
      </x:c>
      <x:c r="C10" s="36" t="str">
        <x:v>Protects player data, backups, migrations and recovery tools.</x:v>
      </x:c>
      <x:c r="D10" s="36" t="str">
        <x:v>Engineering Lead</x:v>
      </x:c>
      <x:c r="E10" s="36" t="str">
        <x:v>May stop save writes and quarantine files.</x:v>
      </x:c>
      <x:c r="F10" s="36" t="str">
        <x:v>Secure technical channel</x:v>
      </x:c>
      <x:c r="G10" s="36" t="str">
        <x:v>Data incidents</x:v>
      </x:c>
    </x:row>
    <x:row r="11">
      <x:c r="A11" s="27" t="str">
        <x:v>CR-07</x:v>
      </x:c>
      <x:c r="B11" s="36" t="str">
        <x:v>Publishing Lead</x:v>
      </x:c>
      <x:c r="C11" s="36" t="str">
        <x:v>Steamworks, depots, branches, store state and rollback.</x:v>
      </x:c>
      <x:c r="D11" s="36" t="str">
        <x:v>Project Owner</x:v>
      </x:c>
      <x:c r="E11" s="36" t="str">
        <x:v>May pause rollout and correct store/build.</x:v>
      </x:c>
      <x:c r="F11" s="36" t="str">
        <x:v>Steamworks + release channel</x:v>
      </x:c>
      <x:c r="G11" s="36" t="str">
        <x:v>Release incidents</x:v>
      </x:c>
    </x:row>
    <x:row r="12">
      <x:c r="A12" s="27" t="str">
        <x:v>CR-08</x:v>
      </x:c>
      <x:c r="B12" s="36" t="str">
        <x:v>Communications Lead</x:v>
      </x:c>
      <x:c r="C12" s="36" t="str">
        <x:v>Single source of public/internal status and message approvals.</x:v>
      </x:c>
      <x:c r="D12" s="36" t="str">
        <x:v>Project Owner</x:v>
      </x:c>
      <x:c r="E12" s="36" t="str">
        <x:v>May pause scheduled content and publish approved status.</x:v>
      </x:c>
      <x:c r="F12" s="36" t="str">
        <x:v>Official channels</x:v>
      </x:c>
      <x:c r="G12" s="36" t="str">
        <x:v>Public incidents</x:v>
      </x:c>
    </x:row>
    <x:row r="13">
      <x:c r="A13" s="27" t="str">
        <x:v>CR-09</x:v>
      </x:c>
      <x:c r="B13" s="36" t="str">
        <x:v>Privacy/Legal Lead</x:v>
      </x:c>
      <x:c r="C13" s="36" t="str">
        <x:v>Assesses notification, rights, claims, licenses and legal constraints.</x:v>
      </x:c>
      <x:c r="D13" s="36" t="str">
        <x:v>Project Owner</x:v>
      </x:c>
      <x:c r="E13" s="36" t="str">
        <x:v>May block processing/distribution of affected material.</x:v>
      </x:c>
      <x:c r="F13" s="36" t="str">
        <x:v>Restricted legal record</x:v>
      </x:c>
      <x:c r="G13" s="36" t="str">
        <x:v>Privacy/legal incidents</x:v>
      </x:c>
    </x:row>
    <x:row r="14">
      <x:c r="A14" s="27" t="str">
        <x:v>CR-10</x:v>
      </x:c>
      <x:c r="B14" s="36" t="str">
        <x:v>Content Recovery Lead</x:v>
      </x:c>
      <x:c r="C14" s="36" t="str">
        <x:v>Restores art/audio/content sources and validates integrations.</x:v>
      </x:c>
      <x:c r="D14" s="36" t="str">
        <x:v>Production</x:v>
      </x:c>
      <x:c r="E14" s="36" t="str">
        <x:v>May quarantine/revert assets.</x:v>
      </x:c>
      <x:c r="F14" s="36" t="str">
        <x:v>Content tracker</x:v>
      </x:c>
      <x:c r="G14" s="36" t="str">
        <x:v>Content incidents</x:v>
      </x:c>
    </x:row>
    <x:row r="15">
      <x:c r="A15" s="27" t="str">
        <x:v>CR-11</x:v>
      </x:c>
      <x:c r="B15" s="36" t="str">
        <x:v>Continuity Coordinator</x:v>
      </x:c>
      <x:c r="C15" s="36" t="str">
        <x:v>Maintains BIA, backups, restore tests and dependency alternatives.</x:v>
      </x:c>
      <x:c r="D15" s="36" t="str">
        <x:v>Project Owner</x:v>
      </x:c>
      <x:c r="E15" s="36" t="str">
        <x:v>Schedules drills and escalates expired evidence.</x:v>
      </x:c>
      <x:c r="F15" s="36" t="str">
        <x:v>Risk/continuity workbook</x:v>
      </x:c>
      <x:c r="G15" s="36" t="str">
        <x:v>Ongoing</x:v>
      </x:c>
    </x:row>
    <x:row r="16">
      <x:c r="A16" s="27" t="str">
        <x:v>CR-12</x:v>
      </x:c>
      <x:c r="B16" s="36" t="str">
        <x:v>Scribe / Evidence Custodian</x:v>
      </x:c>
      <x:c r="C16" s="36" t="str">
        <x:v>Maintains timestamped timeline, decisions, hashes and custody.</x:v>
      </x:c>
      <x:c r="D16" s="36" t="str">
        <x:v>QA/Documentation</x:v>
      </x:c>
      <x:c r="E16" s="36" t="str">
        <x:v>Controls incident record and evidence package.</x:v>
      </x:c>
      <x:c r="F16" s="36" t="str">
        <x:v>Restricted incident folder</x:v>
      </x:c>
      <x:c r="G16" s="36" t="str">
        <x:v>Per incident</x:v>
      </x:c>
    </x:row>
    <x:row r="17">
      <x:c r="A17" s="27" t="str">
        <x:v>CR-13</x:v>
      </x:c>
      <x:c r="B17" s="36" t="str">
        <x:v>Designated Alternate</x:v>
      </x:c>
      <x:c r="C17" s="36" t="str">
        <x:v>Provides minimum operational cover if owner unavailable.</x:v>
      </x:c>
      <x:c r="D17" s="36" t="str">
        <x:v>Project Owner</x:v>
      </x:c>
      <x:c r="E17" s="36" t="str">
        <x:v>Authority limited by written activation decision.</x:v>
      </x:c>
      <x:c r="F17" s="36" t="str">
        <x:v>Handoff package</x:v>
      </x:c>
      <x:c r="G17" s="36" t="str">
        <x:v>People continuity</x:v>
      </x:c>
    </x:row>
    <x:row r="18">
      <x:c r="A18" s="27" t="str">
        <x:v>CR-14</x:v>
      </x:c>
      <x:c r="B18" s="36" t="str">
        <x:v>External Specialist / Vendor</x:v>
      </x:c>
      <x:c r="C18" s="36" t="str">
        <x:v>Provides legal, security, platform or recovery expertise.</x:v>
      </x:c>
      <x:c r="D18" s="36" t="str">
        <x:v>Incident Commander</x:v>
      </x:c>
      <x:c r="E18" s="36" t="str">
        <x:v>No implicit authority; least-privilege access only.</x:v>
      </x:c>
      <x:c r="F18" s="36" t="str">
        <x:v>Contracted channel</x:v>
      </x:c>
      <x:c r="G18" s="36" t="str">
        <x:v>As needed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a636472695341b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0" hidden="0" customWidth="1"/>
    <x:col min="3" max="3" width="18" hidden="0" customWidth="1"/>
    <x:col min="4" max="4" width="14" hidden="0" customWidth="1"/>
    <x:col min="5" max="5" width="68" hidden="0" customWidth="1"/>
    <x:col min="6" max="6" width="28" hidden="0" customWidth="1"/>
    <x:col min="7" max="7" width="38" hidden="0" customWidth="1"/>
    <x:col min="8" max="8" width="70" hidden="0" customWidth="1"/>
    <x:col min="9" max="9" width="65" hidden="0" customWidth="1"/>
  </x:cols>
  <x:sheetData>
    <x:row r="1" ht="36" customHeight="1">
      <x:c r="A1" s="5" t="str">
        <x:v>14 — Current Documentation Traceability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13" t="str">
        <x:v>Current candidate documentation 00–34 mapped to this plan. Regenerated files are distinguished from RC1; 16, 32 and 34 remain explicitly pending later passes.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ID</x:v>
      </x:c>
      <x:c r="B4" s="21" t="str">
        <x:v>Document / File</x:v>
      </x:c>
      <x:c r="C4" s="21" t="str">
        <x:v>Physical State</x:v>
      </x:c>
      <x:c r="D4" s="21" t="str">
        <x:v>Bytes</x:v>
      </x:c>
      <x:c r="E4" s="21" t="str">
        <x:v>SHA-256</x:v>
      </x:c>
      <x:c r="F4" s="21" t="str">
        <x:v>Hash State</x:v>
      </x:c>
      <x:c r="G4" s="21" t="str">
        <x:v>Relation to Document 33</x:v>
      </x:c>
      <x:c r="H4" s="21" t="str">
        <x:v>Risk / Continuity Contribution</x:v>
      </x:c>
      <x:c r="I4" s="21" t="str">
        <x:v>Update Trigger</x:v>
      </x:c>
    </x:row>
    <x:row r="5">
      <x:c r="A5" s="27" t="str">
        <x:v>00</x:v>
      </x:c>
      <x:c r="B5" s="36" t="str">
        <x:v>00_Enfoque_y_Alcance.md</x:v>
      </x:c>
      <x:c r="C5" s="36" t="str">
        <x:v>PRESENT</x:v>
      </x:c>
      <x:c r="D5" s="54" t="n">
        <x:v>127401</x:v>
      </x:c>
      <x:c r="E5" s="36" t="str">
        <x:v>63dd6f0f1b9c2c80be2aec55718d18d9d031ce4acb14f677769d6e69ceaad21f</x:v>
      </x:c>
      <x:c r="F5" s="36" t="str">
        <x:v>VERIFIED CURRENT INPUT</x:v>
      </x:c>
      <x:c r="G5" s="36" t="str">
        <x:v>PRIMARY INPUT</x:v>
      </x:c>
      <x:c r="H5" s="36" t="str">
        <x:v>Contributes requirements, controls, evidence, dependencies or closure context to risk and continuity.</x:v>
      </x:c>
      <x:c r="I5" s="36" t="str">
        <x:v>Review on any content, hash, owner, RTO/RPO, gate, package or evidence change.</x:v>
      </x:c>
    </x:row>
    <x:row r="6">
      <x:c r="A6" s="27" t="str">
        <x:v>01</x:v>
      </x:c>
      <x:c r="B6" s="36" t="str">
        <x:v>01_Game_Design_Document.md</x:v>
      </x:c>
      <x:c r="C6" s="36" t="str">
        <x:v>PRESENT</x:v>
      </x:c>
      <x:c r="D6" s="54" t="n">
        <x:v>132822</x:v>
      </x:c>
      <x:c r="E6" s="36" t="str">
        <x:v>a9cd9e3203abc5269c25c59dc7f626b0771df4ec2d65e781109ff146bceb2177</x:v>
      </x:c>
      <x:c r="F6" s="36" t="str">
        <x:v>VERIFIED CURRENT INPUT</x:v>
      </x:c>
      <x:c r="G6" s="36" t="str">
        <x:v>SUPPORTING INPUT</x:v>
      </x:c>
      <x:c r="H6" s="36" t="str">
        <x:v>Contributes requirements, controls, evidence, dependencies or closure context to risk and continuity.</x:v>
      </x:c>
      <x:c r="I6" s="36" t="str">
        <x:v>Review on any content, hash, owner, RTO/RPO, gate, package or evidence change.</x:v>
      </x:c>
    </x:row>
    <x:row r="7">
      <x:c r="A7" s="27" t="str">
        <x:v>02</x:v>
      </x:c>
      <x:c r="B7" s="36" t="str">
        <x:v>02_Vertical_Slice_Specification.md</x:v>
      </x:c>
      <x:c r="C7" s="36" t="str">
        <x:v>PRESENT</x:v>
      </x:c>
      <x:c r="D7" s="54" t="n">
        <x:v>64531</x:v>
      </x:c>
      <x:c r="E7" s="36" t="str">
        <x:v>75893f130116e88a08b8da5590dd81876a234581081eafaa8d08374c1a60513f</x:v>
      </x:c>
      <x:c r="F7" s="36" t="str">
        <x:v>VERIFIED CURRENT INPUT</x:v>
      </x:c>
      <x:c r="G7" s="36" t="str">
        <x:v>PRIMARY INPUT</x:v>
      </x:c>
      <x:c r="H7" s="36" t="str">
        <x:v>Contributes requirements, controls, evidence, dependencies or closure context to risk and continuity.</x:v>
      </x:c>
      <x:c r="I7" s="36" t="str">
        <x:v>Review on any content, hash, owner, RTO/RPO, gate, package or evidence change.</x:v>
      </x:c>
    </x:row>
    <x:row r="8">
      <x:c r="A8" s="27" t="str">
        <x:v>03</x:v>
      </x:c>
      <x:c r="B8" s="36" t="str">
        <x:v>03_Technical_Design_Document.md</x:v>
      </x:c>
      <x:c r="C8" s="36" t="str">
        <x:v>PRESENT</x:v>
      </x:c>
      <x:c r="D8" s="54" t="n">
        <x:v>101994</x:v>
      </x:c>
      <x:c r="E8" s="36" t="str">
        <x:v>66264703c5ff4959d03093690e9845a98ec0e5025e685b9a639ac8cbb616cd12</x:v>
      </x:c>
      <x:c r="F8" s="36" t="str">
        <x:v>VERIFIED CURRENT INPUT</x:v>
      </x:c>
      <x:c r="G8" s="36" t="str">
        <x:v>PRIMARY INPUT</x:v>
      </x:c>
      <x:c r="H8" s="36" t="str">
        <x:v>Contributes requirements, controls, evidence, dependencies or closure context to risk and continuity.</x:v>
      </x:c>
      <x:c r="I8" s="36" t="str">
        <x:v>Review on any content, hash, owner, RTO/RPO, gate, package or evidence change.</x:v>
      </x:c>
    </x:row>
    <x:row r="9">
      <x:c r="A9" s="27" t="str">
        <x:v>04</x:v>
      </x:c>
      <x:c r="B9" s="36" t="str">
        <x:v>04_Modelo_de_Datos.md</x:v>
      </x:c>
      <x:c r="C9" s="36" t="str">
        <x:v>PRESENT</x:v>
      </x:c>
      <x:c r="D9" s="54" t="n">
        <x:v>102948</x:v>
      </x:c>
      <x:c r="E9" s="36" t="str">
        <x:v>d851a72b55742c2c704cc7c002929bc5894e7142511c6af843440bb193fb19d4</x:v>
      </x:c>
      <x:c r="F9" s="36" t="str">
        <x:v>VERIFIED CURRENT INPUT</x:v>
      </x:c>
      <x:c r="G9" s="36" t="str">
        <x:v>PRIMARY INPUT</x:v>
      </x:c>
      <x:c r="H9" s="36" t="str">
        <x:v>Contributes requirements, controls, evidence, dependencies or closure context to risk and continuity.</x:v>
      </x:c>
      <x:c r="I9" s="36" t="str">
        <x:v>Review on any content, hash, owner, RTO/RPO, gate, package or evidence change.</x:v>
      </x:c>
    </x:row>
    <x:row r="10">
      <x:c r="A10" s="27" t="str">
        <x:v>05</x:v>
      </x:c>
      <x:c r="B10" s="36" t="str">
        <x:v>05_UX_Flow.md</x:v>
      </x:c>
      <x:c r="C10" s="36" t="str">
        <x:v>PRESENT</x:v>
      </x:c>
      <x:c r="D10" s="54" t="n">
        <x:v>56805</x:v>
      </x:c>
      <x:c r="E10" s="36" t="str">
        <x:v>e08da5ff67fb073a8b950babe325ae58ddb2e121513dc2f553acd4f2c14b867e</x:v>
      </x:c>
      <x:c r="F10" s="36" t="str">
        <x:v>VERIFIED CURRENT INPUT</x:v>
      </x:c>
      <x:c r="G10" s="36" t="str">
        <x:v>SUPPORTING INPUT</x:v>
      </x:c>
      <x:c r="H10" s="36" t="str">
        <x:v>Contributes requirements, controls, evidence, dependencies or closure context to risk and continuity.</x:v>
      </x:c>
      <x:c r="I10" s="36" t="str">
        <x:v>Review on any content, hash, owner, RTO/RPO, gate, package or evidence change.</x:v>
      </x:c>
    </x:row>
    <x:row r="11">
      <x:c r="A11" s="27" t="str">
        <x:v>06</x:v>
      </x:c>
      <x:c r="B11" s="36" t="str">
        <x:v>06_Production_Roadmap_y_Sprint_Plan.md</x:v>
      </x:c>
      <x:c r="C11" s="36" t="str">
        <x:v>PRESENT</x:v>
      </x:c>
      <x:c r="D11" s="54" t="n">
        <x:v>61564</x:v>
      </x:c>
      <x:c r="E11" s="36" t="str">
        <x:v>d00b156c0ad1c66069278119c55f76c738a577a3e2835f770208d1a5f2faadff</x:v>
      </x:c>
      <x:c r="F11" s="36" t="str">
        <x:v>VERIFIED CURRENT INPUT</x:v>
      </x:c>
      <x:c r="G11" s="36" t="str">
        <x:v>PRIMARY INPUT</x:v>
      </x:c>
      <x:c r="H11" s="36" t="str">
        <x:v>Contributes requirements, controls, evidence, dependencies or closure context to risk and continuity.</x:v>
      </x:c>
      <x:c r="I11" s="36" t="str">
        <x:v>Review on any content, hash, owner, RTO/RPO, gate, package or evidence change.</x:v>
      </x:c>
    </x:row>
    <x:row r="12">
      <x:c r="A12" s="27" t="str">
        <x:v>07</x:v>
      </x:c>
      <x:c r="B12" s="36" t="str">
        <x:v>07_QA_Testing_Plan.md</x:v>
      </x:c>
      <x:c r="C12" s="36" t="str">
        <x:v>PRESENT</x:v>
      </x:c>
      <x:c r="D12" s="54" t="n">
        <x:v>79435</x:v>
      </x:c>
      <x:c r="E12" s="36" t="str">
        <x:v>bc9c05a3737e345546ef16e5390e034295ef35ad66c31647852aec81b4e7affe</x:v>
      </x:c>
      <x:c r="F12" s="36" t="str">
        <x:v>VERIFIED CURRENT INPUT</x:v>
      </x:c>
      <x:c r="G12" s="36" t="str">
        <x:v>PRIMARY INPUT</x:v>
      </x:c>
      <x:c r="H12" s="36" t="str">
        <x:v>Contributes requirements, controls, evidence, dependencies or closure context to risk and continuity.</x:v>
      </x:c>
      <x:c r="I12" s="36" t="str">
        <x:v>Review on any content, hash, owner, RTO/RPO, gate, package or evidence change.</x:v>
      </x:c>
    </x:row>
    <x:row r="13">
      <x:c r="A13" s="27" t="str">
        <x:v>08</x:v>
      </x:c>
      <x:c r="B13" s="36" t="str">
        <x:v>08_QA_Testing_Matrix.xlsx</x:v>
      </x:c>
      <x:c r="C13" s="36" t="str">
        <x:v>PRESENT</x:v>
      </x:c>
      <x:c r="D13" s="54" t="n">
        <x:v>185032</x:v>
      </x:c>
      <x:c r="E13" s="36" t="str">
        <x:v>233e57f01d2468fe13c136c8fcd3ee75b39bd3de6530349626ea98d4ff254214</x:v>
      </x:c>
      <x:c r="F13" s="36" t="str">
        <x:v>VERIFIED CURRENT INPUT</x:v>
      </x:c>
      <x:c r="G13" s="36" t="str">
        <x:v>PRIMARY INPUT</x:v>
      </x:c>
      <x:c r="H13" s="36" t="str">
        <x:v>Contributes requirements, controls, evidence, dependencies or closure context to risk and continuity.</x:v>
      </x:c>
      <x:c r="I13" s="36" t="str">
        <x:v>Review on any content, hash, owner, RTO/RPO, gate, package or evidence change.</x:v>
      </x:c>
    </x:row>
    <x:row r="14">
      <x:c r="A14" s="27" t="str">
        <x:v>09</x:v>
      </x:c>
      <x:c r="B14" s="36" t="str">
        <x:v>09_CSharp_Coding_Standards.md</x:v>
      </x:c>
      <x:c r="C14" s="36" t="str">
        <x:v>PRESENT</x:v>
      </x:c>
      <x:c r="D14" s="54" t="n">
        <x:v>95321</x:v>
      </x:c>
      <x:c r="E14" s="36" t="str">
        <x:v>3b734d6cd49f31c09c10bb4941625e143f6c634e3fb50c157f0720e73b1c2a68</x:v>
      </x:c>
      <x:c r="F14" s="36" t="str">
        <x:v>VERIFIED CURRENT INPUT</x:v>
      </x:c>
      <x:c r="G14" s="36" t="str">
        <x:v>SUPPORTING INPUT</x:v>
      </x:c>
      <x:c r="H14" s="36" t="str">
        <x:v>Contributes requirements, controls, evidence, dependencies or closure context to risk and continuity.</x:v>
      </x:c>
      <x:c r="I14" s="36" t="str">
        <x:v>Review on any content, hash, owner, RTO/RPO, gate, package or evidence change.</x:v>
      </x:c>
    </x:row>
    <x:row r="15">
      <x:c r="A15" s="27" t="str">
        <x:v>10</x:v>
      </x:c>
      <x:c r="B15" s="36" t="str">
        <x:v>10_Unity_Project_Setup_Guide.md</x:v>
      </x:c>
      <x:c r="C15" s="36" t="str">
        <x:v>PRESENT</x:v>
      </x:c>
      <x:c r="D15" s="54" t="n">
        <x:v>78408</x:v>
      </x:c>
      <x:c r="E15" s="36" t="str">
        <x:v>31430bb0544edd9577323aa0009d6ca3df8b9fbcf6c8a150fc33df69b9f963a4</x:v>
      </x:c>
      <x:c r="F15" s="36" t="str">
        <x:v>VERIFIED CURRENT INPUT</x:v>
      </x:c>
      <x:c r="G15" s="36" t="str">
        <x:v>PRIMARY INPUT</x:v>
      </x:c>
      <x:c r="H15" s="36" t="str">
        <x:v>Contributes requirements, controls, evidence, dependencies or closure context to risk and continuity.</x:v>
      </x:c>
      <x:c r="I15" s="36" t="str">
        <x:v>Review on any content, hash, owner, RTO/RPO, gate, package or evidence change.</x:v>
      </x:c>
    </x:row>
    <x:row r="16">
      <x:c r="A16" s="27" t="str">
        <x:v>11</x:v>
      </x:c>
      <x:c r="B16" s="36" t="str">
        <x:v>11_Build_y_Versioning_Guide.md</x:v>
      </x:c>
      <x:c r="C16" s="36" t="str">
        <x:v>PRESENT</x:v>
      </x:c>
      <x:c r="D16" s="54" t="n">
        <x:v>85324</x:v>
      </x:c>
      <x:c r="E16" s="36" t="str">
        <x:v>38a16a0f97505c0b405509dd3c7e3d1b50e77b89fbe3f4cb1931d3e04f602215</x:v>
      </x:c>
      <x:c r="F16" s="36" t="str">
        <x:v>VERIFIED CURRENT INPUT</x:v>
      </x:c>
      <x:c r="G16" s="36" t="str">
        <x:v>PRIMARY INPUT</x:v>
      </x:c>
      <x:c r="H16" s="36" t="str">
        <x:v>Contributes requirements, controls, evidence, dependencies or closure context to risk and continuity.</x:v>
      </x:c>
      <x:c r="I16" s="36" t="str">
        <x:v>Review on any content, hash, owner, RTO/RPO, gate, package or evidence change.</x:v>
      </x:c>
    </x:row>
    <x:row r="17">
      <x:c r="A17" s="27" t="str">
        <x:v>12</x:v>
      </x:c>
      <x:c r="B17" s="36" t="str">
        <x:v>12_Excel_Maestro_de_Produccion.xlsx</x:v>
      </x:c>
      <x:c r="C17" s="36" t="str">
        <x:v>REGENERATED AFTER RC1</x:v>
      </x:c>
      <x:c r="D17" s="54" t="n">
        <x:v>484932</x:v>
      </x:c>
      <x:c r="E17" s="36" t="str">
        <x:v>3d70e97326868389dac977934e6000285c22b3c33c0e62be31313880726b4d7d</x:v>
      </x:c>
      <x:c r="F17" s="36" t="str">
        <x:v>VERIFIED CURRENT INPUT</x:v>
      </x:c>
      <x:c r="G17" s="36" t="str">
        <x:v>PRIMARY INPUT</x:v>
      </x:c>
      <x:c r="H17" s="36" t="str">
        <x:v>Contributes requirements, controls, evidence, dependencies or closure context to risk and continuity.</x:v>
      </x:c>
      <x:c r="I17" s="36" t="str">
        <x:v>Review on any content, hash, owner, RTO/RPO, gate, package or evidence change.</x:v>
      </x:c>
    </x:row>
    <x:row r="18">
      <x:c r="A18" s="27" t="str">
        <x:v>13</x:v>
      </x:c>
      <x:c r="B18" s="36" t="str">
        <x:v>13_Trazabilidad_y_Control_de_Cambios.xlsx</x:v>
      </x:c>
      <x:c r="C18" s="36" t="str">
        <x:v>REGENERATED AFTER RC1</x:v>
      </x:c>
      <x:c r="D18" s="54" t="n">
        <x:v>577554</x:v>
      </x:c>
      <x:c r="E18" s="36" t="str">
        <x:v>97cf106d7707de9e6dcadfa2ec9374676b0ea9fe0945ac87eb89db788df8da43</x:v>
      </x:c>
      <x:c r="F18" s="36" t="str">
        <x:v>VERIFIED CURRENT INPUT</x:v>
      </x:c>
      <x:c r="G18" s="36" t="str">
        <x:v>PRIMARY INPUT</x:v>
      </x:c>
      <x:c r="H18" s="36" t="str">
        <x:v>Contributes requirements, controls, evidence, dependencies or closure context to risk and continuity.</x:v>
      </x:c>
      <x:c r="I18" s="36" t="str">
        <x:v>Review on any content, hash, owner, RTO/RPO, gate, package or evidence change.</x:v>
      </x:c>
    </x:row>
    <x:row r="19">
      <x:c r="A19" s="27" t="str">
        <x:v>14</x:v>
      </x:c>
      <x:c r="B19" s="36" t="str">
        <x:v>14_Project_Binder_Indice_Maestro.md</x:v>
      </x:c>
      <x:c r="C19" s="36" t="str">
        <x:v>REGENERATED AFTER RC1</x:v>
      </x:c>
      <x:c r="D19" s="54" t="n">
        <x:v>95577</x:v>
      </x:c>
      <x:c r="E19" s="36" t="str">
        <x:v>d0e8c2b0bf78a414d00c290d8ab8e4b2742e80de7bf509764318c6b7a9e4f144</x:v>
      </x:c>
      <x:c r="F19" s="36" t="str">
        <x:v>VERIFIED CURRENT INPUT</x:v>
      </x:c>
      <x:c r="G19" s="36" t="str">
        <x:v>SUPPORTING INPUT</x:v>
      </x:c>
      <x:c r="H19" s="36" t="str">
        <x:v>Contributes requirements, controls, evidence, dependencies or closure context to risk and continuity.</x:v>
      </x:c>
      <x:c r="I19" s="36" t="str">
        <x:v>Review on any content, hash, owner, RTO/RPO, gate, package or evidence change.</x:v>
      </x:c>
    </x:row>
    <x:row r="20">
      <x:c r="A20" s="27" t="str">
        <x:v>15</x:v>
      </x:c>
      <x:c r="B20" s="36" t="str">
        <x:v>15_Guia_Maestra.md</x:v>
      </x:c>
      <x:c r="C20" s="36" t="str">
        <x:v>REGENERATED AFTER RC1</x:v>
      </x:c>
      <x:c r="D20" s="54" t="n">
        <x:v>149595</x:v>
      </x:c>
      <x:c r="E20" s="36" t="str">
        <x:v>70aa63feb69785d3b2e8b044c73b9c5f075829fd198e4de5504196d2262cae71</x:v>
      </x:c>
      <x:c r="F20" s="36" t="str">
        <x:v>VERIFIED CURRENT INPUT</x:v>
      </x:c>
      <x:c r="G20" s="36" t="str">
        <x:v>PRIMARY INPUT</x:v>
      </x:c>
      <x:c r="H20" s="36" t="str">
        <x:v>Contributes requirements, controls, evidence, dependencies or closure context to risk and continuity.</x:v>
      </x:c>
      <x:c r="I20" s="36" t="str">
        <x:v>Review on any content, hash, owner, RTO/RPO, gate, package or evidence change.</x:v>
      </x:c>
    </x:row>
    <x:row r="21">
      <x:c r="A21" s="27" t="str">
        <x:v>16</x:v>
      </x:c>
      <x:c r="B21" s="36" t="str">
        <x:v>16_Auditoria_Global_de_Coherencia.md</x:v>
      </x:c>
      <x:c r="C21" s="36" t="str">
        <x:v>PRESENT / AUDIT REGEN PENDING</x:v>
      </x:c>
      <x:c r="D21" s="54" t="n">
        <x:v>87439</x:v>
      </x:c>
      <x:c r="E21" s="36" t="str">
        <x:v>4a62376b8aee623be40957ae0511d2dcab2919947f3abb2cef3502b9bb60863e</x:v>
      </x:c>
      <x:c r="F21" s="36" t="str">
        <x:v>RC1 HASH; WILL BECOME STALE</x:v>
      </x:c>
      <x:c r="G21" s="36" t="str">
        <x:v>PRIMARY INPUT</x:v>
      </x:c>
      <x:c r="H21" s="36" t="str">
        <x:v>RC1 audit; candidate full 00–34 audit must be regenerated after directed updates.</x:v>
      </x:c>
      <x:c r="I21" s="36" t="str">
        <x:v>Review on any content, hash, owner, RTO/RPO, gate, package or evidence change.</x:v>
      </x:c>
    </x:row>
    <x:row r="22">
      <x:c r="A22" s="27" t="str">
        <x:v>17</x:v>
      </x:c>
      <x:c r="B22" s="36" t="str">
        <x:v>17_Art_Bible.md</x:v>
      </x:c>
      <x:c r="C22" s="36" t="str">
        <x:v>PRESENT</x:v>
      </x:c>
      <x:c r="D22" s="54" t="n">
        <x:v>133913</x:v>
      </x:c>
      <x:c r="E22" s="36" t="str">
        <x:v>095c6cc42223a972c7faa68435595fc7c22f839fabc62b2038371a0ef6c14239</x:v>
      </x:c>
      <x:c r="F22" s="36" t="str">
        <x:v>VERIFIED CURRENT INPUT</x:v>
      </x:c>
      <x:c r="G22" s="36" t="str">
        <x:v>SUPPORTING INPUT</x:v>
      </x:c>
      <x:c r="H22" s="36" t="str">
        <x:v>Contributes requirements, controls, evidence, dependencies or closure context to risk and continuity.</x:v>
      </x:c>
      <x:c r="I22" s="36" t="str">
        <x:v>Review on any content, hash, owner, RTO/RPO, gate, package or evidence change.</x:v>
      </x:c>
    </x:row>
    <x:row r="23">
      <x:c r="A23" s="27" t="str">
        <x:v>18</x:v>
      </x:c>
      <x:c r="B23" s="36" t="str">
        <x:v>18_Audio_Bible.md</x:v>
      </x:c>
      <x:c r="C23" s="36" t="str">
        <x:v>PRESENT</x:v>
      </x:c>
      <x:c r="D23" s="54" t="n">
        <x:v>144525</x:v>
      </x:c>
      <x:c r="E23" s="36" t="str">
        <x:v>c2eabe93a7c26f70e1d4d77fb0ddcaa97e2cdd1e70247e637b9db5bd2f07ce92</x:v>
      </x:c>
      <x:c r="F23" s="36" t="str">
        <x:v>VERIFIED CURRENT INPUT</x:v>
      </x:c>
      <x:c r="G23" s="36" t="str">
        <x:v>SUPPORTING INPUT</x:v>
      </x:c>
      <x:c r="H23" s="36" t="str">
        <x:v>Contributes requirements, controls, evidence, dependencies or closure context to risk and continuity.</x:v>
      </x:c>
      <x:c r="I23" s="36" t="str">
        <x:v>Review on any content, hash, owner, RTO/RPO, gate, package or evidence change.</x:v>
      </x:c>
    </x:row>
    <x:row r="24">
      <x:c r="A24" s="27" t="str">
        <x:v>19</x:v>
      </x:c>
      <x:c r="B24" s="36" t="str">
        <x:v>19_UI_Style_Guide.md</x:v>
      </x:c>
      <x:c r="C24" s="36" t="str">
        <x:v>PRESENT</x:v>
      </x:c>
      <x:c r="D24" s="54" t="n">
        <x:v>149800</x:v>
      </x:c>
      <x:c r="E24" s="36" t="str">
        <x:v>b34ca4db1eba7a536466b6a9a105d8d92396ade2108aa7dd99fa7d5d4eaebc1a</x:v>
      </x:c>
      <x:c r="F24" s="36" t="str">
        <x:v>VERIFIED CURRENT INPUT</x:v>
      </x:c>
      <x:c r="G24" s="36" t="str">
        <x:v>SUPPORTING INPUT</x:v>
      </x:c>
      <x:c r="H24" s="36" t="str">
        <x:v>Contributes requirements, controls, evidence, dependencies or closure context to risk and continuity.</x:v>
      </x:c>
      <x:c r="I24" s="36" t="str">
        <x:v>Review on any content, hash, owner, RTO/RPO, gate, package or evidence change.</x:v>
      </x:c>
    </x:row>
    <x:row r="25">
      <x:c r="A25" s="27" t="str">
        <x:v>20</x:v>
      </x:c>
      <x:c r="B25" s="36" t="str">
        <x:v>20_Economy_and_Balance_Specification.md</x:v>
      </x:c>
      <x:c r="C25" s="36" t="str">
        <x:v>PRESENT</x:v>
      </x:c>
      <x:c r="D25" s="54" t="n">
        <x:v>154547</x:v>
      </x:c>
      <x:c r="E25" s="36" t="str">
        <x:v>908c70772ed35eecdb05c3036c6901523a4caf2c3e708ca8f049c2a160ef2aac</x:v>
      </x:c>
      <x:c r="F25" s="36" t="str">
        <x:v>VERIFIED CURRENT INPUT</x:v>
      </x:c>
      <x:c r="G25" s="36" t="str">
        <x:v>SUPPORTING INPUT</x:v>
      </x:c>
      <x:c r="H25" s="36" t="str">
        <x:v>Contributes requirements, controls, evidence, dependencies or closure context to risk and continuity.</x:v>
      </x:c>
      <x:c r="I25" s="36" t="str">
        <x:v>Review on any content, hash, owner, RTO/RPO, gate, package or evidence change.</x:v>
      </x:c>
    </x:row>
    <x:row r="26">
      <x:c r="A26" s="27" t="str">
        <x:v>21</x:v>
      </x:c>
      <x:c r="B26" s="36" t="str">
        <x:v>21_Initial_Content_Catalog.xlsx</x:v>
      </x:c>
      <x:c r="C26" s="36" t="str">
        <x:v>REGENERATED AFTER RC1</x:v>
      </x:c>
      <x:c r="D26" s="54" t="n">
        <x:v>186599</x:v>
      </x:c>
      <x:c r="E26" s="36" t="str">
        <x:v>2f98e2b7070e5a1f70d4feee03a7d154a2dcdeff8078b040c442e2393fc676c8</x:v>
      </x:c>
      <x:c r="F26" s="36" t="str">
        <x:v>VERIFIED CURRENT INPUT</x:v>
      </x:c>
      <x:c r="G26" s="36" t="str">
        <x:v>SUPPORTING INPUT</x:v>
      </x:c>
      <x:c r="H26" s="36" t="str">
        <x:v>Contributes requirements, controls, evidence, dependencies or closure context to risk and continuity.</x:v>
      </x:c>
      <x:c r="I26" s="36" t="str">
        <x:v>Review on any content, hash, owner, RTO/RPO, gate, package or evidence change.</x:v>
      </x:c>
    </x:row>
    <x:row r="27">
      <x:c r="A27" s="27" t="str">
        <x:v>22</x:v>
      </x:c>
      <x:c r="B27" s="36" t="str">
        <x:v>22_Localization_Plan.md</x:v>
      </x:c>
      <x:c r="C27" s="36" t="str">
        <x:v>PRESENT</x:v>
      </x:c>
      <x:c r="D27" s="54" t="n">
        <x:v>157323</x:v>
      </x:c>
      <x:c r="E27" s="36" t="str">
        <x:v>184a53b2813bc1327a6913e6e88ea4c81142da1ee4ddeff88f75467c784f1ff0</x:v>
      </x:c>
      <x:c r="F27" s="36" t="str">
        <x:v>VERIFIED CURRENT INPUT</x:v>
      </x:c>
      <x:c r="G27" s="36" t="str">
        <x:v>SUPPORTING INPUT</x:v>
      </x:c>
      <x:c r="H27" s="36" t="str">
        <x:v>Contributes requirements, controls, evidence, dependencies or closure context to risk and continuity.</x:v>
      </x:c>
      <x:c r="I27" s="36" t="str">
        <x:v>Review on any content, hash, owner, RTO/RPO, gate, package or evidence change.</x:v>
      </x:c>
    </x:row>
    <x:row r="28">
      <x:c r="A28" s="27" t="str">
        <x:v>23</x:v>
      </x:c>
      <x:c r="B28" s="36" t="str">
        <x:v>23_Legal_Credits_and_Licenses_Register.xlsx</x:v>
      </x:c>
      <x:c r="C28" s="36" t="str">
        <x:v>REGENERATED AFTER RC1</x:v>
      </x:c>
      <x:c r="D28" s="54" t="n">
        <x:v>489706</x:v>
      </x:c>
      <x:c r="E28" s="36" t="str">
        <x:v>df975425a8b8c1cfd9375179893a68422c5691c95f63be5f0862b3d6ce783e63</x:v>
      </x:c>
      <x:c r="F28" s="36" t="str">
        <x:v>VERIFIED CURRENT INPUT</x:v>
      </x:c>
      <x:c r="G28" s="36" t="str">
        <x:v>PRIMARY INPUT</x:v>
      </x:c>
      <x:c r="H28" s="36" t="str">
        <x:v>Contributes requirements, controls, evidence, dependencies or closure context to risk and continuity.</x:v>
      </x:c>
      <x:c r="I28" s="36" t="str">
        <x:v>Review on any content, hash, owner, RTO/RPO, gate, package or evidence change.</x:v>
      </x:c>
    </x:row>
    <x:row r="29">
      <x:c r="A29" s="27" t="str">
        <x:v>24</x:v>
      </x:c>
      <x:c r="B29" s="36" t="str">
        <x:v>24_Steam_Publishing_Plan.md</x:v>
      </x:c>
      <x:c r="C29" s="36" t="str">
        <x:v>PRESENT</x:v>
      </x:c>
      <x:c r="D29" s="54" t="n">
        <x:v>171037</x:v>
      </x:c>
      <x:c r="E29" s="36" t="str">
        <x:v>f087e24d3a18f8c4a6651728d5f70d1df804042587e206fdeac2e7e637a87646</x:v>
      </x:c>
      <x:c r="F29" s="36" t="str">
        <x:v>VERIFIED CURRENT INPUT</x:v>
      </x:c>
      <x:c r="G29" s="36" t="str">
        <x:v>PRIMARY INPUT</x:v>
      </x:c>
      <x:c r="H29" s="36" t="str">
        <x:v>Contributes requirements, controls, evidence, dependencies or closure context to risk and continuity.</x:v>
      </x:c>
      <x:c r="I29" s="36" t="str">
        <x:v>Review on any content, hash, owner, RTO/RPO, gate, package or evidence change.</x:v>
      </x:c>
    </x:row>
    <x:row r="30">
      <x:c r="A30" s="27" t="str">
        <x:v>25</x:v>
      </x:c>
      <x:c r="B30" s="36" t="str">
        <x:v>25_Post_Launch_and_Live_Operations_Plan.md</x:v>
      </x:c>
      <x:c r="C30" s="36" t="str">
        <x:v>PRESENT</x:v>
      </x:c>
      <x:c r="D30" s="54" t="n">
        <x:v>327218</x:v>
      </x:c>
      <x:c r="E30" s="36" t="str">
        <x:v>158e1e43514c5d5d6c365f6cd1a73929f54c4a48c5cc460b593530ae5e49bac9</x:v>
      </x:c>
      <x:c r="F30" s="36" t="str">
        <x:v>VERIFIED CURRENT INPUT</x:v>
      </x:c>
      <x:c r="G30" s="36" t="str">
        <x:v>PRIMARY INPUT</x:v>
      </x:c>
      <x:c r="H30" s="36" t="str">
        <x:v>Contributes requirements, controls, evidence, dependencies or closure context to risk and continuity.</x:v>
      </x:c>
      <x:c r="I30" s="36" t="str">
        <x:v>Review on any content, hash, owner, RTO/RPO, gate, package or evidence change.</x:v>
      </x:c>
    </x:row>
    <x:row r="31">
      <x:c r="A31" s="27" t="str">
        <x:v>26</x:v>
      </x:c>
      <x:c r="B31" s="36" t="str">
        <x:v>26_Privacy_Data_and_Telemetry_Plan.md</x:v>
      </x:c>
      <x:c r="C31" s="36" t="str">
        <x:v>PRESENT</x:v>
      </x:c>
      <x:c r="D31" s="54" t="n">
        <x:v>321182</x:v>
      </x:c>
      <x:c r="E31" s="36" t="str">
        <x:v>284abfe537793c2ec8b0e5cbac484cd9395567c4434aef7f5ad5ee7005e95f36</x:v>
      </x:c>
      <x:c r="F31" s="36" t="str">
        <x:v>VERIFIED CURRENT INPUT</x:v>
      </x:c>
      <x:c r="G31" s="36" t="str">
        <x:v>PRIMARY INPUT</x:v>
      </x:c>
      <x:c r="H31" s="36" t="str">
        <x:v>Contributes requirements, controls, evidence, dependencies or closure context to risk and continuity.</x:v>
      </x:c>
      <x:c r="I31" s="36" t="str">
        <x:v>Review on any content, hash, owner, RTO/RPO, gate, package or evidence change.</x:v>
      </x:c>
    </x:row>
    <x:row r="32">
      <x:c r="A32" s="27" t="str">
        <x:v>27</x:v>
      </x:c>
      <x:c r="B32" s="36" t="str">
        <x:v>27_Security_and_Incident_Response_Plan.md</x:v>
      </x:c>
      <x:c r="C32" s="36" t="str">
        <x:v>PRESENT</x:v>
      </x:c>
      <x:c r="D32" s="54" t="n">
        <x:v>422182</x:v>
      </x:c>
      <x:c r="E32" s="36" t="str">
        <x:v>f925bfbf3df2000323c12a4486480d06c8ab8181684e5922168b8bdf89d05f92</x:v>
      </x:c>
      <x:c r="F32" s="36" t="str">
        <x:v>VERIFIED CURRENT INPUT</x:v>
      </x:c>
      <x:c r="G32" s="36" t="str">
        <x:v>PRIMARY INPUT</x:v>
      </x:c>
      <x:c r="H32" s="36" t="str">
        <x:v>Contributes requirements, controls, evidence, dependencies or closure context to risk and continuity.</x:v>
      </x:c>
      <x:c r="I32" s="36" t="str">
        <x:v>Review on any content, hash, owner, RTO/RPO, gate, package or evidence change.</x:v>
      </x:c>
    </x:row>
    <x:row r="33">
      <x:c r="A33" s="27" t="str">
        <x:v>28</x:v>
      </x:c>
      <x:c r="B33" s="36" t="str">
        <x:v>28_Marketing_and_Communication_Plan.md</x:v>
      </x:c>
      <x:c r="C33" s="36" t="str">
        <x:v>PRESENT</x:v>
      </x:c>
      <x:c r="D33" s="54" t="n">
        <x:v>87510</x:v>
      </x:c>
      <x:c r="E33" s="36" t="str">
        <x:v>28dd332855126558b3da6019f2e546b1e8ab7db81dc530a89f3e3fbfe757cded</x:v>
      </x:c>
      <x:c r="F33" s="36" t="str">
        <x:v>VERIFIED CURRENT INPUT</x:v>
      </x:c>
      <x:c r="G33" s="36" t="str">
        <x:v>PRIMARY INPUT</x:v>
      </x:c>
      <x:c r="H33" s="36" t="str">
        <x:v>Contributes requirements, controls, evidence, dependencies or closure context to risk and continuity.</x:v>
      </x:c>
      <x:c r="I33" s="36" t="str">
        <x:v>Review on any content, hash, owner, RTO/RPO, gate, package or evidence change.</x:v>
      </x:c>
    </x:row>
    <x:row r="34">
      <x:c r="A34" s="27" t="str">
        <x:v>29</x:v>
      </x:c>
      <x:c r="B34" s="36" t="str">
        <x:v>29_Accessibility_and_Inclusive_Design_Plan.md</x:v>
      </x:c>
      <x:c r="C34" s="36" t="str">
        <x:v>PRESENT</x:v>
      </x:c>
      <x:c r="D34" s="54" t="n">
        <x:v>105005</x:v>
      </x:c>
      <x:c r="E34" s="36" t="str">
        <x:v>678ceabb509062cd93c7690315397b1cc6204c0da6a5d57324ba11e2fda64333</x:v>
      </x:c>
      <x:c r="F34" s="36" t="str">
        <x:v>VERIFIED CURRENT INPUT</x:v>
      </x:c>
      <x:c r="G34" s="36" t="str">
        <x:v>PRIMARY INPUT</x:v>
      </x:c>
      <x:c r="H34" s="36" t="str">
        <x:v>Contributes requirements, controls, evidence, dependencies or closure context to risk and continuity.</x:v>
      </x:c>
      <x:c r="I34" s="36" t="str">
        <x:v>Review on any content, hash, owner, RTO/RPO, gate, package or evidence change.</x:v>
      </x:c>
    </x:row>
    <x:row r="35">
      <x:c r="A35" s="27" t="str">
        <x:v>30</x:v>
      </x:c>
      <x:c r="B35" s="36" t="str">
        <x:v>30_Performance_and_Optimization_Plan.md</x:v>
      </x:c>
      <x:c r="C35" s="36" t="str">
        <x:v>PRESENT</x:v>
      </x:c>
      <x:c r="D35" s="54" t="n">
        <x:v>109482</x:v>
      </x:c>
      <x:c r="E35" s="36" t="str">
        <x:v>18f53eaa61734ad735c02c8b7c70ed37f5f0e80f7c01828b05d092c49b0de260</x:v>
      </x:c>
      <x:c r="F35" s="36" t="str">
        <x:v>VERIFIED CURRENT INPUT</x:v>
      </x:c>
      <x:c r="G35" s="36" t="str">
        <x:v>PRIMARY INPUT</x:v>
      </x:c>
      <x:c r="H35" s="36" t="str">
        <x:v>Contributes requirements, controls, evidence, dependencies or closure context to risk and continuity.</x:v>
      </x:c>
      <x:c r="I35" s="36" t="str">
        <x:v>Review on any content, hash, owner, RTO/RPO, gate, package or evidence change.</x:v>
      </x:c>
    </x:row>
    <x:row r="36">
      <x:c r="A36" s="27" t="str">
        <x:v>31</x:v>
      </x:c>
      <x:c r="B36" s="36" t="str">
        <x:v>31_H6_and_Release_Readiness_Checklist.xlsx</x:v>
      </x:c>
      <x:c r="C36" s="36" t="str">
        <x:v>REGENERATED AFTER RC1</x:v>
      </x:c>
      <x:c r="D36" s="54" t="n">
        <x:v>219011</x:v>
      </x:c>
      <x:c r="E36" s="36" t="str">
        <x:v>c61a903e5a6d5944b60c4ffde403f6184bc96d23d68996798c43b7ecc9515832</x:v>
      </x:c>
      <x:c r="F36" s="36" t="str">
        <x:v>VERIFIED CURRENT INPUT</x:v>
      </x:c>
      <x:c r="G36" s="36" t="str">
        <x:v>PRIMARY INPUT</x:v>
      </x:c>
      <x:c r="H36" s="36" t="str">
        <x:v>Contributes requirements, controls, evidence, dependencies or closure context to risk and continuity.</x:v>
      </x:c>
      <x:c r="I36" s="36" t="str">
        <x:v>Review on any content, hash, owner, RTO/RPO, gate, package or evidence change.</x:v>
      </x:c>
    </x:row>
    <x:row r="37">
      <x:c r="A37" s="27" t="str">
        <x:v>32</x:v>
      </x:c>
      <x:c r="B37" s="36" t="str">
        <x:v>32_Documentation_Baseline_Manifest.xlsx</x:v>
      </x:c>
      <x:c r="C37" s="36" t="str">
        <x:v>PRESENT / CANDIDATE REGEN PENDING</x:v>
      </x:c>
      <x:c r="D37" s="54" t="n">
        <x:v>197250</x:v>
      </x:c>
      <x:c r="E37" s="36" t="str">
        <x:v>05ef1aa53febb8015b1eb40be8f43a4f6cee5be3ce1d31c3eda03346b86ebc64</x:v>
      </x:c>
      <x:c r="F37" s="36" t="str">
        <x:v>RC1 CANDIDATE; NOT FINAL</x:v>
      </x:c>
      <x:c r="G37" s="36" t="str">
        <x:v>PRIMARY INPUT</x:v>
      </x:c>
      <x:c r="H37" s="36" t="str">
        <x:v>Candidate baseline manifest; must be regenerated after 33/34 and audit corrections before final authority.</x:v>
      </x:c>
      <x:c r="I37" s="36" t="str">
        <x:v>Review on any content, hash, owner, RTO/RPO, gate, package or evidence change.</x:v>
      </x:c>
    </x:row>
    <x:row r="38">
      <x:c r="A38" s="27" t="str">
        <x:v>33</x:v>
      </x:c>
      <x:c r="B38" s="36" t="str">
        <x:v>33_Project_Risk_Register_and_Business_Continuity_Plan.xlsx</x:v>
      </x:c>
      <x:c r="C38" s="36" t="str">
        <x:v>GENERATED HERE</x:v>
      </x:c>
      <x:c r="D38" s="54"/>
      <x:c r="E38" s="36"/>
      <x:c r="F38" s="36" t="str">
        <x:v>EXTERNAL HASH AFTER EXPORT</x:v>
      </x:c>
      <x:c r="G38" s="36" t="str">
        <x:v>THIS WORKBOOK / CURRENT RISK AUTHORITY</x:v>
      </x:c>
      <x:c r="H38" s="36" t="str">
        <x:v>Authoritative current risk/continuity workbook; final self-hash must be external.</x:v>
      </x:c>
      <x:c r="I38" s="36" t="str">
        <x:v>Review on any content, hash, owner, RTO/RPO, gate, package or evidence change.</x:v>
      </x:c>
    </x:row>
    <x:row r="39">
      <x:c r="A39" s="27" t="str">
        <x:v>34</x:v>
      </x:c>
      <x:c r="B39" s="36" t="str">
        <x:v>34_Final_Handoff_and_Project_Operations_Manual.md</x:v>
      </x:c>
      <x:c r="C39" s="36" t="str">
        <x:v>PRESENT / DIRECTED UPDATE PENDING</x:v>
      </x:c>
      <x:c r="D39" s="54" t="n">
        <x:v>102697</x:v>
      </x:c>
      <x:c r="E39" s="36" t="str">
        <x:v>3b3fb3519caa4f899da10bf8bec73d72b5e0c3e3c6839c83157d1351a9ef9001</x:v>
      </x:c>
      <x:c r="F39" s="36" t="str">
        <x:v>RC1 HASH; WILL BECOME STALE</x:v>
      </x:c>
      <x:c r="G39" s="36" t="str">
        <x:v>PRIMARY INPUT</x:v>
      </x:c>
      <x:c r="H39" s="36" t="str">
        <x:v>Existing handoff manual; requires directed update with final package, restore and operational state.</x:v>
      </x:c>
      <x:c r="I39" s="36" t="str">
        <x:v>Review on any content, hash, owner, RTO/RPO, gate, package or evidence change.</x:v>
      </x:c>
    </x:row>
  </x:sheetData>
  <x:mergeCells>
    <x:mergeCell ref="A1:I1"/>
    <x:mergeCell ref="A2:I2"/>
  </x:mergeCells>
  <x:conditionalFormatting sqref="C5:C39">
    <x:cfRule type="expression" dxfId="27" priority="1">
      <x:formula>C5="MISSING"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24b3ee6800433e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14" hidden="0" customWidth="1"/>
    <x:col min="5" max="5" width="55" hidden="0" customWidth="1"/>
    <x:col min="6" max="6" width="12" hidden="0" customWidth="1"/>
    <x:col min="7" max="7" width="14" hidden="0" customWidth="1"/>
    <x:col min="8" max="8" width="68" hidden="0" customWidth="1"/>
    <x:col min="9" max="9" width="17" hidden="0" customWidth="1"/>
    <x:col min="10" max="10" width="36" hidden="0" customWidth="1"/>
    <x:col min="11" max="11" width="20" hidden="0" customWidth="1"/>
    <x:col min="12" max="12" width="55" hidden="0" customWidth="1"/>
    <x:col min="13" max="13" width="60" hidden="0" customWidth="1"/>
    <x:col min="14" max="14" width="58" hidden="0" customWidth="1"/>
    <x:col min="15" max="15" width="100" hidden="0" customWidth="1"/>
  </x:cols>
  <x:sheetData>
    <x:row r="1" ht="36" customHeight="1">
      <x:c r="A1" s="5" t="str">
        <x:v>15 — Complete Historical Risk and Continuity Traceability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42" customHeight="1">
      <x:c r="A2" s="13" t="str">
        <x:v>All 745 supplied historical documentation files are retained and inventoried. Text files are keyword-classified; PDFs/binaries are inventoried by path/name without claiming unread content.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>
      <x:c r="A4" s="21" t="str">
        <x:v>Historical ID</x:v>
      </x:c>
      <x:c r="B4" s="21" t="str">
        <x:v>Collection</x:v>
      </x:c>
      <x:c r="C4" s="21" t="str">
        <x:v>Version</x:v>
      </x:c>
      <x:c r="D4" s="21" t="str">
        <x:v>Sprint</x:v>
      </x:c>
      <x:c r="E4" s="21" t="str">
        <x:v>File Name</x:v>
      </x:c>
      <x:c r="F4" s="21" t="str">
        <x:v>Format</x:v>
      </x:c>
      <x:c r="G4" s="21" t="str">
        <x:v>Bytes</x:v>
      </x:c>
      <x:c r="H4" s="21" t="str">
        <x:v>SHA-256</x:v>
      </x:c>
      <x:c r="I4" s="21" t="str">
        <x:v>Identical Copy Count</x:v>
      </x:c>
      <x:c r="J4" s="21" t="str">
        <x:v>Historical Authority</x:v>
      </x:c>
      <x:c r="K4" s="21" t="str">
        <x:v>Risk Relevance</x:v>
      </x:c>
      <x:c r="L4" s="21" t="str">
        <x:v>Matched Terms</x:v>
      </x:c>
      <x:c r="M4" s="21" t="str">
        <x:v>Retention / Authority Rule</x:v>
      </x:c>
      <x:c r="N4" s="21" t="str">
        <x:v>Document 33 Use</x:v>
      </x:c>
      <x:c r="O4" s="21" t="str">
        <x:v>Historical Relative Path</x:v>
      </x:c>
    </x:row>
    <x:row r="5">
      <x:c r="A5" s="27" t="str">
        <x:v>HIST-0001</x:v>
      </x:c>
      <x:c r="B5" s="27" t="str">
        <x:v>00_Official_Baseline</x:v>
      </x:c>
      <x:c r="C5" s="27" t="str">
        <x:v>v0.3</x:v>
      </x:c>
      <x:c r="D5" s="27" t="str"/>
      <x:c r="E5" s="36" t="str">
        <x:v>.gitkeep</x:v>
      </x:c>
      <x:c r="F5" s="36" t="str">
        <x:v>NO EXT</x:v>
      </x:c>
      <x:c r="G5" s="54" t="n">
        <x:v>0</x:v>
      </x:c>
      <x:c r="H5" s="36" t="str">
        <x:v>e3b0c44298fc1c149afbf4c8996fb92427ae41e4649b934ca495991b7852b855</x:v>
      </x:c>
      <x:c r="I5" s="36" t="n">
        <x:v>6</x:v>
      </x:c>
      <x:c r="J5" s="36" t="str">
        <x:v>Published historical baseline</x:v>
      </x:c>
      <x:c r="K5" s="36" t="str">
        <x:v>CONTEXT / PRESERVED</x:v>
      </x:c>
      <x:c r="L5" s="36" t="str"/>
      <x:c r="M5" s="36" t="str">
        <x:v>Retain read-only; current authority remains 00–34.</x:v>
      </x:c>
      <x:c r="N5" s="36" t="str">
        <x:v>Preserved context; not mined as normative authority.</x:v>
      </x:c>
      <x:c r="O5" s="36" t="str">
        <x:v>00_Official_Baseline/v0.3/.gitkeep</x:v>
      </x:c>
    </x:row>
    <x:row r="6">
      <x:c r="A6" s="27" t="str">
        <x:v>HIST-0002</x:v>
      </x:c>
      <x:c r="B6" s="27" t="str">
        <x:v>00_Official_Baseline</x:v>
      </x:c>
      <x:c r="C6" s="27" t="str">
        <x:v>v0.3</x:v>
      </x:c>
      <x:c r="D6" s="27" t="str"/>
      <x:c r="E6" s="36" t="str">
        <x:v>00_Cartridge_And_Cloud_Guide_v0.3.pdf</x:v>
      </x:c>
      <x:c r="F6" s="36" t="str">
        <x:v>PDF</x:v>
      </x:c>
      <x:c r="G6" s="54" t="n">
        <x:v>103150</x:v>
      </x:c>
      <x:c r="H6" s="36" t="str">
        <x:v>99c1672344d83538646b37426ea23c6812c2f83c3386296618de7ee7a8524131</x:v>
      </x:c>
      <x:c r="I6" s="36" t="n">
        <x:v>1</x:v>
      </x:c>
      <x:c r="J6" s="36" t="str">
        <x:v>Published historical baseline</x:v>
      </x:c>
      <x:c r="K6" s="36" t="str">
        <x:v>CONTEXT / PRESERVED</x:v>
      </x:c>
      <x:c r="L6" s="36" t="str"/>
      <x:c r="M6" s="36" t="str">
        <x:v>Retain read-only; current authority remains 00–34.</x:v>
      </x:c>
      <x:c r="N6" s="36" t="str">
        <x:v>Preserved context; not mined as normative authority.</x:v>
      </x:c>
      <x:c r="O6" s="36" t="str">
        <x:v>00_Official_Baseline/v0.3/00_Project_Governance/00_Cartridge_And_Cloud_Guide_v0.3.pdf</x:v>
      </x:c>
    </x:row>
    <x:row r="7">
      <x:c r="A7" s="27" t="str">
        <x:v>HIST-0003</x:v>
      </x:c>
      <x:c r="B7" s="27" t="str">
        <x:v>00_Official_Baseline</x:v>
      </x:c>
      <x:c r="C7" s="27" t="str">
        <x:v>v0.3</x:v>
      </x:c>
      <x:c r="D7" s="27" t="str"/>
      <x:c r="E7" s="36" t="str">
        <x:v>Cartridge_And_Cloud_Document_Migration_Plan_v0.1.pdf</x:v>
      </x:c>
      <x:c r="F7" s="36" t="str">
        <x:v>PDF</x:v>
      </x:c>
      <x:c r="G7" s="54" t="n">
        <x:v>22634</x:v>
      </x:c>
      <x:c r="H7" s="36" t="str">
        <x:v>9fb9be3ff80060dad211034db3e372b0d816978b92b3dd3c220ec694a6e713fc</x:v>
      </x:c>
      <x:c r="I7" s="36" t="n">
        <x:v>1</x:v>
      </x:c>
      <x:c r="J7" s="36" t="str">
        <x:v>Published historical baseline</x:v>
      </x:c>
      <x:c r="K7" s="36" t="str">
        <x:v>CONTEXT / PRESERVED</x:v>
      </x:c>
      <x:c r="L7" s="36" t="str"/>
      <x:c r="M7" s="36" t="str">
        <x:v>Retain read-only; current authority remains 00–34.</x:v>
      </x:c>
      <x:c r="N7" s="36" t="str">
        <x:v>Preserved context; not mined as normative authority.</x:v>
      </x:c>
      <x:c r="O7" s="36" t="str">
        <x:v>00_Official_Baseline/v0.3/00_Project_Governance/Cartridge_And_Cloud_Document_Migration_Plan_v0.1.pdf</x:v>
      </x:c>
    </x:row>
    <x:row r="8">
      <x:c r="A8" s="27" t="str">
        <x:v>HIST-0004</x:v>
      </x:c>
      <x:c r="B8" s="27" t="str">
        <x:v>00_Official_Baseline</x:v>
      </x:c>
      <x:c r="C8" s="27" t="str">
        <x:v>v0.3</x:v>
      </x:c>
      <x:c r="D8" s="27" t="str"/>
      <x:c r="E8" s="36" t="str">
        <x:v>Cartridge_And_Cloud_Documentation_Validation_Report_v0.1.pdf</x:v>
      </x:c>
      <x:c r="F8" s="36" t="str">
        <x:v>PDF</x:v>
      </x:c>
      <x:c r="G8" s="54" t="n">
        <x:v>29737</x:v>
      </x:c>
      <x:c r="H8" s="36" t="str">
        <x:v>2650c8310ea64b2328ee460843e04eed8b2dfa5f954e0acf0c1914e895a3628f</x:v>
      </x:c>
      <x:c r="I8" s="36" t="n">
        <x:v>1</x:v>
      </x:c>
      <x:c r="J8" s="36" t="str">
        <x:v>Published historical baseline</x:v>
      </x:c>
      <x:c r="K8" s="36" t="str">
        <x:v>CONTEXT / PRESERVED</x:v>
      </x:c>
      <x:c r="L8" s="36" t="str">
        <x:v>validation</x:v>
      </x:c>
      <x:c r="M8" s="36" t="str">
        <x:v>Retain read-only; current authority remains 00–34.</x:v>
      </x:c>
      <x:c r="N8" s="36" t="str">
        <x:v>Preserved context; not mined as normative authority.</x:v>
      </x:c>
      <x:c r="O8" s="36" t="str">
        <x:v>00_Official_Baseline/v0.3/00_Project_Governance/Cartridge_And_Cloud_Documentation_Validation_Report_v0.1.pdf</x:v>
      </x:c>
    </x:row>
    <x:row r="9">
      <x:c r="A9" s="27" t="str">
        <x:v>HIST-0005</x:v>
      </x:c>
      <x:c r="B9" s="27" t="str">
        <x:v>00_Official_Baseline</x:v>
      </x:c>
      <x:c r="C9" s="27" t="str">
        <x:v>v0.3</x:v>
      </x:c>
      <x:c r="D9" s="27" t="str"/>
      <x:c r="E9" s="36" t="str">
        <x:v>Cartridge_And_Cloud_Enfoque_v0.6.pdf</x:v>
      </x:c>
      <x:c r="F9" s="36" t="str">
        <x:v>PDF</x:v>
      </x:c>
      <x:c r="G9" s="54" t="n">
        <x:v>338168</x:v>
      </x:c>
      <x:c r="H9" s="36" t="str">
        <x:v>38f2028567bb433fb5162f8c008b4e21d532f819cf5c0c3204c2ca06a2eb7eef</x:v>
      </x:c>
      <x:c r="I9" s="36" t="n">
        <x:v>1</x:v>
      </x:c>
      <x:c r="J9" s="36" t="str">
        <x:v>Published historical baseline</x:v>
      </x:c>
      <x:c r="K9" s="36" t="str">
        <x:v>CONTEXT / PRESERVED</x:v>
      </x:c>
      <x:c r="L9" s="36" t="str"/>
      <x:c r="M9" s="36" t="str">
        <x:v>Retain read-only; current authority remains 00–34.</x:v>
      </x:c>
      <x:c r="N9" s="36" t="str">
        <x:v>Preserved context; not mined as normative authority.</x:v>
      </x:c>
      <x:c r="O9" s="36" t="str">
        <x:v>00_Official_Baseline/v0.3/00_Project_Governance/Cartridge_And_Cloud_Enfoque_v0.6.pdf</x:v>
      </x:c>
    </x:row>
    <x:row r="10">
      <x:c r="A10" s="27" t="str">
        <x:v>HIST-0006</x:v>
      </x:c>
      <x:c r="B10" s="27" t="str">
        <x:v>00_Official_Baseline</x:v>
      </x:c>
      <x:c r="C10" s="27" t="str">
        <x:v>v0.3</x:v>
      </x:c>
      <x:c r="D10" s="27" t="str"/>
      <x:c r="E10" s="36" t="str">
        <x:v>Cartridge_And_Cloud_Package_Manifest_v0.1.pdf</x:v>
      </x:c>
      <x:c r="F10" s="36" t="str">
        <x:v>PDF</x:v>
      </x:c>
      <x:c r="G10" s="54" t="n">
        <x:v>40833</x:v>
      </x:c>
      <x:c r="H10" s="36" t="str">
        <x:v>4aed1b174d2405952bd79800726f58314e2bf96842da2b233cf005db84689f83</x:v>
      </x:c>
      <x:c r="I10" s="36" t="n">
        <x:v>1</x:v>
      </x:c>
      <x:c r="J10" s="36" t="str">
        <x:v>Published historical baseline</x:v>
      </x:c>
      <x:c r="K10" s="36" t="str">
        <x:v>CONTEXT / PRESERVED</x:v>
      </x:c>
      <x:c r="L10" s="36" t="str">
        <x:v>manifest</x:v>
      </x:c>
      <x:c r="M10" s="36" t="str">
        <x:v>Retain read-only; current authority remains 00–34.</x:v>
      </x:c>
      <x:c r="N10" s="36" t="str">
        <x:v>Preserved context; not mined as normative authority.</x:v>
      </x:c>
      <x:c r="O10" s="36" t="str">
        <x:v>00_Official_Baseline/v0.3/00_Project_Governance/Cartridge_And_Cloud_Package_Manifest_v0.1.pdf</x:v>
      </x:c>
    </x:row>
    <x:row r="11">
      <x:c r="A11" s="27" t="str">
        <x:v>HIST-0007</x:v>
      </x:c>
      <x:c r="B11" s="27" t="str">
        <x:v>00_Official_Baseline</x:v>
      </x:c>
      <x:c r="C11" s="27" t="str">
        <x:v>v0.3</x:v>
      </x:c>
      <x:c r="D11" s="27" t="str"/>
      <x:c r="E11" s="36" t="str">
        <x:v>Cartridge_And_Cloud_Project_Binder_Indice_Maestro_v0.3.pdf</x:v>
      </x:c>
      <x:c r="F11" s="36" t="str">
        <x:v>PDF</x:v>
      </x:c>
      <x:c r="G11" s="54" t="n">
        <x:v>26270</x:v>
      </x:c>
      <x:c r="H11" s="36" t="str">
        <x:v>c71af37b9e9be41ba8f31ae35ac244d4fb3163ab19a7e43656ced308f746ee58</x:v>
      </x:c>
      <x:c r="I11" s="36" t="n">
        <x:v>1</x:v>
      </x:c>
      <x:c r="J11" s="36" t="str">
        <x:v>Published historical baseline</x:v>
      </x:c>
      <x:c r="K11" s="36" t="str">
        <x:v>CONTEXT / PRESERVED</x:v>
      </x:c>
      <x:c r="L11" s="36" t="str"/>
      <x:c r="M11" s="36" t="str">
        <x:v>Retain read-only; current authority remains 00–34.</x:v>
      </x:c>
      <x:c r="N11" s="36" t="str">
        <x:v>Preserved context; not mined as normative authority.</x:v>
      </x:c>
      <x:c r="O11" s="36" t="str">
        <x:v>00_Official_Baseline/v0.3/00_Project_Governance/Cartridge_And_Cloud_Project_Binder_Indice_Maestro_v0.3.pdf</x:v>
      </x:c>
    </x:row>
    <x:row r="12">
      <x:c r="A12" s="27" t="str">
        <x:v>HIST-0008</x:v>
      </x:c>
      <x:c r="B12" s="27" t="str">
        <x:v>00_Official_Baseline</x:v>
      </x:c>
      <x:c r="C12" s="27" t="str">
        <x:v>v0.3</x:v>
      </x:c>
      <x:c r="D12" s="27" t="str"/>
      <x:c r="E12" s="36" t="str">
        <x:v>Enfoque_v0.6.md</x:v>
      </x:c>
      <x:c r="F12" s="36" t="str">
        <x:v>MD</x:v>
      </x:c>
      <x:c r="G12" s="54" t="n">
        <x:v>122708</x:v>
      </x:c>
      <x:c r="H12" s="36" t="str">
        <x:v>6765207677c2adad0d124d20b9c27c82563eebc5eb3a0acb817dddbd148b3fbb</x:v>
      </x:c>
      <x:c r="I12" s="36" t="n">
        <x:v>2</x:v>
      </x:c>
      <x:c r="J12" s="36" t="str">
        <x:v>Published historical baseline</x:v>
      </x:c>
      <x:c r="K12" s="36" t="str">
        <x:v>DIRECT</x:v>
      </x:c>
      <x:c r="L12" s="36" t="str">
        <x:v>adr, audit, backup, build, continuidad, dependencia, incident, legal, qa, release, riesgo, roadmap, save, seguridad, sprint, steam, test, validation</x:v>
      </x:c>
      <x:c r="M12" s="36" t="str">
        <x:v>Retain read-only; current authority remains 00–34.</x:v>
      </x:c>
      <x:c r="N12" s="36" t="str">
        <x:v>33 risk/continuity context</x:v>
      </x:c>
      <x:c r="O12" s="36" t="str">
        <x:v>00_Official_Baseline/v0.3/00_Project_Governance/Enfoque_v0.6.md</x:v>
      </x:c>
    </x:row>
    <x:row r="13">
      <x:c r="A13" s="27" t="str">
        <x:v>HIST-0009</x:v>
      </x:c>
      <x:c r="B13" s="27" t="str">
        <x:v>00_Official_Baseline</x:v>
      </x:c>
      <x:c r="C13" s="27" t="str">
        <x:v>v0.3</x:v>
      </x:c>
      <x:c r="D13" s="27" t="str"/>
      <x:c r="E13" s="36" t="str">
        <x:v>Cartridge_And_Cloud_Economy_Balance_Specification_v0.1.pdf</x:v>
      </x:c>
      <x:c r="F13" s="36" t="str">
        <x:v>PDF</x:v>
      </x:c>
      <x:c r="G13" s="54" t="n">
        <x:v>102712</x:v>
      </x:c>
      <x:c r="H13" s="36" t="str">
        <x:v>9539e4a8e097a84c413a8b65a8bc77d2d2a859eeab9c9697e84473ce67025ab7</x:v>
      </x:c>
      <x:c r="I13" s="36" t="n">
        <x:v>1</x:v>
      </x:c>
      <x:c r="J13" s="36" t="str">
        <x:v>Published historical baseline</x:v>
      </x:c>
      <x:c r="K13" s="36" t="str">
        <x:v>CONTEXT / PRESERVED</x:v>
      </x:c>
      <x:c r="L13" s="36" t="str"/>
      <x:c r="M13" s="36" t="str">
        <x:v>Retain read-only; current authority remains 00–34.</x:v>
      </x:c>
      <x:c r="N13" s="36" t="str">
        <x:v>Preserved context; not mined as normative authority.</x:v>
      </x:c>
      <x:c r="O13" s="36" t="str">
        <x:v>00_Official_Baseline/v0.3/01_Design/Cartridge_And_Cloud_Economy_Balance_Specification_v0.1.pdf</x:v>
      </x:c>
    </x:row>
    <x:row r="14">
      <x:c r="A14" s="27" t="str">
        <x:v>HIST-0010</x:v>
      </x:c>
      <x:c r="B14" s="27" t="str">
        <x:v>00_Official_Baseline</x:v>
      </x:c>
      <x:c r="C14" s="27" t="str">
        <x:v>v0.3</x:v>
      </x:c>
      <x:c r="D14" s="27" t="str"/>
      <x:c r="E14" s="36" t="str">
        <x:v>Cartridge_And_Cloud_GDD_v0.4_PCSteam.pdf</x:v>
      </x:c>
      <x:c r="F14" s="36" t="str">
        <x:v>PDF</x:v>
      </x:c>
      <x:c r="G14" s="54" t="n">
        <x:v>292627</x:v>
      </x:c>
      <x:c r="H14" s="36" t="str">
        <x:v>9d07c1cbfde60aa02403129f5b0b2b36852cfb514123e836d8c8e81ee7fa837d</x:v>
      </x:c>
      <x:c r="I14" s="36" t="n">
        <x:v>1</x:v>
      </x:c>
      <x:c r="J14" s="36" t="str">
        <x:v>Published historical baseline</x:v>
      </x:c>
      <x:c r="K14" s="36" t="str">
        <x:v>CONTEXT / PRESERVED</x:v>
      </x:c>
      <x:c r="L14" s="36" t="str">
        <x:v>steam</x:v>
      </x:c>
      <x:c r="M14" s="36" t="str">
        <x:v>Retain read-only; current authority remains 00–34.</x:v>
      </x:c>
      <x:c r="N14" s="36" t="str">
        <x:v>Preserved context; not mined as normative authority.</x:v>
      </x:c>
      <x:c r="O14" s="36" t="str">
        <x:v>00_Official_Baseline/v0.3/01_Design/Cartridge_And_Cloud_GDD_v0.4_PCSteam.pdf</x:v>
      </x:c>
    </x:row>
    <x:row r="15">
      <x:c r="A15" s="27" t="str">
        <x:v>HIST-0011</x:v>
      </x:c>
      <x:c r="B15" s="27" t="str">
        <x:v>00_Official_Baseline</x:v>
      </x:c>
      <x:c r="C15" s="27" t="str">
        <x:v>v0.3</x:v>
      </x:c>
      <x:c r="D15" s="27" t="str"/>
      <x:c r="E15" s="36" t="str">
        <x:v>Cartridge_And_Cloud_Initial_Content_Catalog_v0.1.pdf</x:v>
      </x:c>
      <x:c r="F15" s="36" t="str">
        <x:v>PDF</x:v>
      </x:c>
      <x:c r="G15" s="54" t="n">
        <x:v>82740</x:v>
      </x:c>
      <x:c r="H15" s="36" t="str">
        <x:v>f2f3531bc334dba5740d3278f9d4fc2a767dd0520029888fda5d2957503b5b52</x:v>
      </x:c>
      <x:c r="I15" s="36" t="n">
        <x:v>1</x:v>
      </x:c>
      <x:c r="J15" s="36" t="str">
        <x:v>Published historical baseline</x:v>
      </x:c>
      <x:c r="K15" s="36" t="str">
        <x:v>CONTEXT / PRESERVED</x:v>
      </x:c>
      <x:c r="L15" s="36" t="str"/>
      <x:c r="M15" s="36" t="str">
        <x:v>Retain read-only; current authority remains 00–34.</x:v>
      </x:c>
      <x:c r="N15" s="36" t="str">
        <x:v>Preserved context; not mined as normative authority.</x:v>
      </x:c>
      <x:c r="O15" s="36" t="str">
        <x:v>00_Official_Baseline/v0.3/01_Design/Cartridge_And_Cloud_Initial_Content_Catalog_v0.1.pdf</x:v>
      </x:c>
    </x:row>
    <x:row r="16">
      <x:c r="A16" s="27" t="str">
        <x:v>HIST-0012</x:v>
      </x:c>
      <x:c r="B16" s="27" t="str">
        <x:v>00_Official_Baseline</x:v>
      </x:c>
      <x:c r="C16" s="27" t="str">
        <x:v>v0.3</x:v>
      </x:c>
      <x:c r="D16" s="27" t="str"/>
      <x:c r="E16" s="36" t="str">
        <x:v>Cartridge_And_Cloud_UX_Flow_v0.3.pdf</x:v>
      </x:c>
      <x:c r="F16" s="36" t="str">
        <x:v>PDF</x:v>
      </x:c>
      <x:c r="G16" s="54" t="n">
        <x:v>227782</x:v>
      </x:c>
      <x:c r="H16" s="36" t="str">
        <x:v>f46ac97e14ce7b1ec45258c84a7f3fc8209f43ee807219114eee1d517aa976db</x:v>
      </x:c>
      <x:c r="I16" s="36" t="n">
        <x:v>1</x:v>
      </x:c>
      <x:c r="J16" s="36" t="str">
        <x:v>Published historical baseline</x:v>
      </x:c>
      <x:c r="K16" s="36" t="str">
        <x:v>CONTEXT / PRESERVED</x:v>
      </x:c>
      <x:c r="L16" s="36" t="str"/>
      <x:c r="M16" s="36" t="str">
        <x:v>Retain read-only; current authority remains 00–34.</x:v>
      </x:c>
      <x:c r="N16" s="36" t="str">
        <x:v>Preserved context; not mined as normative authority.</x:v>
      </x:c>
      <x:c r="O16" s="36" t="str">
        <x:v>00_Official_Baseline/v0.3/01_Design/Cartridge_And_Cloud_UX_Flow_v0.3.pdf</x:v>
      </x:c>
    </x:row>
    <x:row r="17">
      <x:c r="A17" s="27" t="str">
        <x:v>HIST-0013</x:v>
      </x:c>
      <x:c r="B17" s="27" t="str">
        <x:v>00_Official_Baseline</x:v>
      </x:c>
      <x:c r="C17" s="27" t="str">
        <x:v>v0.3</x:v>
      </x:c>
      <x:c r="D17" s="27" t="str"/>
      <x:c r="E17" s="36" t="str">
        <x:v>Cartridge_And_Cloud_Vertical_Slice_Specification_v0.1.pdf</x:v>
      </x:c>
      <x:c r="F17" s="36" t="str">
        <x:v>PDF</x:v>
      </x:c>
      <x:c r="G17" s="54" t="n">
        <x:v>37172</x:v>
      </x:c>
      <x:c r="H17" s="36" t="str">
        <x:v>86b0a49dac832eda01fa751b5a9b720610868ba389093d2a8784222d01326ac3</x:v>
      </x:c>
      <x:c r="I17" s="36" t="n">
        <x:v>1</x:v>
      </x:c>
      <x:c r="J17" s="36" t="str">
        <x:v>Published historical baseline</x:v>
      </x:c>
      <x:c r="K17" s="36" t="str">
        <x:v>CONTEXT / PRESERVED</x:v>
      </x:c>
      <x:c r="L17" s="36" t="str"/>
      <x:c r="M17" s="36" t="str">
        <x:v>Retain read-only; current authority remains 00–34.</x:v>
      </x:c>
      <x:c r="N17" s="36" t="str">
        <x:v>Preserved context; not mined as normative authority.</x:v>
      </x:c>
      <x:c r="O17" s="36" t="str">
        <x:v>00_Official_Baseline/v0.3/01_Design/Cartridge_And_Cloud_Vertical_Slice_Specification_v0.1.pdf</x:v>
      </x:c>
    </x:row>
    <x:row r="18">
      <x:c r="A18" s="27" t="str">
        <x:v>HIST-0014</x:v>
      </x:c>
      <x:c r="B18" s="27" t="str">
        <x:v>00_Official_Baseline</x:v>
      </x:c>
      <x:c r="C18" s="27" t="str">
        <x:v>v0.3</x:v>
      </x:c>
      <x:c r="D18" s="27" t="str"/>
      <x:c r="E18" s="36" t="str">
        <x:v>Cartridge_And_Cloud_Build_Versioning_Guide_v0.3.pdf</x:v>
      </x:c>
      <x:c r="F18" s="36" t="str">
        <x:v>PDF</x:v>
      </x:c>
      <x:c r="G18" s="54" t="n">
        <x:v>25562</x:v>
      </x:c>
      <x:c r="H18" s="36" t="str">
        <x:v>81e38d9861f5caee0d4448c0aff214e0ffc922e82e2491f8b37c7f37719bd97a</x:v>
      </x:c>
      <x:c r="I18" s="36" t="n">
        <x:v>1</x:v>
      </x:c>
      <x:c r="J18" s="36" t="str">
        <x:v>Published historical baseline</x:v>
      </x:c>
      <x:c r="K18" s="36" t="str">
        <x:v>CONTEXT / PRESERVED</x:v>
      </x:c>
      <x:c r="L18" s="36" t="str">
        <x:v>build</x:v>
      </x:c>
      <x:c r="M18" s="36" t="str">
        <x:v>Retain read-only; current authority remains 00–34.</x:v>
      </x:c>
      <x:c r="N18" s="36" t="str">
        <x:v>Preserved context; not mined as normative authority.</x:v>
      </x:c>
      <x:c r="O18" s="36" t="str">
        <x:v>00_Official_Baseline/v0.3/02_Technical/Cartridge_And_Cloud_Build_Versioning_Guide_v0.3.pdf</x:v>
      </x:c>
    </x:row>
    <x:row r="19">
      <x:c r="A19" s="27" t="str">
        <x:v>HIST-0015</x:v>
      </x:c>
      <x:c r="B19" s="27" t="str">
        <x:v>00_Official_Baseline</x:v>
      </x:c>
      <x:c r="C19" s="27" t="str">
        <x:v>v0.3</x:v>
      </x:c>
      <x:c r="D19" s="27" t="str"/>
      <x:c r="E19" s="36" t="str">
        <x:v>Cartridge_And_Cloud_CSharp_Coding_Standards_v0.3.pdf</x:v>
      </x:c>
      <x:c r="F19" s="36" t="str">
        <x:v>PDF</x:v>
      </x:c>
      <x:c r="G19" s="54" t="n">
        <x:v>27744</x:v>
      </x:c>
      <x:c r="H19" s="36" t="str">
        <x:v>7728a56bdb4c65c4a74cd02791293449dd2277d5a544f038744476c3c0b73c43</x:v>
      </x:c>
      <x:c r="I19" s="36" t="n">
        <x:v>1</x:v>
      </x:c>
      <x:c r="J19" s="36" t="str">
        <x:v>Published historical baseline</x:v>
      </x:c>
      <x:c r="K19" s="36" t="str">
        <x:v>CONTEXT / PRESERVED</x:v>
      </x:c>
      <x:c r="L19" s="36" t="str"/>
      <x:c r="M19" s="36" t="str">
        <x:v>Retain read-only; current authority remains 00–34.</x:v>
      </x:c>
      <x:c r="N19" s="36" t="str">
        <x:v>Preserved context; not mined as normative authority.</x:v>
      </x:c>
      <x:c r="O19" s="36" t="str">
        <x:v>00_Official_Baseline/v0.3/02_Technical/Cartridge_And_Cloud_CSharp_Coding_Standards_v0.3.pdf</x:v>
      </x:c>
    </x:row>
    <x:row r="20">
      <x:c r="A20" s="27" t="str">
        <x:v>HIST-0016</x:v>
      </x:c>
      <x:c r="B20" s="27" t="str">
        <x:v>00_Official_Baseline</x:v>
      </x:c>
      <x:c r="C20" s="27" t="str">
        <x:v>v0.3</x:v>
      </x:c>
      <x:c r="D20" s="27" t="str"/>
      <x:c r="E20" s="36" t="str">
        <x:v>Cartridge_And_Cloud_Modelo_de_Datos_v0.3.pdf</x:v>
      </x:c>
      <x:c r="F20" s="36" t="str">
        <x:v>PDF</x:v>
      </x:c>
      <x:c r="G20" s="54" t="n">
        <x:v>201297</x:v>
      </x:c>
      <x:c r="H20" s="36" t="str">
        <x:v>7909e47fb733c5129b9d5ead2743b9d82e75bb4a592f931cfaa61a419a671380</x:v>
      </x:c>
      <x:c r="I20" s="36" t="n">
        <x:v>1</x:v>
      </x:c>
      <x:c r="J20" s="36" t="str">
        <x:v>Published historical baseline</x:v>
      </x:c>
      <x:c r="K20" s="36" t="str">
        <x:v>CONTEXT / PRESERVED</x:v>
      </x:c>
      <x:c r="L20" s="36" t="str"/>
      <x:c r="M20" s="36" t="str">
        <x:v>Retain read-only; current authority remains 00–34.</x:v>
      </x:c>
      <x:c r="N20" s="36" t="str">
        <x:v>Preserved context; not mined as normative authority.</x:v>
      </x:c>
      <x:c r="O20" s="36" t="str">
        <x:v>00_Official_Baseline/v0.3/02_Technical/Cartridge_And_Cloud_Modelo_de_Datos_v0.3.pdf</x:v>
      </x:c>
    </x:row>
    <x:row r="21">
      <x:c r="A21" s="27" t="str">
        <x:v>HIST-0017</x:v>
      </x:c>
      <x:c r="B21" s="27" t="str">
        <x:v>00_Official_Baseline</x:v>
      </x:c>
      <x:c r="C21" s="27" t="str">
        <x:v>v0.3</x:v>
      </x:c>
      <x:c r="D21" s="27" t="str"/>
      <x:c r="E21" s="36" t="str">
        <x:v>Cartridge_And_Cloud_TDD_v0.3_Technical_Design_Document.pdf</x:v>
      </x:c>
      <x:c r="F21" s="36" t="str">
        <x:v>PDF</x:v>
      </x:c>
      <x:c r="G21" s="54" t="n">
        <x:v>59929</x:v>
      </x:c>
      <x:c r="H21" s="36" t="str">
        <x:v>de5a87992375dbef16f3f4ea2013262c31f08b184d074e8b952b8a124a6b8afb</x:v>
      </x:c>
      <x:c r="I21" s="36" t="n">
        <x:v>1</x:v>
      </x:c>
      <x:c r="J21" s="36" t="str">
        <x:v>Published historical baseline</x:v>
      </x:c>
      <x:c r="K21" s="36" t="str">
        <x:v>CONTEXT / PRESERVED</x:v>
      </x:c>
      <x:c r="L21" s="36" t="str"/>
      <x:c r="M21" s="36" t="str">
        <x:v>Retain read-only; current authority remains 00–34.</x:v>
      </x:c>
      <x:c r="N21" s="36" t="str">
        <x:v>Preserved context; not mined as normative authority.</x:v>
      </x:c>
      <x:c r="O21" s="36" t="str">
        <x:v>00_Official_Baseline/v0.3/02_Technical/Cartridge_And_Cloud_TDD_v0.3_Technical_Design_Document.pdf</x:v>
      </x:c>
    </x:row>
    <x:row r="22">
      <x:c r="A22" s="27" t="str">
        <x:v>HIST-0018</x:v>
      </x:c>
      <x:c r="B22" s="27" t="str">
        <x:v>00_Official_Baseline</x:v>
      </x:c>
      <x:c r="C22" s="27" t="str">
        <x:v>v0.3</x:v>
      </x:c>
      <x:c r="D22" s="27" t="str"/>
      <x:c r="E22" s="36" t="str">
        <x:v>Cartridge_And_Cloud_Unity_Project_Setup_Guide_v0.3.pdf</x:v>
      </x:c>
      <x:c r="F22" s="36" t="str">
        <x:v>PDF</x:v>
      </x:c>
      <x:c r="G22" s="54" t="n">
        <x:v>28287</x:v>
      </x:c>
      <x:c r="H22" s="36" t="str">
        <x:v>c0725431f52d44b931bc58773ebd56fae72d00dca0ff456c41167a1a7705e537</x:v>
      </x:c>
      <x:c r="I22" s="36" t="n">
        <x:v>1</x:v>
      </x:c>
      <x:c r="J22" s="36" t="str">
        <x:v>Published historical baseline</x:v>
      </x:c>
      <x:c r="K22" s="36" t="str">
        <x:v>CONTEXT / PRESERVED</x:v>
      </x:c>
      <x:c r="L22" s="36" t="str"/>
      <x:c r="M22" s="36" t="str">
        <x:v>Retain read-only; current authority remains 00–34.</x:v>
      </x:c>
      <x:c r="N22" s="36" t="str">
        <x:v>Preserved context; not mined as normative authority.</x:v>
      </x:c>
      <x:c r="O22" s="36" t="str">
        <x:v>00_Official_Baseline/v0.3/02_Technical/Cartridge_And_Cloud_Unity_Project_Setup_Guide_v0.3.pdf</x:v>
      </x:c>
    </x:row>
    <x:row r="23">
      <x:c r="A23" s="27" t="str">
        <x:v>HIST-0019</x:v>
      </x:c>
      <x:c r="B23" s="27" t="str">
        <x:v>00_Official_Baseline</x:v>
      </x:c>
      <x:c r="C23" s="27" t="str">
        <x:v>v0.3</x:v>
      </x:c>
      <x:c r="D23" s="27" t="str"/>
      <x:c r="E23" s="36" t="str">
        <x:v>Cartridge_And_Cloud_Art_Bible_v0.3.pdf</x:v>
      </x:c>
      <x:c r="F23" s="36" t="str">
        <x:v>PDF</x:v>
      </x:c>
      <x:c r="G23" s="54" t="n">
        <x:v>48581</x:v>
      </x:c>
      <x:c r="H23" s="36" t="str">
        <x:v>12e33a6d179e22457d8f03c7c5cb48d597194b21989beae47ceb0c53ea079b47</x:v>
      </x:c>
      <x:c r="I23" s="36" t="n">
        <x:v>1</x:v>
      </x:c>
      <x:c r="J23" s="36" t="str">
        <x:v>Published historical baseline</x:v>
      </x:c>
      <x:c r="K23" s="36" t="str">
        <x:v>CONTEXT / PRESERVED</x:v>
      </x:c>
      <x:c r="L23" s="36" t="str"/>
      <x:c r="M23" s="36" t="str">
        <x:v>Retain read-only; current authority remains 00–34.</x:v>
      </x:c>
      <x:c r="N23" s="36" t="str">
        <x:v>Preserved context; not mined as normative authority.</x:v>
      </x:c>
      <x:c r="O23" s="36" t="str">
        <x:v>00_Official_Baseline/v0.3/03_Visual_Audio/Cartridge_And_Cloud_Art_Bible_v0.3.pdf</x:v>
      </x:c>
    </x:row>
    <x:row r="24">
      <x:c r="A24" s="27" t="str">
        <x:v>HIST-0020</x:v>
      </x:c>
      <x:c r="B24" s="27" t="str">
        <x:v>00_Official_Baseline</x:v>
      </x:c>
      <x:c r="C24" s="27" t="str">
        <x:v>v0.3</x:v>
      </x:c>
      <x:c r="D24" s="27" t="str"/>
      <x:c r="E24" s="36" t="str">
        <x:v>Cartridge_And_Cloud_Audio_Bible_v0.3.pdf</x:v>
      </x:c>
      <x:c r="F24" s="36" t="str">
        <x:v>PDF</x:v>
      </x:c>
      <x:c r="G24" s="54" t="n">
        <x:v>24871</x:v>
      </x:c>
      <x:c r="H24" s="36" t="str">
        <x:v>0932a2c018ffa74ea933999c973d56e378dde4cb73ca315bd9a95198c9742760</x:v>
      </x:c>
      <x:c r="I24" s="36" t="n">
        <x:v>1</x:v>
      </x:c>
      <x:c r="J24" s="36" t="str">
        <x:v>Published historical baseline</x:v>
      </x:c>
      <x:c r="K24" s="36" t="str">
        <x:v>CONTEXT / PRESERVED</x:v>
      </x:c>
      <x:c r="L24" s="36" t="str"/>
      <x:c r="M24" s="36" t="str">
        <x:v>Retain read-only; current authority remains 00–34.</x:v>
      </x:c>
      <x:c r="N24" s="36" t="str">
        <x:v>Preserved context; not mined as normative authority.</x:v>
      </x:c>
      <x:c r="O24" s="36" t="str">
        <x:v>00_Official_Baseline/v0.3/03_Visual_Audio/Cartridge_And_Cloud_Audio_Bible_v0.3.pdf</x:v>
      </x:c>
    </x:row>
    <x:row r="25">
      <x:c r="A25" s="27" t="str">
        <x:v>HIST-0021</x:v>
      </x:c>
      <x:c r="B25" s="27" t="str">
        <x:v>00_Official_Baseline</x:v>
      </x:c>
      <x:c r="C25" s="27" t="str">
        <x:v>v0.3</x:v>
      </x:c>
      <x:c r="D25" s="27" t="str"/>
      <x:c r="E25" s="36" t="str">
        <x:v>Cartridge_And_Cloud_UI_Style_Guide_v0.3.pdf</x:v>
      </x:c>
      <x:c r="F25" s="36" t="str">
        <x:v>PDF</x:v>
      </x:c>
      <x:c r="G25" s="54" t="n">
        <x:v>128476</x:v>
      </x:c>
      <x:c r="H25" s="36" t="str">
        <x:v>1af3dcb8429dc562aa2d696f74ef1c27cb4100f5050e5041d3cdb8e8ba609b1d</x:v>
      </x:c>
      <x:c r="I25" s="36" t="n">
        <x:v>1</x:v>
      </x:c>
      <x:c r="J25" s="36" t="str">
        <x:v>Published historical baseline</x:v>
      </x:c>
      <x:c r="K25" s="36" t="str">
        <x:v>CONTEXT / PRESERVED</x:v>
      </x:c>
      <x:c r="L25" s="36" t="str"/>
      <x:c r="M25" s="36" t="str">
        <x:v>Retain read-only; current authority remains 00–34.</x:v>
      </x:c>
      <x:c r="N25" s="36" t="str">
        <x:v>Preserved context; not mined as normative authority.</x:v>
      </x:c>
      <x:c r="O25" s="36" t="str">
        <x:v>00_Official_Baseline/v0.3/03_Visual_Audio/Cartridge_And_Cloud_UI_Style_Guide_v0.3.pdf</x:v>
      </x:c>
    </x:row>
    <x:row r="26">
      <x:c r="A26" s="27" t="str">
        <x:v>HIST-0022</x:v>
      </x:c>
      <x:c r="B26" s="27" t="str">
        <x:v>00_Official_Baseline</x:v>
      </x:c>
      <x:c r="C26" s="27" t="str">
        <x:v>v0.3</x:v>
      </x:c>
      <x:c r="D26" s="27" t="str"/>
      <x:c r="E26" s="36" t="str">
        <x:v>Cartridge_And_Cloud_Excel_Maestro_Produccion_v0.3.xlsx</x:v>
      </x:c>
      <x:c r="F26" s="36" t="str">
        <x:v>XLSX</x:v>
      </x:c>
      <x:c r="G26" s="54" t="n">
        <x:v>28877</x:v>
      </x:c>
      <x:c r="H26" s="36" t="str">
        <x:v>c33a49d4c392b679949daf895029e9eb769241084d49ce51acec79126b47379c</x:v>
      </x:c>
      <x:c r="I26" s="36" t="n">
        <x:v>1</x:v>
      </x:c>
      <x:c r="J26" s="36" t="str">
        <x:v>Published historical baseline</x:v>
      </x:c>
      <x:c r="K26" s="36" t="str">
        <x:v>CONTEXT / PRESERVED</x:v>
      </x:c>
      <x:c r="L26" s="36" t="str">
        <x:v>qa</x:v>
      </x:c>
      <x:c r="M26" s="36" t="str">
        <x:v>Retain read-only; current authority remains 00–34.</x:v>
      </x:c>
      <x:c r="N26" s="36" t="str">
        <x:v>Preserved context; not mined as normative authority.</x:v>
      </x:c>
      <x:c r="O26" s="36" t="str">
        <x:v>00_Official_Baseline/v0.3/04_QA_Production/Cartridge_And_Cloud_Excel_Maestro_Produccion_v0.3.xlsx</x:v>
      </x:c>
    </x:row>
    <x:row r="27">
      <x:c r="A27" s="27" t="str">
        <x:v>HIST-0023</x:v>
      </x:c>
      <x:c r="B27" s="27" t="str">
        <x:v>00_Official_Baseline</x:v>
      </x:c>
      <x:c r="C27" s="27" t="str">
        <x:v>v0.3</x:v>
      </x:c>
      <x:c r="D27" s="27" t="str"/>
      <x:c r="E27" s="36" t="str">
        <x:v>Cartridge_And_Cloud_Production_Roadmap_Sprint_Plan_v0.3.pdf</x:v>
      </x:c>
      <x:c r="F27" s="36" t="str">
        <x:v>PDF</x:v>
      </x:c>
      <x:c r="G27" s="54" t="n">
        <x:v>28949</x:v>
      </x:c>
      <x:c r="H27" s="36" t="str">
        <x:v>2b48b54738598dbaa9b461d7cad6f4a6a2f70bb8589df55e72424ec7c9e40e6e</x:v>
      </x:c>
      <x:c r="I27" s="36" t="n">
        <x:v>1</x:v>
      </x:c>
      <x:c r="J27" s="36" t="str">
        <x:v>Published historical baseline</x:v>
      </x:c>
      <x:c r="K27" s="36" t="str">
        <x:v>SUPPORTING</x:v>
      </x:c>
      <x:c r="L27" s="36" t="str">
        <x:v>qa, roadmap, sprint</x:v>
      </x:c>
      <x:c r="M27" s="36" t="str">
        <x:v>Retain read-only; current authority remains 00–34.</x:v>
      </x:c>
      <x:c r="N27" s="36" t="str">
        <x:v>33 risk/continuity context</x:v>
      </x:c>
      <x:c r="O27" s="36" t="str">
        <x:v>00_Official_Baseline/v0.3/04_QA_Production/Cartridge_And_Cloud_Production_Roadmap_Sprint_Plan_v0.3.pdf</x:v>
      </x:c>
    </x:row>
    <x:row r="28">
      <x:c r="A28" s="27" t="str">
        <x:v>HIST-0024</x:v>
      </x:c>
      <x:c r="B28" s="27" t="str">
        <x:v>00_Official_Baseline</x:v>
      </x:c>
      <x:c r="C28" s="27" t="str">
        <x:v>v0.3</x:v>
      </x:c>
      <x:c r="D28" s="27" t="str"/>
      <x:c r="E28" s="36" t="str">
        <x:v>Cartridge_And_Cloud_QA_Testing_Matrix_v0.3.xlsx</x:v>
      </x:c>
      <x:c r="F28" s="36" t="str">
        <x:v>XLSX</x:v>
      </x:c>
      <x:c r="G28" s="54" t="n">
        <x:v>21821</x:v>
      </x:c>
      <x:c r="H28" s="36" t="str">
        <x:v>f7d48e93b2ca3cc8e86b1dfc2164126d923af38ba0c76cb4dde566e6bc4da05d</x:v>
      </x:c>
      <x:c r="I28" s="36" t="n">
        <x:v>1</x:v>
      </x:c>
      <x:c r="J28" s="36" t="str">
        <x:v>Published historical baseline</x:v>
      </x:c>
      <x:c r="K28" s="36" t="str">
        <x:v>SUPPORTING</x:v>
      </x:c>
      <x:c r="L28" s="36" t="str">
        <x:v>qa, test</x:v>
      </x:c>
      <x:c r="M28" s="36" t="str">
        <x:v>Retain read-only; current authority remains 00–34.</x:v>
      </x:c>
      <x:c r="N28" s="36" t="str">
        <x:v>33 risk/continuity context</x:v>
      </x:c>
      <x:c r="O28" s="36" t="str">
        <x:v>00_Official_Baseline/v0.3/04_QA_Production/Cartridge_And_Cloud_QA_Testing_Matrix_v0.3.xlsx</x:v>
      </x:c>
    </x:row>
    <x:row r="29">
      <x:c r="A29" s="27" t="str">
        <x:v>HIST-0025</x:v>
      </x:c>
      <x:c r="B29" s="27" t="str">
        <x:v>00_Official_Baseline</x:v>
      </x:c>
      <x:c r="C29" s="27" t="str">
        <x:v>v0.3</x:v>
      </x:c>
      <x:c r="D29" s="27" t="str"/>
      <x:c r="E29" s="36" t="str">
        <x:v>Cartridge_And_Cloud_QA_Testing_Plan_v0.3.pdf</x:v>
      </x:c>
      <x:c r="F29" s="36" t="str">
        <x:v>PDF</x:v>
      </x:c>
      <x:c r="G29" s="54" t="n">
        <x:v>39300</x:v>
      </x:c>
      <x:c r="H29" s="36" t="str">
        <x:v>2d71d4dd720598429744bc6cf959162a8915301ad69171bc6816168e47f75709</x:v>
      </x:c>
      <x:c r="I29" s="36" t="n">
        <x:v>1</x:v>
      </x:c>
      <x:c r="J29" s="36" t="str">
        <x:v>Published historical baseline</x:v>
      </x:c>
      <x:c r="K29" s="36" t="str">
        <x:v>SUPPORTING</x:v>
      </x:c>
      <x:c r="L29" s="36" t="str">
        <x:v>qa, test</x:v>
      </x:c>
      <x:c r="M29" s="36" t="str">
        <x:v>Retain read-only; current authority remains 00–34.</x:v>
      </x:c>
      <x:c r="N29" s="36" t="str">
        <x:v>33 risk/continuity context</x:v>
      </x:c>
      <x:c r="O29" s="36" t="str">
        <x:v>00_Official_Baseline/v0.3/04_QA_Production/Cartridge_And_Cloud_QA_Testing_Plan_v0.3.pdf</x:v>
      </x:c>
    </x:row>
    <x:row r="30">
      <x:c r="A30" s="27" t="str">
        <x:v>HIST-0026</x:v>
      </x:c>
      <x:c r="B30" s="27" t="str">
        <x:v>00_Official_Baseline</x:v>
      </x:c>
      <x:c r="C30" s="27" t="str">
        <x:v>v0.3</x:v>
      </x:c>
      <x:c r="D30" s="27" t="str"/>
      <x:c r="E30" s="36" t="str">
        <x:v>Cartridge_And_Cloud_Trazabilidad_Control_Cambios_v0.3.xlsx</x:v>
      </x:c>
      <x:c r="F30" s="36" t="str">
        <x:v>XLSX</x:v>
      </x:c>
      <x:c r="G30" s="54" t="n">
        <x:v>12755</x:v>
      </x:c>
      <x:c r="H30" s="36" t="str">
        <x:v>cc7407a324fabe7e7b88fbc4b4209a2d8bc74f481b8c881715923a3ec104e2bd</x:v>
      </x:c>
      <x:c r="I30" s="36" t="n">
        <x:v>1</x:v>
      </x:c>
      <x:c r="J30" s="36" t="str">
        <x:v>Published historical baseline</x:v>
      </x:c>
      <x:c r="K30" s="36" t="str">
        <x:v>CONTEXT / PRESERVED</x:v>
      </x:c>
      <x:c r="L30" s="36" t="str">
        <x:v>qa</x:v>
      </x:c>
      <x:c r="M30" s="36" t="str">
        <x:v>Retain read-only; current authority remains 00–34.</x:v>
      </x:c>
      <x:c r="N30" s="36" t="str">
        <x:v>Preserved context; not mined as normative authority.</x:v>
      </x:c>
      <x:c r="O30" s="36" t="str">
        <x:v>00_Official_Baseline/v0.3/04_QA_Production/Cartridge_And_Cloud_Trazabilidad_Control_Cambios_v0.3.xlsx</x:v>
      </x:c>
    </x:row>
    <x:row r="31">
      <x:c r="A31" s="27" t="str">
        <x:v>HIST-0027</x:v>
      </x:c>
      <x:c r="B31" s="27" t="str">
        <x:v>00_Official_Baseline</x:v>
      </x:c>
      <x:c r="C31" s="27" t="str">
        <x:v>v0.3</x:v>
      </x:c>
      <x:c r="D31" s="27" t="str"/>
      <x:c r="E31" s="36" t="str">
        <x:v>Cartridge_And_Cloud_Legal_Credits_Licenses_Register_v0.3.pdf</x:v>
      </x:c>
      <x:c r="F31" s="36" t="str">
        <x:v>PDF</x:v>
      </x:c>
      <x:c r="G31" s="54" t="n">
        <x:v>22534</x:v>
      </x:c>
      <x:c r="H31" s="36" t="str">
        <x:v>e358622a237b57cdcd65fb380460d70eafa0ef1085b43bf5e8fb7dff3ee734f0</x:v>
      </x:c>
      <x:c r="I31" s="36" t="n">
        <x:v>1</x:v>
      </x:c>
      <x:c r="J31" s="36" t="str">
        <x:v>Published historical baseline</x:v>
      </x:c>
      <x:c r="K31" s="36" t="str">
        <x:v>SUPPORTING</x:v>
      </x:c>
      <x:c r="L31" s="36" t="str">
        <x:v>legal, license, release</x:v>
      </x:c>
      <x:c r="M31" s="36" t="str">
        <x:v>Retain read-only; current authority remains 00–34.</x:v>
      </x:c>
      <x:c r="N31" s="36" t="str">
        <x:v>33 risk/continuity context</x:v>
      </x:c>
      <x:c r="O31" s="36" t="str">
        <x:v>00_Official_Baseline/v0.3/05_Business_Release/Cartridge_And_Cloud_Legal_Credits_Licenses_Register_v0.3.pdf</x:v>
      </x:c>
    </x:row>
    <x:row r="32">
      <x:c r="A32" s="27" t="str">
        <x:v>HIST-0028</x:v>
      </x:c>
      <x:c r="B32" s="27" t="str">
        <x:v>00_Official_Baseline</x:v>
      </x:c>
      <x:c r="C32" s="27" t="str">
        <x:v>v0.3</x:v>
      </x:c>
      <x:c r="D32" s="27" t="str"/>
      <x:c r="E32" s="36" t="str">
        <x:v>Cartridge_And_Cloud_Localization_Plan_v0.3.pdf</x:v>
      </x:c>
      <x:c r="F32" s="36" t="str">
        <x:v>PDF</x:v>
      </x:c>
      <x:c r="G32" s="54" t="n">
        <x:v>27103</x:v>
      </x:c>
      <x:c r="H32" s="36" t="str">
        <x:v>461add7f8bf216439351ce4afe63b573de50e8bae3f9e270992917f616d82ad8</x:v>
      </x:c>
      <x:c r="I32" s="36" t="n">
        <x:v>1</x:v>
      </x:c>
      <x:c r="J32" s="36" t="str">
        <x:v>Published historical baseline</x:v>
      </x:c>
      <x:c r="K32" s="36" t="str">
        <x:v>CONTEXT / PRESERVED</x:v>
      </x:c>
      <x:c r="L32" s="36" t="str">
        <x:v>release</x:v>
      </x:c>
      <x:c r="M32" s="36" t="str">
        <x:v>Retain read-only; current authority remains 00–34.</x:v>
      </x:c>
      <x:c r="N32" s="36" t="str">
        <x:v>Preserved context; not mined as normative authority.</x:v>
      </x:c>
      <x:c r="O32" s="36" t="str">
        <x:v>00_Official_Baseline/v0.3/05_Business_Release/Cartridge_And_Cloud_Localization_Plan_v0.3.pdf</x:v>
      </x:c>
    </x:row>
    <x:row r="33">
      <x:c r="A33" s="27" t="str">
        <x:v>HIST-0029</x:v>
      </x:c>
      <x:c r="B33" s="27" t="str">
        <x:v>00_Official_Baseline</x:v>
      </x:c>
      <x:c r="C33" s="27" t="str">
        <x:v>v0.3</x:v>
      </x:c>
      <x:c r="D33" s="27" t="str"/>
      <x:c r="E33" s="36" t="str">
        <x:v>Cartridge_And_Cloud_Marketing_Plan_v0.3.pdf</x:v>
      </x:c>
      <x:c r="F33" s="36" t="str">
        <x:v>PDF</x:v>
      </x:c>
      <x:c r="G33" s="54" t="n">
        <x:v>33440</x:v>
      </x:c>
      <x:c r="H33" s="36" t="str">
        <x:v>60f88b8fa2619a7c11c116b756e3a10e860b95ca90b04a0a6aaa5863d117cd1c</x:v>
      </x:c>
      <x:c r="I33" s="36" t="n">
        <x:v>1</x:v>
      </x:c>
      <x:c r="J33" s="36" t="str">
        <x:v>Published historical baseline</x:v>
      </x:c>
      <x:c r="K33" s="36" t="str">
        <x:v>CONTEXT / PRESERVED</x:v>
      </x:c>
      <x:c r="L33" s="36" t="str">
        <x:v>release</x:v>
      </x:c>
      <x:c r="M33" s="36" t="str">
        <x:v>Retain read-only; current authority remains 00–34.</x:v>
      </x:c>
      <x:c r="N33" s="36" t="str">
        <x:v>Preserved context; not mined as normative authority.</x:v>
      </x:c>
      <x:c r="O33" s="36" t="str">
        <x:v>00_Official_Baseline/v0.3/05_Business_Release/Cartridge_And_Cloud_Marketing_Plan_v0.3.pdf</x:v>
      </x:c>
    </x:row>
    <x:row r="34">
      <x:c r="A34" s="27" t="str">
        <x:v>HIST-0030</x:v>
      </x:c>
      <x:c r="B34" s="27" t="str">
        <x:v>00_Official_Baseline</x:v>
      </x:c>
      <x:c r="C34" s="27" t="str">
        <x:v>v0.3</x:v>
      </x:c>
      <x:c r="D34" s="27" t="str"/>
      <x:c r="E34" s="36" t="str">
        <x:v>Cartridge_And_Cloud_Steam_Publishing_Plan_v0.3.pdf</x:v>
      </x:c>
      <x:c r="F34" s="36" t="str">
        <x:v>PDF</x:v>
      </x:c>
      <x:c r="G34" s="54" t="n">
        <x:v>23140</x:v>
      </x:c>
      <x:c r="H34" s="36" t="str">
        <x:v>10ff2852e8621c210bb578f63181382665ccbedeba3d62bfdce7eb4cb4e53472</x:v>
      </x:c>
      <x:c r="I34" s="36" t="n">
        <x:v>1</x:v>
      </x:c>
      <x:c r="J34" s="36" t="str">
        <x:v>Published historical baseline</x:v>
      </x:c>
      <x:c r="K34" s="36" t="str">
        <x:v>SUPPORTING</x:v>
      </x:c>
      <x:c r="L34" s="36" t="str">
        <x:v>release, steam</x:v>
      </x:c>
      <x:c r="M34" s="36" t="str">
        <x:v>Retain read-only; current authority remains 00–34.</x:v>
      </x:c>
      <x:c r="N34" s="36" t="str">
        <x:v>33 risk/continuity context</x:v>
      </x:c>
      <x:c r="O34" s="36" t="str">
        <x:v>00_Official_Baseline/v0.3/05_Business_Release/Cartridge_And_Cloud_Steam_Publishing_Plan_v0.3.pdf</x:v>
      </x:c>
    </x:row>
    <x:row r="35">
      <x:c r="A35" s="27" t="str">
        <x:v>HIST-0031</x:v>
      </x:c>
      <x:c r="B35" s="27" t="str">
        <x:v>00_Official_Baseline</x:v>
      </x:c>
      <x:c r="C35" s="27" t="str">
        <x:v>v0.3</x:v>
      </x:c>
      <x:c r="D35" s="27" t="str"/>
      <x:c r="E35" s="36" t="str">
        <x:v>00_Cartridge_And_Cloud_Guide_v0.3.md</x:v>
      </x:c>
      <x:c r="F35" s="36" t="str">
        <x:v>MD</x:v>
      </x:c>
      <x:c r="G35" s="54" t="n">
        <x:v>39503</x:v>
      </x:c>
      <x:c r="H35" s="36" t="str">
        <x:v>84c400f2ea145d0c56ee277c892d46b9261f405a59a830edca258f2b0905d858</x:v>
      </x:c>
      <x:c r="I35" s="36" t="n">
        <x:v>1</x:v>
      </x:c>
      <x:c r="J35" s="36" t="str">
        <x:v>Authoring source</x:v>
      </x:c>
      <x:c r="K35" s="36" t="str">
        <x:v>DIRECT</x:v>
      </x:c>
      <x:c r="L35" s="36" t="str">
        <x:v>adr, audit, build, continuidad, legal, qa, riesgo, roadmap, save, sprint, steam, test</x:v>
      </x:c>
      <x:c r="M35" s="36" t="str">
        <x:v>Retain read-only; current authority remains 00–34.</x:v>
      </x:c>
      <x:c r="N35" s="36" t="str">
        <x:v>33 risk/continuity context</x:v>
      </x:c>
      <x:c r="O35" s="36" t="str">
        <x:v>00_Official_Baseline/v0.3/99_Source_Markdown/00_Cartridge_And_Cloud_Guide_v0.3.md</x:v>
      </x:c>
    </x:row>
    <x:row r="36">
      <x:c r="A36" s="27" t="str">
        <x:v>HIST-0032</x:v>
      </x:c>
      <x:c r="B36" s="27" t="str">
        <x:v>00_Official_Baseline</x:v>
      </x:c>
      <x:c r="C36" s="27" t="str">
        <x:v>v0.3</x:v>
      </x:c>
      <x:c r="D36" s="27" t="str"/>
      <x:c r="E36" s="36" t="str">
        <x:v>Cartridge_And_Cloud_Art_Bible_v0.3.md</x:v>
      </x:c>
      <x:c r="F36" s="36" t="str">
        <x:v>MD</x:v>
      </x:c>
      <x:c r="G36" s="54" t="n">
        <x:v>13594</x:v>
      </x:c>
      <x:c r="H36" s="36" t="str">
        <x:v>de2f2c02aef523f9e01bee94c071c44903425c32f63eb0c6b8786ee792397bb3</x:v>
      </x:c>
      <x:c r="I36" s="36" t="n">
        <x:v>1</x:v>
      </x:c>
      <x:c r="J36" s="36" t="str">
        <x:v>Authoring source</x:v>
      </x:c>
      <x:c r="K36" s="36" t="str">
        <x:v>DIRECT</x:v>
      </x:c>
      <x:c r="L36" s="36" t="str">
        <x:v>adr, build, legal, qa, sprint, steam</x:v>
      </x:c>
      <x:c r="M36" s="36" t="str">
        <x:v>Retain read-only; current authority remains 00–34.</x:v>
      </x:c>
      <x:c r="N36" s="36" t="str">
        <x:v>33 risk/continuity context</x:v>
      </x:c>
      <x:c r="O36" s="36" t="str">
        <x:v>00_Official_Baseline/v0.3/99_Source_Markdown/Cartridge_And_Cloud_Art_Bible_v0.3.md</x:v>
      </x:c>
    </x:row>
    <x:row r="37">
      <x:c r="A37" s="27" t="str">
        <x:v>HIST-0033</x:v>
      </x:c>
      <x:c r="B37" s="27" t="str">
        <x:v>00_Official_Baseline</x:v>
      </x:c>
      <x:c r="C37" s="27" t="str">
        <x:v>v0.3</x:v>
      </x:c>
      <x:c r="D37" s="27" t="str"/>
      <x:c r="E37" s="36" t="str">
        <x:v>Cartridge_And_Cloud_Audio_Bible_v0.3.md</x:v>
      </x:c>
      <x:c r="F37" s="36" t="str">
        <x:v>MD</x:v>
      </x:c>
      <x:c r="G37" s="54" t="n">
        <x:v>3927</x:v>
      </x:c>
      <x:c r="H37" s="36" t="str">
        <x:v>8530be74a5a22c33b4000ae322d90249eeb7a4567ec123a402c7b5c76a7023c9</x:v>
      </x:c>
      <x:c r="I37" s="36" t="n">
        <x:v>1</x:v>
      </x:c>
      <x:c r="J37" s="36" t="str">
        <x:v>Authoring source</x:v>
      </x:c>
      <x:c r="K37" s="36" t="str">
        <x:v>SUPPORTING</x:v>
      </x:c>
      <x:c r="L37" s="36" t="str">
        <x:v>build, qa, sprint, steam</x:v>
      </x:c>
      <x:c r="M37" s="36" t="str">
        <x:v>Retain read-only; current authority remains 00–34.</x:v>
      </x:c>
      <x:c r="N37" s="36" t="str">
        <x:v>33 risk/continuity context</x:v>
      </x:c>
      <x:c r="O37" s="36" t="str">
        <x:v>00_Official_Baseline/v0.3/99_Source_Markdown/Cartridge_And_Cloud_Audio_Bible_v0.3.md</x:v>
      </x:c>
    </x:row>
    <x:row r="38">
      <x:c r="A38" s="27" t="str">
        <x:v>HIST-0034</x:v>
      </x:c>
      <x:c r="B38" s="27" t="str">
        <x:v>00_Official_Baseline</x:v>
      </x:c>
      <x:c r="C38" s="27" t="str">
        <x:v>v0.3</x:v>
      </x:c>
      <x:c r="D38" s="27" t="str"/>
      <x:c r="E38" s="36" t="str">
        <x:v>Cartridge_And_Cloud_Build_Versioning_Guide_v0.3.md</x:v>
      </x:c>
      <x:c r="F38" s="36" t="str">
        <x:v>MD</x:v>
      </x:c>
      <x:c r="G38" s="54" t="n">
        <x:v>3678</x:v>
      </x:c>
      <x:c r="H38" s="36" t="str">
        <x:v>fcc0988f428b45303c4cc2f5a681cbed9970475667bb6a37fa97a36529dc3705</x:v>
      </x:c>
      <x:c r="I38" s="36" t="n">
        <x:v>1</x:v>
      </x:c>
      <x:c r="J38" s="36" t="str">
        <x:v>Authoring source</x:v>
      </x:c>
      <x:c r="K38" s="36" t="str">
        <x:v>DIRECT</x:v>
      </x:c>
      <x:c r="L38" s="36" t="str">
        <x:v>build, qa, release, save, sprint, steam, test</x:v>
      </x:c>
      <x:c r="M38" s="36" t="str">
        <x:v>Retain read-only; current authority remains 00–34.</x:v>
      </x:c>
      <x:c r="N38" s="36" t="str">
        <x:v>33 risk/continuity context</x:v>
      </x:c>
      <x:c r="O38" s="36" t="str">
        <x:v>00_Official_Baseline/v0.3/99_Source_Markdown/Cartridge_And_Cloud_Build_Versioning_Guide_v0.3.md</x:v>
      </x:c>
    </x:row>
    <x:row r="39">
      <x:c r="A39" s="27" t="str">
        <x:v>HIST-0035</x:v>
      </x:c>
      <x:c r="B39" s="27" t="str">
        <x:v>00_Official_Baseline</x:v>
      </x:c>
      <x:c r="C39" s="27" t="str">
        <x:v>v0.3</x:v>
      </x:c>
      <x:c r="D39" s="27" t="str"/>
      <x:c r="E39" s="36" t="str">
        <x:v>Cartridge_And_Cloud_CSharp_Coding_Standards_v0.3.md</x:v>
      </x:c>
      <x:c r="F39" s="36" t="str">
        <x:v>MD</x:v>
      </x:c>
      <x:c r="G39" s="54" t="n">
        <x:v>4466</x:v>
      </x:c>
      <x:c r="H39" s="36" t="str">
        <x:v>2a948ae7f681636e28761e91da7828ecbe44c15e5e0b02efa2cb8e0a6873278f</x:v>
      </x:c>
      <x:c r="I39" s="36" t="n">
        <x:v>1</x:v>
      </x:c>
      <x:c r="J39" s="36" t="str">
        <x:v>Authoring source</x:v>
      </x:c>
      <x:c r="K39" s="36" t="str">
        <x:v>DIRECT</x:v>
      </x:c>
      <x:c r="L39" s="36" t="str">
        <x:v>build, dependencia, qa, save, sprint, steam, test</x:v>
      </x:c>
      <x:c r="M39" s="36" t="str">
        <x:v>Retain read-only; current authority remains 00–34.</x:v>
      </x:c>
      <x:c r="N39" s="36" t="str">
        <x:v>33 risk/continuity context</x:v>
      </x:c>
      <x:c r="O39" s="36" t="str">
        <x:v>00_Official_Baseline/v0.3/99_Source_Markdown/Cartridge_And_Cloud_CSharp_Coding_Standards_v0.3.md</x:v>
      </x:c>
    </x:row>
    <x:row r="40">
      <x:c r="A40" s="27" t="str">
        <x:v>HIST-0036</x:v>
      </x:c>
      <x:c r="B40" s="27" t="str">
        <x:v>00_Official_Baseline</x:v>
      </x:c>
      <x:c r="C40" s="27" t="str">
        <x:v>v0.3</x:v>
      </x:c>
      <x:c r="D40" s="27" t="str"/>
      <x:c r="E40" s="36" t="str">
        <x:v>Cartridge_And_Cloud_Document_Migration_Plan_v0.1.md</x:v>
      </x:c>
      <x:c r="F40" s="36" t="str">
        <x:v>MD</x:v>
      </x:c>
      <x:c r="G40" s="54" t="n">
        <x:v>3639</x:v>
      </x:c>
      <x:c r="H40" s="36" t="str">
        <x:v>1ffeaf8d2c86d41ed3fba6e0d718639362a520cd285f3351113861ab4a1d7b6a</x:v>
      </x:c>
      <x:c r="I40" s="36" t="n">
        <x:v>1</x:v>
      </x:c>
      <x:c r="J40" s="36" t="str">
        <x:v>Authoring source</x:v>
      </x:c>
      <x:c r="K40" s="36" t="str">
        <x:v>DIRECT</x:v>
      </x:c>
      <x:c r="L40" s="36" t="str">
        <x:v>build, legal, qa, roadmap, sprint, steam</x:v>
      </x:c>
      <x:c r="M40" s="36" t="str">
        <x:v>Retain read-only; current authority remains 00–34.</x:v>
      </x:c>
      <x:c r="N40" s="36" t="str">
        <x:v>33 risk/continuity context</x:v>
      </x:c>
      <x:c r="O40" s="36" t="str">
        <x:v>00_Official_Baseline/v0.3/99_Source_Markdown/Cartridge_And_Cloud_Document_Migration_Plan_v0.1.md</x:v>
      </x:c>
    </x:row>
    <x:row r="41">
      <x:c r="A41" s="27" t="str">
        <x:v>HIST-0037</x:v>
      </x:c>
      <x:c r="B41" s="27" t="str">
        <x:v>00_Official_Baseline</x:v>
      </x:c>
      <x:c r="C41" s="27" t="str">
        <x:v>v0.3</x:v>
      </x:c>
      <x:c r="D41" s="27" t="str"/>
      <x:c r="E41" s="36" t="str">
        <x:v>Cartridge_And_Cloud_Documentation_Validation_Report_v0.1.md</x:v>
      </x:c>
      <x:c r="F41" s="36" t="str">
        <x:v>MD</x:v>
      </x:c>
      <x:c r="G41" s="54" t="n">
        <x:v>7445</x:v>
      </x:c>
      <x:c r="H41" s="36" t="str">
        <x:v>d0b43ff719168cf7c2e4375cd828d9d86f0884cb1c8dcdde12a3250babe7934e</x:v>
      </x:c>
      <x:c r="I41" s="36" t="n">
        <x:v>1</x:v>
      </x:c>
      <x:c r="J41" s="36" t="str">
        <x:v>Authoring source</x:v>
      </x:c>
      <x:c r="K41" s="36" t="str">
        <x:v>DIRECT</x:v>
      </x:c>
      <x:c r="L41" s="36" t="str">
        <x:v>adr, audit, build, dependencia, legal, qa, riesgo, roadmap, sprint, steam, test, validation</x:v>
      </x:c>
      <x:c r="M41" s="36" t="str">
        <x:v>Retain read-only; current authority remains 00–34.</x:v>
      </x:c>
      <x:c r="N41" s="36" t="str">
        <x:v>33 risk/continuity context</x:v>
      </x:c>
      <x:c r="O41" s="36" t="str">
        <x:v>00_Official_Baseline/v0.3/99_Source_Markdown/Cartridge_And_Cloud_Documentation_Validation_Report_v0.1.md</x:v>
      </x:c>
    </x:row>
    <x:row r="42">
      <x:c r="A42" s="27" t="str">
        <x:v>HIST-0038</x:v>
      </x:c>
      <x:c r="B42" s="27" t="str">
        <x:v>00_Official_Baseline</x:v>
      </x:c>
      <x:c r="C42" s="27" t="str">
        <x:v>v0.3</x:v>
      </x:c>
      <x:c r="D42" s="27" t="str"/>
      <x:c r="E42" s="36" t="str">
        <x:v>Cartridge_And_Cloud_Economy_Balance_Specification_v0.1.md</x:v>
      </x:c>
      <x:c r="F42" s="36" t="str">
        <x:v>MD</x:v>
      </x:c>
      <x:c r="G42" s="54" t="n">
        <x:v>30444</x:v>
      </x:c>
      <x:c r="H42" s="36" t="str">
        <x:v>a79f65cb5d960ff1e8fa6c83b8369b295547600f2f058163078f07a3b892c9e4</x:v>
      </x:c>
      <x:c r="I42" s="36" t="n">
        <x:v>1</x:v>
      </x:c>
      <x:c r="J42" s="36" t="str">
        <x:v>Authoring source</x:v>
      </x:c>
      <x:c r="K42" s="36" t="str">
        <x:v>DIRECT</x:v>
      </x:c>
      <x:c r="L42" s="36" t="str">
        <x:v>build, qa, riesgo, save, seguridad, sprint, steam</x:v>
      </x:c>
      <x:c r="M42" s="36" t="str">
        <x:v>Retain read-only; current authority remains 00–34.</x:v>
      </x:c>
      <x:c r="N42" s="36" t="str">
        <x:v>33 risk/continuity context</x:v>
      </x:c>
      <x:c r="O42" s="36" t="str">
        <x:v>00_Official_Baseline/v0.3/99_Source_Markdown/Cartridge_And_Cloud_Economy_Balance_Specification_v0.1.md</x:v>
      </x:c>
    </x:row>
    <x:row r="43">
      <x:c r="A43" s="27" t="str">
        <x:v>HIST-0039</x:v>
      </x:c>
      <x:c r="B43" s="27" t="str">
        <x:v>00_Official_Baseline</x:v>
      </x:c>
      <x:c r="C43" s="27" t="str">
        <x:v>v0.3</x:v>
      </x:c>
      <x:c r="D43" s="27" t="str"/>
      <x:c r="E43" s="36" t="str">
        <x:v>Cartridge_And_Cloud_Enfoque_v0.6_PDF_Source.md</x:v>
      </x:c>
      <x:c r="F43" s="36" t="str">
        <x:v>MD</x:v>
      </x:c>
      <x:c r="G43" s="54" t="n">
        <x:v>124327</x:v>
      </x:c>
      <x:c r="H43" s="36" t="str">
        <x:v>50f9151e64949a4255514d419c4f75524ddcecc4b1337c293db7d269f3aec052</x:v>
      </x:c>
      <x:c r="I43" s="36" t="n">
        <x:v>1</x:v>
      </x:c>
      <x:c r="J43" s="36" t="str">
        <x:v>Authoring source</x:v>
      </x:c>
      <x:c r="K43" s="36" t="str">
        <x:v>DIRECT</x:v>
      </x:c>
      <x:c r="L43" s="36" t="str">
        <x:v>adr, audit, backup, build, continuidad, dependencia, incident, legal, qa, release, riesgo, roadmap, save, seguridad, sprint, steam, test, validation</x:v>
      </x:c>
      <x:c r="M43" s="36" t="str">
        <x:v>Retain read-only; current authority remains 00–34.</x:v>
      </x:c>
      <x:c r="N43" s="36" t="str">
        <x:v>33 risk/continuity context</x:v>
      </x:c>
      <x:c r="O43" s="36" t="str">
        <x:v>00_Official_Baseline/v0.3/99_Source_Markdown/Cartridge_And_Cloud_Enfoque_v0.6_PDF_Source.md</x:v>
      </x:c>
    </x:row>
    <x:row r="44">
      <x:c r="A44" s="27" t="str">
        <x:v>HIST-0040</x:v>
      </x:c>
      <x:c r="B44" s="27" t="str">
        <x:v>00_Official_Baseline</x:v>
      </x:c>
      <x:c r="C44" s="27" t="str">
        <x:v>v0.3</x:v>
      </x:c>
      <x:c r="D44" s="27" t="str"/>
      <x:c r="E44" s="36" t="str">
        <x:v>Cartridge_And_Cloud_GDD_v0.4_PCSteam.md</x:v>
      </x:c>
      <x:c r="F44" s="36" t="str">
        <x:v>MD</x:v>
      </x:c>
      <x:c r="G44" s="54" t="n">
        <x:v>114534</x:v>
      </x:c>
      <x:c r="H44" s="36" t="str">
        <x:v>8939cf748467b18cee2e351b5eac309fe108b7fe02cd6da59a96230e9dd125fe</x:v>
      </x:c>
      <x:c r="I44" s="36" t="n">
        <x:v>1</x:v>
      </x:c>
      <x:c r="J44" s="36" t="str">
        <x:v>Authoring source</x:v>
      </x:c>
      <x:c r="K44" s="36" t="str">
        <x:v>DIRECT</x:v>
      </x:c>
      <x:c r="L44" s="36" t="str">
        <x:v>adr, audit, backup, build, continuidad, dependencia, incident, legal, qa, release, riesgo, roadmap, save, seguridad, sprint, steam, test, validation</x:v>
      </x:c>
      <x:c r="M44" s="36" t="str">
        <x:v>Retain read-only; current authority remains 00–34.</x:v>
      </x:c>
      <x:c r="N44" s="36" t="str">
        <x:v>33 risk/continuity context</x:v>
      </x:c>
      <x:c r="O44" s="36" t="str">
        <x:v>00_Official_Baseline/v0.3/99_Source_Markdown/Cartridge_And_Cloud_GDD_v0.4_PCSteam.md</x:v>
      </x:c>
    </x:row>
    <x:row r="45">
      <x:c r="A45" s="27" t="str">
        <x:v>HIST-0041</x:v>
      </x:c>
      <x:c r="B45" s="27" t="str">
        <x:v>00_Official_Baseline</x:v>
      </x:c>
      <x:c r="C45" s="27" t="str">
        <x:v>v0.3</x:v>
      </x:c>
      <x:c r="D45" s="27" t="str"/>
      <x:c r="E45" s="36" t="str">
        <x:v>Cartridge_And_Cloud_Initial_Content_Catalog_v0.1.md</x:v>
      </x:c>
      <x:c r="F45" s="36" t="str">
        <x:v>MD</x:v>
      </x:c>
      <x:c r="G45" s="54" t="n">
        <x:v>23013</x:v>
      </x:c>
      <x:c r="H45" s="36" t="str">
        <x:v>5b416cba7975a0ee42762eabb9ea236c30a19091fb3d3031285ac67ab0a83dcb</x:v>
      </x:c>
      <x:c r="I45" s="36" t="n">
        <x:v>1</x:v>
      </x:c>
      <x:c r="J45" s="36" t="str">
        <x:v>Authoring source</x:v>
      </x:c>
      <x:c r="K45" s="36" t="str">
        <x:v>DIRECT</x:v>
      </x:c>
      <x:c r="L45" s="36" t="str">
        <x:v>build, qa, riesgo, seguridad, sprint, steam</x:v>
      </x:c>
      <x:c r="M45" s="36" t="str">
        <x:v>Retain read-only; current authority remains 00–34.</x:v>
      </x:c>
      <x:c r="N45" s="36" t="str">
        <x:v>33 risk/continuity context</x:v>
      </x:c>
      <x:c r="O45" s="36" t="str">
        <x:v>00_Official_Baseline/v0.3/99_Source_Markdown/Cartridge_And_Cloud_Initial_Content_Catalog_v0.1.md</x:v>
      </x:c>
    </x:row>
    <x:row r="46">
      <x:c r="A46" s="27" t="str">
        <x:v>HIST-0042</x:v>
      </x:c>
      <x:c r="B46" s="27" t="str">
        <x:v>00_Official_Baseline</x:v>
      </x:c>
      <x:c r="C46" s="27" t="str">
        <x:v>v0.3</x:v>
      </x:c>
      <x:c r="D46" s="27" t="str"/>
      <x:c r="E46" s="36" t="str">
        <x:v>Cartridge_And_Cloud_Legal_Credits_Licenses_Register_v0.3.md</x:v>
      </x:c>
      <x:c r="F46" s="36" t="str">
        <x:v>MD</x:v>
      </x:c>
      <x:c r="G46" s="54" t="n">
        <x:v>3972</x:v>
      </x:c>
      <x:c r="H46" s="36" t="str">
        <x:v>ffc5bc6af65b27ede021acfdef2dbc5f20f680560e0be1a872586ab146a2f101</x:v>
      </x:c>
      <x:c r="I46" s="36" t="n">
        <x:v>1</x:v>
      </x:c>
      <x:c r="J46" s="36" t="str">
        <x:v>Authoring source</x:v>
      </x:c>
      <x:c r="K46" s="36" t="str">
        <x:v>DIRECT</x:v>
      </x:c>
      <x:c r="L46" s="36" t="str">
        <x:v>build, legal, license, qa, riesgo, seguridad, sprint, steam, test</x:v>
      </x:c>
      <x:c r="M46" s="36" t="str">
        <x:v>Retain read-only; current authority remains 00–34.</x:v>
      </x:c>
      <x:c r="N46" s="36" t="str">
        <x:v>33 risk/continuity context</x:v>
      </x:c>
      <x:c r="O46" s="36" t="str">
        <x:v>00_Official_Baseline/v0.3/99_Source_Markdown/Cartridge_And_Cloud_Legal_Credits_Licenses_Register_v0.3.md</x:v>
      </x:c>
    </x:row>
    <x:row r="47">
      <x:c r="A47" s="27" t="str">
        <x:v>HIST-0043</x:v>
      </x:c>
      <x:c r="B47" s="27" t="str">
        <x:v>00_Official_Baseline</x:v>
      </x:c>
      <x:c r="C47" s="27" t="str">
        <x:v>v0.3</x:v>
      </x:c>
      <x:c r="D47" s="27" t="str"/>
      <x:c r="E47" s="36" t="str">
        <x:v>Cartridge_And_Cloud_Localization_Plan_v0.3.md</x:v>
      </x:c>
      <x:c r="F47" s="36" t="str">
        <x:v>MD</x:v>
      </x:c>
      <x:c r="G47" s="54" t="n">
        <x:v>3806</x:v>
      </x:c>
      <x:c r="H47" s="36" t="str">
        <x:v>f48dcd0d33e717b3e65734a9f87677d3b72edb9e67b54ff630720ecc46686349</x:v>
      </x:c>
      <x:c r="I47" s="36" t="n">
        <x:v>1</x:v>
      </x:c>
      <x:c r="J47" s="36" t="str">
        <x:v>Authoring source</x:v>
      </x:c>
      <x:c r="K47" s="36" t="str">
        <x:v>DIRECT</x:v>
      </x:c>
      <x:c r="L47" s="36" t="str">
        <x:v>build, qa, save, sprint, steam</x:v>
      </x:c>
      <x:c r="M47" s="36" t="str">
        <x:v>Retain read-only; current authority remains 00–34.</x:v>
      </x:c>
      <x:c r="N47" s="36" t="str">
        <x:v>33 risk/continuity context</x:v>
      </x:c>
      <x:c r="O47" s="36" t="str">
        <x:v>00_Official_Baseline/v0.3/99_Source_Markdown/Cartridge_And_Cloud_Localization_Plan_v0.3.md</x:v>
      </x:c>
    </x:row>
    <x:row r="48">
      <x:c r="A48" s="27" t="str">
        <x:v>HIST-0044</x:v>
      </x:c>
      <x:c r="B48" s="27" t="str">
        <x:v>00_Official_Baseline</x:v>
      </x:c>
      <x:c r="C48" s="27" t="str">
        <x:v>v0.3</x:v>
      </x:c>
      <x:c r="D48" s="27" t="str"/>
      <x:c r="E48" s="36" t="str">
        <x:v>Cartridge_And_Cloud_Marketing_Plan_v0.3.md</x:v>
      </x:c>
      <x:c r="F48" s="36" t="str">
        <x:v>MD</x:v>
      </x:c>
      <x:c r="G48" s="54" t="n">
        <x:v>8241</x:v>
      </x:c>
      <x:c r="H48" s="36" t="str">
        <x:v>1900805edf3fd6d0acd18cc95125905eae608adbf46cde0098cb49e82fb25fca</x:v>
      </x:c>
      <x:c r="I48" s="36" t="n">
        <x:v>1</x:v>
      </x:c>
      <x:c r="J48" s="36" t="str">
        <x:v>Authoring source</x:v>
      </x:c>
      <x:c r="K48" s="36" t="str">
        <x:v>DIRECT</x:v>
      </x:c>
      <x:c r="L48" s="36" t="str">
        <x:v>build, legal, qa, riesgo, roadmap, save, sprint, steam, test</x:v>
      </x:c>
      <x:c r="M48" s="36" t="str">
        <x:v>Retain read-only; current authority remains 00–34.</x:v>
      </x:c>
      <x:c r="N48" s="36" t="str">
        <x:v>33 risk/continuity context</x:v>
      </x:c>
      <x:c r="O48" s="36" t="str">
        <x:v>00_Official_Baseline/v0.3/99_Source_Markdown/Cartridge_And_Cloud_Marketing_Plan_v0.3.md</x:v>
      </x:c>
    </x:row>
    <x:row r="49">
      <x:c r="A49" s="27" t="str">
        <x:v>HIST-0045</x:v>
      </x:c>
      <x:c r="B49" s="27" t="str">
        <x:v>00_Official_Baseline</x:v>
      </x:c>
      <x:c r="C49" s="27" t="str">
        <x:v>v0.3</x:v>
      </x:c>
      <x:c r="D49" s="27" t="str"/>
      <x:c r="E49" s="36" t="str">
        <x:v>Cartridge_And_Cloud_Modelo_de_Datos_v0.3.md</x:v>
      </x:c>
      <x:c r="F49" s="36" t="str">
        <x:v>MD</x:v>
      </x:c>
      <x:c r="G49" s="54" t="n">
        <x:v>71576</x:v>
      </x:c>
      <x:c r="H49" s="36" t="str">
        <x:v>6d3fd4346cf55ecdf33d5aae3e1c1f267936e594d8902d3c51f3edb76003a46b</x:v>
      </x:c>
      <x:c r="I49" s="36" t="n">
        <x:v>1</x:v>
      </x:c>
      <x:c r="J49" s="36" t="str">
        <x:v>Authoring source</x:v>
      </x:c>
      <x:c r="K49" s="36" t="str">
        <x:v>DIRECT</x:v>
      </x:c>
      <x:c r="L49" s="36" t="str">
        <x:v>audit, backup, build, dependencia, dependency, incident, license, qa, release, riesgo, save, seguridad, sprint, steam, test, validation</x:v>
      </x:c>
      <x:c r="M49" s="36" t="str">
        <x:v>Retain read-only; current authority remains 00–34.</x:v>
      </x:c>
      <x:c r="N49" s="36" t="str">
        <x:v>33 risk/continuity context</x:v>
      </x:c>
      <x:c r="O49" s="36" t="str">
        <x:v>00_Official_Baseline/v0.3/99_Source_Markdown/Cartridge_And_Cloud_Modelo_de_Datos_v0.3.md</x:v>
      </x:c>
    </x:row>
    <x:row r="50">
      <x:c r="A50" s="27" t="str">
        <x:v>HIST-0046</x:v>
      </x:c>
      <x:c r="B50" s="27" t="str">
        <x:v>00_Official_Baseline</x:v>
      </x:c>
      <x:c r="C50" s="27" t="str">
        <x:v>v0.3</x:v>
      </x:c>
      <x:c r="D50" s="27" t="str"/>
      <x:c r="E50" s="36" t="str">
        <x:v>Cartridge_And_Cloud_Package_Manifest_v0.1.md</x:v>
      </x:c>
      <x:c r="F50" s="36" t="str">
        <x:v>MD</x:v>
      </x:c>
      <x:c r="G50" s="54" t="n">
        <x:v>6551</x:v>
      </x:c>
      <x:c r="H50" s="36" t="str">
        <x:v>58b7f326720277d2b490784a8091cff34f3182ac4fff57796e70d7817d9a4bc1</x:v>
      </x:c>
      <x:c r="I50" s="36" t="n">
        <x:v>1</x:v>
      </x:c>
      <x:c r="J50" s="36" t="str">
        <x:v>Authoring source</x:v>
      </x:c>
      <x:c r="K50" s="36" t="str">
        <x:v>DIRECT</x:v>
      </x:c>
      <x:c r="L50" s="36" t="str">
        <x:v>build, checksum, legal, license, manifest, qa, release, riesgo, roadmap, sprint, steam, test, validation</x:v>
      </x:c>
      <x:c r="M50" s="36" t="str">
        <x:v>Retain read-only; current authority remains 00–34.</x:v>
      </x:c>
      <x:c r="N50" s="36" t="str">
        <x:v>33 risk/continuity context</x:v>
      </x:c>
      <x:c r="O50" s="36" t="str">
        <x:v>00_Official_Baseline/v0.3/99_Source_Markdown/Cartridge_And_Cloud_Package_Manifest_v0.1.md</x:v>
      </x:c>
    </x:row>
    <x:row r="51">
      <x:c r="A51" s="27" t="str">
        <x:v>HIST-0047</x:v>
      </x:c>
      <x:c r="B51" s="27" t="str">
        <x:v>00_Official_Baseline</x:v>
      </x:c>
      <x:c r="C51" s="27" t="str">
        <x:v>v0.3</x:v>
      </x:c>
      <x:c r="D51" s="27" t="str"/>
      <x:c r="E51" s="36" t="str">
        <x:v>Cartridge_And_Cloud_Production_Roadmap_Sprint_Plan_v0.3.md</x:v>
      </x:c>
      <x:c r="F51" s="36" t="str">
        <x:v>MD</x:v>
      </x:c>
      <x:c r="G51" s="54" t="n">
        <x:v>5738</x:v>
      </x:c>
      <x:c r="H51" s="36" t="str">
        <x:v>93b345037c1356c7e176a7377bd66a168aa356366aa3c4e16062b09fcb46ee60</x:v>
      </x:c>
      <x:c r="I51" s="36" t="n">
        <x:v>1</x:v>
      </x:c>
      <x:c r="J51" s="36" t="str">
        <x:v>Authoring source</x:v>
      </x:c>
      <x:c r="K51" s="36" t="str">
        <x:v>DIRECT</x:v>
      </x:c>
      <x:c r="L51" s="36" t="str">
        <x:v>acceptance, backup, build, closure, dependencia, qa, riesgo, roadmap, save, sprint, steam, test, validation</x:v>
      </x:c>
      <x:c r="M51" s="36" t="str">
        <x:v>Retain read-only; current authority remains 00–34.</x:v>
      </x:c>
      <x:c r="N51" s="36" t="str">
        <x:v>33 risk/continuity context</x:v>
      </x:c>
      <x:c r="O51" s="36" t="str">
        <x:v>00_Official_Baseline/v0.3/99_Source_Markdown/Cartridge_And_Cloud_Production_Roadmap_Sprint_Plan_v0.3.md</x:v>
      </x:c>
    </x:row>
    <x:row r="52">
      <x:c r="A52" s="27" t="str">
        <x:v>HIST-0048</x:v>
      </x:c>
      <x:c r="B52" s="27" t="str">
        <x:v>00_Official_Baseline</x:v>
      </x:c>
      <x:c r="C52" s="27" t="str">
        <x:v>v0.3</x:v>
      </x:c>
      <x:c r="D52" s="27" t="str"/>
      <x:c r="E52" s="36" t="str">
        <x:v>Cartridge_And_Cloud_Project_Binder_Indice_Maestro_v0.3.md</x:v>
      </x:c>
      <x:c r="F52" s="36" t="str">
        <x:v>MD</x:v>
      </x:c>
      <x:c r="G52" s="54" t="n">
        <x:v>4609</x:v>
      </x:c>
      <x:c r="H52" s="36" t="str">
        <x:v>77ee49ee91e1f527ddd567115d08b5b3c529712cada20c25e4e82510108e0c2d</x:v>
      </x:c>
      <x:c r="I52" s="36" t="n">
        <x:v>1</x:v>
      </x:c>
      <x:c r="J52" s="36" t="str">
        <x:v>Authoring source</x:v>
      </x:c>
      <x:c r="K52" s="36" t="str">
        <x:v>DIRECT</x:v>
      </x:c>
      <x:c r="L52" s="36" t="str">
        <x:v>build, dependencia, legal, manifest, qa, release, riesgo, roadmap, sprint, steam, test, validation</x:v>
      </x:c>
      <x:c r="M52" s="36" t="str">
        <x:v>Retain read-only; current authority remains 00–34.</x:v>
      </x:c>
      <x:c r="N52" s="36" t="str">
        <x:v>33 risk/continuity context</x:v>
      </x:c>
      <x:c r="O52" s="36" t="str">
        <x:v>00_Official_Baseline/v0.3/99_Source_Markdown/Cartridge_And_Cloud_Project_Binder_Indice_Maestro_v0.3.md</x:v>
      </x:c>
    </x:row>
    <x:row r="53">
      <x:c r="A53" s="27" t="str">
        <x:v>HIST-0049</x:v>
      </x:c>
      <x:c r="B53" s="27" t="str">
        <x:v>00_Official_Baseline</x:v>
      </x:c>
      <x:c r="C53" s="27" t="str">
        <x:v>v0.3</x:v>
      </x:c>
      <x:c r="D53" s="27" t="str"/>
      <x:c r="E53" s="36" t="str">
        <x:v>Cartridge_And_Cloud_QA_Testing_Plan_v0.3.md</x:v>
      </x:c>
      <x:c r="F53" s="36" t="str">
        <x:v>MD</x:v>
      </x:c>
      <x:c r="G53" s="54" t="n">
        <x:v>9293</x:v>
      </x:c>
      <x:c r="H53" s="36" t="str">
        <x:v>517a90d50868dd91010be4eaaca335326b63e8d370613c82a5b5664753ab3891</x:v>
      </x:c>
      <x:c r="I53" s="36" t="n">
        <x:v>1</x:v>
      </x:c>
      <x:c r="J53" s="36" t="str">
        <x:v>Authoring source</x:v>
      </x:c>
      <x:c r="K53" s="36" t="str">
        <x:v>DIRECT</x:v>
      </x:c>
      <x:c r="L53" s="36" t="str">
        <x:v>adr, audit, backup, build, legal, performance, qa, riesgo, roadmap, save, sprint, steam, test</x:v>
      </x:c>
      <x:c r="M53" s="36" t="str">
        <x:v>Retain read-only; current authority remains 00–34.</x:v>
      </x:c>
      <x:c r="N53" s="36" t="str">
        <x:v>33 risk/continuity context</x:v>
      </x:c>
      <x:c r="O53" s="36" t="str">
        <x:v>00_Official_Baseline/v0.3/99_Source_Markdown/Cartridge_And_Cloud_QA_Testing_Plan_v0.3.md</x:v>
      </x:c>
    </x:row>
    <x:row r="54">
      <x:c r="A54" s="27" t="str">
        <x:v>HIST-0050</x:v>
      </x:c>
      <x:c r="B54" s="27" t="str">
        <x:v>00_Official_Baseline</x:v>
      </x:c>
      <x:c r="C54" s="27" t="str">
        <x:v>v0.3</x:v>
      </x:c>
      <x:c r="D54" s="27" t="str"/>
      <x:c r="E54" s="36" t="str">
        <x:v>Cartridge_And_Cloud_Steam_Publishing_Plan_v0.3.md</x:v>
      </x:c>
      <x:c r="F54" s="36" t="str">
        <x:v>MD</x:v>
      </x:c>
      <x:c r="G54" s="54" t="n">
        <x:v>3923</x:v>
      </x:c>
      <x:c r="H54" s="36" t="str">
        <x:v>1a004be75991bdcbbaf457a57da123e3297fce15a38c591e3f589e11e277dbd5</x:v>
      </x:c>
      <x:c r="I54" s="36" t="n">
        <x:v>1</x:v>
      </x:c>
      <x:c r="J54" s="36" t="str">
        <x:v>Authoring source</x:v>
      </x:c>
      <x:c r="K54" s="36" t="str">
        <x:v>DIRECT</x:v>
      </x:c>
      <x:c r="L54" s="36" t="str">
        <x:v>backup, build, legal, qa, release, roadmap, save, sprint, steam, test</x:v>
      </x:c>
      <x:c r="M54" s="36" t="str">
        <x:v>Retain read-only; current authority remains 00–34.</x:v>
      </x:c>
      <x:c r="N54" s="36" t="str">
        <x:v>33 risk/continuity context</x:v>
      </x:c>
      <x:c r="O54" s="36" t="str">
        <x:v>00_Official_Baseline/v0.3/99_Source_Markdown/Cartridge_And_Cloud_Steam_Publishing_Plan_v0.3.md</x:v>
      </x:c>
    </x:row>
    <x:row r="55">
      <x:c r="A55" s="27" t="str">
        <x:v>HIST-0051</x:v>
      </x:c>
      <x:c r="B55" s="27" t="str">
        <x:v>00_Official_Baseline</x:v>
      </x:c>
      <x:c r="C55" s="27" t="str">
        <x:v>v0.3</x:v>
      </x:c>
      <x:c r="D55" s="27" t="str"/>
      <x:c r="E55" s="36" t="str">
        <x:v>Cartridge_And_Cloud_TDD_v0.3_Technical_Design_Document.md</x:v>
      </x:c>
      <x:c r="F55" s="36" t="str">
        <x:v>MD</x:v>
      </x:c>
      <x:c r="G55" s="54" t="n">
        <x:v>17342</x:v>
      </x:c>
      <x:c r="H55" s="36" t="str">
        <x:v>86160690276d137118b119d6376eee8d1834097dbfe92fb6da7d18356d737eb2</x:v>
      </x:c>
      <x:c r="I55" s="36" t="n">
        <x:v>1</x:v>
      </x:c>
      <x:c r="J55" s="36" t="str">
        <x:v>Authoring source</x:v>
      </x:c>
      <x:c r="K55" s="36" t="str">
        <x:v>DIRECT</x:v>
      </x:c>
      <x:c r="L55" s="36" t="str">
        <x:v>adr, audit, build, dependencia, qa, riesgo, roadmap, save, seguridad, sprint, steam, test</x:v>
      </x:c>
      <x:c r="M55" s="36" t="str">
        <x:v>Retain read-only; current authority remains 00–34.</x:v>
      </x:c>
      <x:c r="N55" s="36" t="str">
        <x:v>33 risk/continuity context</x:v>
      </x:c>
      <x:c r="O55" s="36" t="str">
        <x:v>00_Official_Baseline/v0.3/99_Source_Markdown/Cartridge_And_Cloud_TDD_v0.3_Technical_Design_Document.md</x:v>
      </x:c>
    </x:row>
    <x:row r="56">
      <x:c r="A56" s="27" t="str">
        <x:v>HIST-0052</x:v>
      </x:c>
      <x:c r="B56" s="27" t="str">
        <x:v>00_Official_Baseline</x:v>
      </x:c>
      <x:c r="C56" s="27" t="str">
        <x:v>v0.3</x:v>
      </x:c>
      <x:c r="D56" s="27" t="str"/>
      <x:c r="E56" s="36" t="str">
        <x:v>Cartridge_And_Cloud_UI_Style_Guide_v0.3.md</x:v>
      </x:c>
      <x:c r="F56" s="36" t="str">
        <x:v>MD</x:v>
      </x:c>
      <x:c r="G56" s="54" t="n">
        <x:v>47855</x:v>
      </x:c>
      <x:c r="H56" s="36" t="str">
        <x:v>d446fa1988af7343cacee8c3817afd3e3fd10f933fe1524d7e0b65f718842065</x:v>
      </x:c>
      <x:c r="I56" s="36" t="n">
        <x:v>1</x:v>
      </x:c>
      <x:c r="J56" s="36" t="str">
        <x:v>Authoring source</x:v>
      </x:c>
      <x:c r="K56" s="36" t="str">
        <x:v>DIRECT</x:v>
      </x:c>
      <x:c r="L56" s="36" t="str">
        <x:v>audit, backup, build, dependencia, incident, qa, release, riesgo, seguridad, sprint, steam, test, validation</x:v>
      </x:c>
      <x:c r="M56" s="36" t="str">
        <x:v>Retain read-only; current authority remains 00–34.</x:v>
      </x:c>
      <x:c r="N56" s="36" t="str">
        <x:v>33 risk/continuity context</x:v>
      </x:c>
      <x:c r="O56" s="36" t="str">
        <x:v>00_Official_Baseline/v0.3/99_Source_Markdown/Cartridge_And_Cloud_UI_Style_Guide_v0.3.md</x:v>
      </x:c>
    </x:row>
    <x:row r="57">
      <x:c r="A57" s="27" t="str">
        <x:v>HIST-0053</x:v>
      </x:c>
      <x:c r="B57" s="27" t="str">
        <x:v>00_Official_Baseline</x:v>
      </x:c>
      <x:c r="C57" s="27" t="str">
        <x:v>v0.3</x:v>
      </x:c>
      <x:c r="D57" s="27" t="str"/>
      <x:c r="E57" s="36" t="str">
        <x:v>Cartridge_And_Cloud_Unity_Project_Setup_Guide_v0.3.md</x:v>
      </x:c>
      <x:c r="F57" s="36" t="str">
        <x:v>MD</x:v>
      </x:c>
      <x:c r="G57" s="54" t="n">
        <x:v>4564</x:v>
      </x:c>
      <x:c r="H57" s="36" t="str">
        <x:v>0a6f42c71d9d22cee8aa12796842fd5391c3570f675f7361f1932418b74e1e55</x:v>
      </x:c>
      <x:c r="I57" s="36" t="n">
        <x:v>1</x:v>
      </x:c>
      <x:c r="J57" s="36" t="str">
        <x:v>Authoring source</x:v>
      </x:c>
      <x:c r="K57" s="36" t="str">
        <x:v>DIRECT</x:v>
      </x:c>
      <x:c r="L57" s="36" t="str">
        <x:v>build, legal, qa, release, sprint, steam, test</x:v>
      </x:c>
      <x:c r="M57" s="36" t="str">
        <x:v>Retain read-only; current authority remains 00–34.</x:v>
      </x:c>
      <x:c r="N57" s="36" t="str">
        <x:v>33 risk/continuity context</x:v>
      </x:c>
      <x:c r="O57" s="36" t="str">
        <x:v>00_Official_Baseline/v0.3/99_Source_Markdown/Cartridge_And_Cloud_Unity_Project_Setup_Guide_v0.3.md</x:v>
      </x:c>
    </x:row>
    <x:row r="58">
      <x:c r="A58" s="27" t="str">
        <x:v>HIST-0054</x:v>
      </x:c>
      <x:c r="B58" s="27" t="str">
        <x:v>00_Official_Baseline</x:v>
      </x:c>
      <x:c r="C58" s="27" t="str">
        <x:v>v0.3</x:v>
      </x:c>
      <x:c r="D58" s="27" t="str"/>
      <x:c r="E58" s="36" t="str">
        <x:v>Cartridge_And_Cloud_UX_Flow_v0.3.md</x:v>
      </x:c>
      <x:c r="F58" s="36" t="str">
        <x:v>MD</x:v>
      </x:c>
      <x:c r="G58" s="54" t="n">
        <x:v>87463</x:v>
      </x:c>
      <x:c r="H58" s="36" t="str">
        <x:v>abb29bbf9b9e9dfbef5161feb03ec07c7bc405cfe4b217e8843534279eb3b50c</x:v>
      </x:c>
      <x:c r="I58" s="36" t="n">
        <x:v>1</x:v>
      </x:c>
      <x:c r="J58" s="36" t="str">
        <x:v>Authoring source</x:v>
      </x:c>
      <x:c r="K58" s="36" t="str">
        <x:v>DIRECT</x:v>
      </x:c>
      <x:c r="L58" s="36" t="str">
        <x:v>adr, audit, backup, build, dependencia, incident, qa, release, riesgo, save, seguridad, sprint, steam, test, validation</x:v>
      </x:c>
      <x:c r="M58" s="36" t="str">
        <x:v>Retain read-only; current authority remains 00–34.</x:v>
      </x:c>
      <x:c r="N58" s="36" t="str">
        <x:v>33 risk/continuity context</x:v>
      </x:c>
      <x:c r="O58" s="36" t="str">
        <x:v>00_Official_Baseline/v0.3/99_Source_Markdown/Cartridge_And_Cloud_UX_Flow_v0.3.md</x:v>
      </x:c>
    </x:row>
    <x:row r="59">
      <x:c r="A59" s="27" t="str">
        <x:v>HIST-0055</x:v>
      </x:c>
      <x:c r="B59" s="27" t="str">
        <x:v>00_Official_Baseline</x:v>
      </x:c>
      <x:c r="C59" s="27" t="str">
        <x:v>v0.3</x:v>
      </x:c>
      <x:c r="D59" s="27" t="str"/>
      <x:c r="E59" s="36" t="str">
        <x:v>Cartridge_And_Cloud_Vertical_Slice_Specification_v0.1.md</x:v>
      </x:c>
      <x:c r="F59" s="36" t="str">
        <x:v>MD</x:v>
      </x:c>
      <x:c r="G59" s="54" t="n">
        <x:v>8682</x:v>
      </x:c>
      <x:c r="H59" s="36" t="str">
        <x:v>69792ba4790022b23d631d437e043d777844f775b94d6552bc33bc682b876bb0</x:v>
      </x:c>
      <x:c r="I59" s="36" t="n">
        <x:v>1</x:v>
      </x:c>
      <x:c r="J59" s="36" t="str">
        <x:v>Authoring source</x:v>
      </x:c>
      <x:c r="K59" s="36" t="str">
        <x:v>DIRECT</x:v>
      </x:c>
      <x:c r="L59" s="36" t="str">
        <x:v>adr, audit, build, qa, riesgo, roadmap, sprint, steam</x:v>
      </x:c>
      <x:c r="M59" s="36" t="str">
        <x:v>Retain read-only; current authority remains 00–34.</x:v>
      </x:c>
      <x:c r="N59" s="36" t="str">
        <x:v>33 risk/continuity context</x:v>
      </x:c>
      <x:c r="O59" s="36" t="str">
        <x:v>00_Official_Baseline/v0.3/99_Source_Markdown/Cartridge_And_Cloud_Vertical_Slice_Specification_v0.1.md</x:v>
      </x:c>
    </x:row>
    <x:row r="60">
      <x:c r="A60" s="27" t="str">
        <x:v>HIST-0056</x:v>
      </x:c>
      <x:c r="B60" s="27" t="str">
        <x:v>00_Official_Baseline</x:v>
      </x:c>
      <x:c r="C60" s="27" t="str">
        <x:v>v0.3</x:v>
      </x:c>
      <x:c r="D60" s="27" t="str"/>
      <x:c r="E60" s="36" t="str">
        <x:v>cc_style.css</x:v>
      </x:c>
      <x:c r="F60" s="36" t="str">
        <x:v>CSS</x:v>
      </x:c>
      <x:c r="G60" s="54" t="n">
        <x:v>2914</x:v>
      </x:c>
      <x:c r="H60" s="36" t="str">
        <x:v>4ad742bffedf183f8903453bc15452a343dbe5f604b3755b8990860411e2c4de</x:v>
      </x:c>
      <x:c r="I60" s="36" t="n">
        <x:v>1</x:v>
      </x:c>
      <x:c r="J60" s="36" t="str">
        <x:v>Authoring source</x:v>
      </x:c>
      <x:c r="K60" s="36" t="str">
        <x:v>CONTEXT / PRESERVED</x:v>
      </x:c>
      <x:c r="L60" s="36" t="str"/>
      <x:c r="M60" s="36" t="str">
        <x:v>Retain read-only; current authority remains 00–34.</x:v>
      </x:c>
      <x:c r="N60" s="36" t="str">
        <x:v>Preserved context; not mined as normative authority.</x:v>
      </x:c>
      <x:c r="O60" s="36" t="str">
        <x:v>00_Official_Baseline/v0.3/99_Source_Markdown/cc_style.css</x:v>
      </x:c>
    </x:row>
    <x:row r="61">
      <x:c r="A61" s="27" t="str">
        <x:v>HIST-0057</x:v>
      </x:c>
      <x:c r="B61" s="27" t="str">
        <x:v>00_Official_Baseline</x:v>
      </x:c>
      <x:c r="C61" s="27" t="str">
        <x:v>v0.3</x:v>
      </x:c>
      <x:c r="D61" s="27" t="str"/>
      <x:c r="E61" s="36" t="str">
        <x:v>CHECKSUMS_SHA256.txt</x:v>
      </x:c>
      <x:c r="F61" s="36" t="str">
        <x:v>TXT</x:v>
      </x:c>
      <x:c r="G61" s="54" t="n">
        <x:v>7808</x:v>
      </x:c>
      <x:c r="H61" s="36" t="str">
        <x:v>8312237b079e9a3f92dadaf41711f788caf08fb641aca3b2676ca5427accedc3</x:v>
      </x:c>
      <x:c r="I61" s="36" t="n">
        <x:v>1</x:v>
      </x:c>
      <x:c r="J61" s="36" t="str">
        <x:v>Published historical baseline</x:v>
      </x:c>
      <x:c r="K61" s="36" t="str">
        <x:v>DIRECT</x:v>
      </x:c>
      <x:c r="L61" s="36" t="str">
        <x:v>build, checksum, legal, license, manifest, qa, release, roadmap, sprint, steam, test, validation</x:v>
      </x:c>
      <x:c r="M61" s="36" t="str">
        <x:v>Retain read-only; current authority remains 00–34.</x:v>
      </x:c>
      <x:c r="N61" s="36" t="str">
        <x:v>33 risk/continuity context</x:v>
      </x:c>
      <x:c r="O61" s="36" t="str">
        <x:v>00_Official_Baseline/v0.3/CHECKSUMS_SHA256.txt</x:v>
      </x:c>
    </x:row>
    <x:row r="62">
      <x:c r="A62" s="27" t="str">
        <x:v>HIST-0058</x:v>
      </x:c>
      <x:c r="B62" s="27" t="str">
        <x:v>00_Official_Baseline</x:v>
      </x:c>
      <x:c r="C62" s="27" t="str">
        <x:v>v0.3</x:v>
      </x:c>
      <x:c r="D62" s="27" t="str"/>
      <x:c r="E62" s="36" t="str">
        <x:v>DOCUMENTATION_VALIDATION_REPORT.md</x:v>
      </x:c>
      <x:c r="F62" s="36" t="str">
        <x:v>MD</x:v>
      </x:c>
      <x:c r="G62" s="54" t="n">
        <x:v>6971</x:v>
      </x:c>
      <x:c r="H62" s="36" t="str">
        <x:v>076932dd1f220819ff5db542d6da8b719950ae9e3b2302b989445a810568dca5</x:v>
      </x:c>
      <x:c r="I62" s="36" t="n">
        <x:v>1</x:v>
      </x:c>
      <x:c r="J62" s="36" t="str">
        <x:v>Published historical baseline</x:v>
      </x:c>
      <x:c r="K62" s="36" t="str">
        <x:v>DIRECT</x:v>
      </x:c>
      <x:c r="L62" s="36" t="str">
        <x:v>adr, audit, build, dependencia, legal, qa, riesgo, roadmap, sprint, steam, test, validation</x:v>
      </x:c>
      <x:c r="M62" s="36" t="str">
        <x:v>Retain read-only; current authority remains 00–34.</x:v>
      </x:c>
      <x:c r="N62" s="36" t="str">
        <x:v>33 risk/continuity context</x:v>
      </x:c>
      <x:c r="O62" s="36" t="str">
        <x:v>00_Official_Baseline/v0.3/DOCUMENTATION_VALIDATION_REPORT.md</x:v>
      </x:c>
    </x:row>
    <x:row r="63">
      <x:c r="A63" s="27" t="str">
        <x:v>HIST-0059</x:v>
      </x:c>
      <x:c r="B63" s="27" t="str">
        <x:v>00_Official_Baseline</x:v>
      </x:c>
      <x:c r="C63" s="27" t="str">
        <x:v>v0.3</x:v>
      </x:c>
      <x:c r="D63" s="27" t="str"/>
      <x:c r="E63" s="36" t="str">
        <x:v>MIGRATION_SUMMARY.md</x:v>
      </x:c>
      <x:c r="F63" s="36" t="str">
        <x:v>MD</x:v>
      </x:c>
      <x:c r="G63" s="54" t="n">
        <x:v>1661</x:v>
      </x:c>
      <x:c r="H63" s="36" t="str">
        <x:v>8fc19eef549f8c96004754e31afca942c9b30ecec85c008be0b033fd4de474b8</x:v>
      </x:c>
      <x:c r="I63" s="36" t="n">
        <x:v>1</x:v>
      </x:c>
      <x:c r="J63" s="36" t="str">
        <x:v>Published historical baseline</x:v>
      </x:c>
      <x:c r="K63" s="36" t="str">
        <x:v>DIRECT</x:v>
      </x:c>
      <x:c r="L63" s="36" t="str">
        <x:v>adr, qa, roadmap, sprint, steam</x:v>
      </x:c>
      <x:c r="M63" s="36" t="str">
        <x:v>Retain read-only; current authority remains 00–34.</x:v>
      </x:c>
      <x:c r="N63" s="36" t="str">
        <x:v>33 risk/continuity context</x:v>
      </x:c>
      <x:c r="O63" s="36" t="str">
        <x:v>00_Official_Baseline/v0.3/MIGRATION_SUMMARY.md</x:v>
      </x:c>
    </x:row>
    <x:row r="64">
      <x:c r="A64" s="27" t="str">
        <x:v>HIST-0060</x:v>
      </x:c>
      <x:c r="B64" s="27" t="str">
        <x:v>00_Official_Baseline</x:v>
      </x:c>
      <x:c r="C64" s="27" t="str">
        <x:v>v0.3</x:v>
      </x:c>
      <x:c r="D64" s="27" t="str"/>
      <x:c r="E64" s="36" t="str">
        <x:v>PACKAGE_MANIFEST.md</x:v>
      </x:c>
      <x:c r="F64" s="36" t="str">
        <x:v>MD</x:v>
      </x:c>
      <x:c r="G64" s="54" t="n">
        <x:v>6098</x:v>
      </x:c>
      <x:c r="H64" s="36" t="str">
        <x:v>7fb1bdbd0b11a372ccf4ad87efea6f88326188a21a8f4760680b0e49cd928783</x:v>
      </x:c>
      <x:c r="I64" s="36" t="n">
        <x:v>1</x:v>
      </x:c>
      <x:c r="J64" s="36" t="str">
        <x:v>Published historical baseline</x:v>
      </x:c>
      <x:c r="K64" s="36" t="str">
        <x:v>DIRECT</x:v>
      </x:c>
      <x:c r="L64" s="36" t="str">
        <x:v>build, checksum, legal, license, manifest, qa, release, riesgo, roadmap, sprint, steam, test, validation</x:v>
      </x:c>
      <x:c r="M64" s="36" t="str">
        <x:v>Retain read-only; current authority remains 00–34.</x:v>
      </x:c>
      <x:c r="N64" s="36" t="str">
        <x:v>33 risk/continuity context</x:v>
      </x:c>
      <x:c r="O64" s="36" t="str">
        <x:v>00_Official_Baseline/v0.3/PACKAGE_MANIFEST.md</x:v>
      </x:c>
    </x:row>
    <x:row r="65">
      <x:c r="A65" s="27" t="str">
        <x:v>HIST-0061</x:v>
      </x:c>
      <x:c r="B65" s="27" t="str">
        <x:v>00_Official_Baseline</x:v>
      </x:c>
      <x:c r="C65" s="27" t="str">
        <x:v>v0.3</x:v>
      </x:c>
      <x:c r="D65" s="27" t="str"/>
      <x:c r="E65" s="36" t="str">
        <x:v>README.en.md</x:v>
      </x:c>
      <x:c r="F65" s="36" t="str">
        <x:v>MD</x:v>
      </x:c>
      <x:c r="G65" s="54" t="n">
        <x:v>2005</x:v>
      </x:c>
      <x:c r="H65" s="36" t="str">
        <x:v>161af250279dce492d52047789a719f117c739cf1435c1a8d6e1660c675a3858</x:v>
      </x:c>
      <x:c r="I65" s="36" t="n">
        <x:v>1</x:v>
      </x:c>
      <x:c r="J65" s="36" t="str">
        <x:v>Published historical baseline</x:v>
      </x:c>
      <x:c r="K65" s="36" t="str">
        <x:v>DIRECT</x:v>
      </x:c>
      <x:c r="L65" s="36" t="str">
        <x:v>build, legal, manifest, qa, release, roadmap, save, sprint, steam, test, validation</x:v>
      </x:c>
      <x:c r="M65" s="36" t="str">
        <x:v>Retain read-only; current authority remains 00–34.</x:v>
      </x:c>
      <x:c r="N65" s="36" t="str">
        <x:v>33 risk/continuity context</x:v>
      </x:c>
      <x:c r="O65" s="36" t="str">
        <x:v>00_Official_Baseline/v0.3/README.en.md</x:v>
      </x:c>
    </x:row>
    <x:row r="66">
      <x:c r="A66" s="27" t="str">
        <x:v>HIST-0062</x:v>
      </x:c>
      <x:c r="B66" s="27" t="str">
        <x:v>00_Official_Baseline</x:v>
      </x:c>
      <x:c r="C66" s="27" t="str">
        <x:v>v0.3</x:v>
      </x:c>
      <x:c r="D66" s="27" t="str"/>
      <x:c r="E66" s="36" t="str">
        <x:v>README.md</x:v>
      </x:c>
      <x:c r="F66" s="36" t="str">
        <x:v>MD</x:v>
      </x:c>
      <x:c r="G66" s="54" t="n">
        <x:v>2026</x:v>
      </x:c>
      <x:c r="H66" s="36" t="str">
        <x:v>fcc1f961b49d3f9e444a10bd58b690d6a16f5973612c3614beadb2a22b9720bb</x:v>
      </x:c>
      <x:c r="I66" s="36" t="n">
        <x:v>1</x:v>
      </x:c>
      <x:c r="J66" s="36" t="str">
        <x:v>Published historical baseline</x:v>
      </x:c>
      <x:c r="K66" s="36" t="str">
        <x:v>DIRECT</x:v>
      </x:c>
      <x:c r="L66" s="36" t="str">
        <x:v>adr, build, legal, manifest, qa, roadmap, sprint, steam, test, validation</x:v>
      </x:c>
      <x:c r="M66" s="36" t="str">
        <x:v>Retain read-only; current authority remains 00–34.</x:v>
      </x:c>
      <x:c r="N66" s="36" t="str">
        <x:v>33 risk/continuity context</x:v>
      </x:c>
      <x:c r="O66" s="36" t="str">
        <x:v>00_Official_Baseline/v0.3/README.md</x:v>
      </x:c>
    </x:row>
    <x:row r="67">
      <x:c r="A67" s="27" t="str">
        <x:v>HIST-0063</x:v>
      </x:c>
      <x:c r="B67" s="27" t="str">
        <x:v>00_Official_Baseline</x:v>
      </x:c>
      <x:c r="C67" s="27" t="str">
        <x:v>v0.4</x:v>
      </x:c>
      <x:c r="D67" s="27" t="str"/>
      <x:c r="E67" s="36" t="str">
        <x:v>00_Cartridge_And_Cloud_Guide_v0.4.pdf</x:v>
      </x:c>
      <x:c r="F67" s="36" t="str">
        <x:v>PDF</x:v>
      </x:c>
      <x:c r="G67" s="54" t="n">
        <x:v>105014</x:v>
      </x:c>
      <x:c r="H67" s="36" t="str">
        <x:v>07587b4bc74c59fb87a887454c679d0f670ab92180d7b7e437922d941a2a796a</x:v>
      </x:c>
      <x:c r="I67" s="36" t="n">
        <x:v>1</x:v>
      </x:c>
      <x:c r="J67" s="36" t="str">
        <x:v>Published historical baseline</x:v>
      </x:c>
      <x:c r="K67" s="36" t="str">
        <x:v>CONTEXT / PRESERVED</x:v>
      </x:c>
      <x:c r="L67" s="36" t="str"/>
      <x:c r="M67" s="36" t="str">
        <x:v>Retain read-only; current authority remains 00–34.</x:v>
      </x:c>
      <x:c r="N67" s="36" t="str">
        <x:v>Preserved context; not mined as normative authority.</x:v>
      </x:c>
      <x:c r="O67" s="36" t="str">
        <x:v>00_Official_Baseline/v0.4/00_Project_Governance/00_Cartridge_And_Cloud_Guide_v0.4.pdf</x:v>
      </x:c>
    </x:row>
    <x:row r="68">
      <x:c r="A68" s="27" t="str">
        <x:v>HIST-0064</x:v>
      </x:c>
      <x:c r="B68" s="27" t="str">
        <x:v>00_Official_Baseline</x:v>
      </x:c>
      <x:c r="C68" s="27" t="str">
        <x:v>v0.4</x:v>
      </x:c>
      <x:c r="D68" s="27" t="str"/>
      <x:c r="E68" s="36" t="str">
        <x:v>Cartridge_And_Cloud_Document_Migration_Plan_v0.1.pdf</x:v>
      </x:c>
      <x:c r="F68" s="36" t="str">
        <x:v>PDF</x:v>
      </x:c>
      <x:c r="G68" s="54" t="n">
        <x:v>38754</x:v>
      </x:c>
      <x:c r="H68" s="36" t="str">
        <x:v>5c3f2fa8bfaae1476447296e17b470fa9b142b1229145ab348fef332766e3bf6</x:v>
      </x:c>
      <x:c r="I68" s="36" t="n">
        <x:v>1</x:v>
      </x:c>
      <x:c r="J68" s="36" t="str">
        <x:v>Published historical baseline</x:v>
      </x:c>
      <x:c r="K68" s="36" t="str">
        <x:v>CONTEXT / PRESERVED</x:v>
      </x:c>
      <x:c r="L68" s="36" t="str"/>
      <x:c r="M68" s="36" t="str">
        <x:v>Retain read-only; current authority remains 00–34.</x:v>
      </x:c>
      <x:c r="N68" s="36" t="str">
        <x:v>Preserved context; not mined as normative authority.</x:v>
      </x:c>
      <x:c r="O68" s="36" t="str">
        <x:v>00_Official_Baseline/v0.4/00_Project_Governance/Cartridge_And_Cloud_Document_Migration_Plan_v0.1.pdf</x:v>
      </x:c>
    </x:row>
    <x:row r="69">
      <x:c r="A69" s="27" t="str">
        <x:v>HIST-0065</x:v>
      </x:c>
      <x:c r="B69" s="27" t="str">
        <x:v>00_Official_Baseline</x:v>
      </x:c>
      <x:c r="C69" s="27" t="str">
        <x:v>v0.4</x:v>
      </x:c>
      <x:c r="D69" s="27" t="str"/>
      <x:c r="E69" s="36" t="str">
        <x:v>Cartridge_And_Cloud_Documentation_Validation_Report_v0.2.pdf</x:v>
      </x:c>
      <x:c r="F69" s="36" t="str">
        <x:v>PDF</x:v>
      </x:c>
      <x:c r="G69" s="54" t="n">
        <x:v>32668</x:v>
      </x:c>
      <x:c r="H69" s="36" t="str">
        <x:v>680c5a900685d90ebae0311b301c87a9f2a4d97ffca9e66ebeec8d2a36cf6bde</x:v>
      </x:c>
      <x:c r="I69" s="36" t="n">
        <x:v>1</x:v>
      </x:c>
      <x:c r="J69" s="36" t="str">
        <x:v>Published historical baseline</x:v>
      </x:c>
      <x:c r="K69" s="36" t="str">
        <x:v>CONTEXT / PRESERVED</x:v>
      </x:c>
      <x:c r="L69" s="36" t="str">
        <x:v>validation</x:v>
      </x:c>
      <x:c r="M69" s="36" t="str">
        <x:v>Retain read-only; current authority remains 00–34.</x:v>
      </x:c>
      <x:c r="N69" s="36" t="str">
        <x:v>Preserved context; not mined as normative authority.</x:v>
      </x:c>
      <x:c r="O69" s="36" t="str">
        <x:v>00_Official_Baseline/v0.4/00_Project_Governance/Cartridge_And_Cloud_Documentation_Validation_Report_v0.2.pdf</x:v>
      </x:c>
    </x:row>
    <x:row r="70">
      <x:c r="A70" s="27" t="str">
        <x:v>HIST-0066</x:v>
      </x:c>
      <x:c r="B70" s="27" t="str">
        <x:v>00_Official_Baseline</x:v>
      </x:c>
      <x:c r="C70" s="27" t="str">
        <x:v>v0.4</x:v>
      </x:c>
      <x:c r="D70" s="27" t="str"/>
      <x:c r="E70" s="36" t="str">
        <x:v>Cartridge_And_Cloud_Enfoque_v0.6.pdf</x:v>
      </x:c>
      <x:c r="F70" s="36" t="str">
        <x:v>PDF</x:v>
      </x:c>
      <x:c r="G70" s="54" t="n">
        <x:v>248732</x:v>
      </x:c>
      <x:c r="H70" s="36" t="str">
        <x:v>782c7edc39f04bb54e2bd168e4ad3ddca750ad7ff8af2c77b05f84ed8b4cbc9d</x:v>
      </x:c>
      <x:c r="I70" s="36" t="n">
        <x:v>1</x:v>
      </x:c>
      <x:c r="J70" s="36" t="str">
        <x:v>Published historical baseline</x:v>
      </x:c>
      <x:c r="K70" s="36" t="str">
        <x:v>CONTEXT / PRESERVED</x:v>
      </x:c>
      <x:c r="L70" s="36" t="str"/>
      <x:c r="M70" s="36" t="str">
        <x:v>Retain read-only; current authority remains 00–34.</x:v>
      </x:c>
      <x:c r="N70" s="36" t="str">
        <x:v>Preserved context; not mined as normative authority.</x:v>
      </x:c>
      <x:c r="O70" s="36" t="str">
        <x:v>00_Official_Baseline/v0.4/00_Project_Governance/Cartridge_And_Cloud_Enfoque_v0.6.pdf</x:v>
      </x:c>
    </x:row>
    <x:row r="71">
      <x:c r="A71" s="27" t="str">
        <x:v>HIST-0067</x:v>
      </x:c>
      <x:c r="B71" s="27" t="str">
        <x:v>00_Official_Baseline</x:v>
      </x:c>
      <x:c r="C71" s="27" t="str">
        <x:v>v0.4</x:v>
      </x:c>
      <x:c r="D71" s="27" t="str"/>
      <x:c r="E71" s="36" t="str">
        <x:v>Cartridge_And_Cloud_Package_Manifest_v0.2.pdf</x:v>
      </x:c>
      <x:c r="F71" s="36" t="str">
        <x:v>PDF</x:v>
      </x:c>
      <x:c r="G71" s="54" t="n">
        <x:v>36002</x:v>
      </x:c>
      <x:c r="H71" s="36" t="str">
        <x:v>2fb3d34140d531bb28015e95ebed32e69d5e38f40fd2e591f99af99304035b5e</x:v>
      </x:c>
      <x:c r="I71" s="36" t="n">
        <x:v>1</x:v>
      </x:c>
      <x:c r="J71" s="36" t="str">
        <x:v>Published historical baseline</x:v>
      </x:c>
      <x:c r="K71" s="36" t="str">
        <x:v>CONTEXT / PRESERVED</x:v>
      </x:c>
      <x:c r="L71" s="36" t="str">
        <x:v>manifest</x:v>
      </x:c>
      <x:c r="M71" s="36" t="str">
        <x:v>Retain read-only; current authority remains 00–34.</x:v>
      </x:c>
      <x:c r="N71" s="36" t="str">
        <x:v>Preserved context; not mined as normative authority.</x:v>
      </x:c>
      <x:c r="O71" s="36" t="str">
        <x:v>00_Official_Baseline/v0.4/00_Project_Governance/Cartridge_And_Cloud_Package_Manifest_v0.2.pdf</x:v>
      </x:c>
    </x:row>
    <x:row r="72">
      <x:c r="A72" s="27" t="str">
        <x:v>HIST-0068</x:v>
      </x:c>
      <x:c r="B72" s="27" t="str">
        <x:v>00_Official_Baseline</x:v>
      </x:c>
      <x:c r="C72" s="27" t="str">
        <x:v>v0.4</x:v>
      </x:c>
      <x:c r="D72" s="27" t="str"/>
      <x:c r="E72" s="36" t="str">
        <x:v>Cartridge_And_Cloud_Project_Binder_Indice_Maestro_v0.4.pdf</x:v>
      </x:c>
      <x:c r="F72" s="36" t="str">
        <x:v>PDF</x:v>
      </x:c>
      <x:c r="G72" s="54" t="n">
        <x:v>32834</x:v>
      </x:c>
      <x:c r="H72" s="36" t="str">
        <x:v>bc1362d541745d2e5935c1c0d3140dfc49e5a957830760ea242e655164c9661e</x:v>
      </x:c>
      <x:c r="I72" s="36" t="n">
        <x:v>1</x:v>
      </x:c>
      <x:c r="J72" s="36" t="str">
        <x:v>Published historical baseline</x:v>
      </x:c>
      <x:c r="K72" s="36" t="str">
        <x:v>CONTEXT / PRESERVED</x:v>
      </x:c>
      <x:c r="L72" s="36" t="str"/>
      <x:c r="M72" s="36" t="str">
        <x:v>Retain read-only; current authority remains 00–34.</x:v>
      </x:c>
      <x:c r="N72" s="36" t="str">
        <x:v>Preserved context; not mined as normative authority.</x:v>
      </x:c>
      <x:c r="O72" s="36" t="str">
        <x:v>00_Official_Baseline/v0.4/00_Project_Governance/Cartridge_And_Cloud_Project_Binder_Indice_Maestro_v0.4.pdf</x:v>
      </x:c>
    </x:row>
    <x:row r="73">
      <x:c r="A73" s="27" t="str">
        <x:v>HIST-0069</x:v>
      </x:c>
      <x:c r="B73" s="27" t="str">
        <x:v>00_Official_Baseline</x:v>
      </x:c>
      <x:c r="C73" s="27" t="str">
        <x:v>v0.4</x:v>
      </x:c>
      <x:c r="D73" s="27" t="str"/>
      <x:c r="E73" s="36" t="str">
        <x:v>Enfoque_v0.6.md</x:v>
      </x:c>
      <x:c r="F73" s="36" t="str">
        <x:v>MD</x:v>
      </x:c>
      <x:c r="G73" s="54" t="n">
        <x:v>122708</x:v>
      </x:c>
      <x:c r="H73" s="36" t="str">
        <x:v>6765207677c2adad0d124d20b9c27c82563eebc5eb3a0acb817dddbd148b3fbb</x:v>
      </x:c>
      <x:c r="I73" s="36" t="n">
        <x:v>2</x:v>
      </x:c>
      <x:c r="J73" s="36" t="str">
        <x:v>Published historical baseline</x:v>
      </x:c>
      <x:c r="K73" s="36" t="str">
        <x:v>DIRECT</x:v>
      </x:c>
      <x:c r="L73" s="36" t="str">
        <x:v>adr, audit, backup, build, continuidad, dependencia, incident, legal, qa, release, riesgo, roadmap, save, seguridad, sprint, steam, test, validation</x:v>
      </x:c>
      <x:c r="M73" s="36" t="str">
        <x:v>Retain read-only; current authority remains 00–34.</x:v>
      </x:c>
      <x:c r="N73" s="36" t="str">
        <x:v>33 risk/continuity context</x:v>
      </x:c>
      <x:c r="O73" s="36" t="str">
        <x:v>00_Official_Baseline/v0.4/00_Project_Governance/Enfoque_v0.6.md</x:v>
      </x:c>
    </x:row>
    <x:row r="74">
      <x:c r="A74" s="27" t="str">
        <x:v>HIST-0070</x:v>
      </x:c>
      <x:c r="B74" s="27" t="str">
        <x:v>00_Official_Baseline</x:v>
      </x:c>
      <x:c r="C74" s="27" t="str">
        <x:v>v0.4</x:v>
      </x:c>
      <x:c r="D74" s="27" t="str"/>
      <x:c r="E74" s="36" t="str">
        <x:v>Cartridge_And_Cloud_Economy_Balance_Specification_v0.1.pdf</x:v>
      </x:c>
      <x:c r="F74" s="36" t="str">
        <x:v>PDF</x:v>
      </x:c>
      <x:c r="G74" s="54" t="n">
        <x:v>90214</x:v>
      </x:c>
      <x:c r="H74" s="36" t="str">
        <x:v>75b1684eaf50b546febc2608230524385fb5f7685be8d885c0cff309389af643</x:v>
      </x:c>
      <x:c r="I74" s="36" t="n">
        <x:v>1</x:v>
      </x:c>
      <x:c r="J74" s="36" t="str">
        <x:v>Published historical baseline</x:v>
      </x:c>
      <x:c r="K74" s="36" t="str">
        <x:v>CONTEXT / PRESERVED</x:v>
      </x:c>
      <x:c r="L74" s="36" t="str"/>
      <x:c r="M74" s="36" t="str">
        <x:v>Retain read-only; current authority remains 00–34.</x:v>
      </x:c>
      <x:c r="N74" s="36" t="str">
        <x:v>Preserved context; not mined as normative authority.</x:v>
      </x:c>
      <x:c r="O74" s="36" t="str">
        <x:v>00_Official_Baseline/v0.4/01_Design/Cartridge_And_Cloud_Economy_Balance_Specification_v0.1.pdf</x:v>
      </x:c>
    </x:row>
    <x:row r="75">
      <x:c r="A75" s="27" t="str">
        <x:v>HIST-0071</x:v>
      </x:c>
      <x:c r="B75" s="27" t="str">
        <x:v>00_Official_Baseline</x:v>
      </x:c>
      <x:c r="C75" s="27" t="str">
        <x:v>v0.4</x:v>
      </x:c>
      <x:c r="D75" s="27" t="str"/>
      <x:c r="E75" s="36" t="str">
        <x:v>Cartridge_And_Cloud_GDD_v0.4_PCSteam.pdf</x:v>
      </x:c>
      <x:c r="F75" s="36" t="str">
        <x:v>PDF</x:v>
      </x:c>
      <x:c r="G75" s="54" t="n">
        <x:v>233208</x:v>
      </x:c>
      <x:c r="H75" s="36" t="str">
        <x:v>daf3d2376783c00533ce932e3da58dddd77b65fab1efa2aa7a141241dc125069</x:v>
      </x:c>
      <x:c r="I75" s="36" t="n">
        <x:v>1</x:v>
      </x:c>
      <x:c r="J75" s="36" t="str">
        <x:v>Published historical baseline</x:v>
      </x:c>
      <x:c r="K75" s="36" t="str">
        <x:v>CONTEXT / PRESERVED</x:v>
      </x:c>
      <x:c r="L75" s="36" t="str">
        <x:v>steam</x:v>
      </x:c>
      <x:c r="M75" s="36" t="str">
        <x:v>Retain read-only; current authority remains 00–34.</x:v>
      </x:c>
      <x:c r="N75" s="36" t="str">
        <x:v>Preserved context; not mined as normative authority.</x:v>
      </x:c>
      <x:c r="O75" s="36" t="str">
        <x:v>00_Official_Baseline/v0.4/01_Design/Cartridge_And_Cloud_GDD_v0.4_PCSteam.pdf</x:v>
      </x:c>
    </x:row>
    <x:row r="76">
      <x:c r="A76" s="27" t="str">
        <x:v>HIST-0072</x:v>
      </x:c>
      <x:c r="B76" s="27" t="str">
        <x:v>00_Official_Baseline</x:v>
      </x:c>
      <x:c r="C76" s="27" t="str">
        <x:v>v0.4</x:v>
      </x:c>
      <x:c r="D76" s="27" t="str"/>
      <x:c r="E76" s="36" t="str">
        <x:v>Cartridge_And_Cloud_Initial_Content_Catalog_v0.1.pdf</x:v>
      </x:c>
      <x:c r="F76" s="36" t="str">
        <x:v>PDF</x:v>
      </x:c>
      <x:c r="G76" s="54" t="n">
        <x:v>81138</x:v>
      </x:c>
      <x:c r="H76" s="36" t="str">
        <x:v>03be2e2f3c6f50ee0db68ff42a952b0b164cb480b6f4478a7ab02baf74c1fd29</x:v>
      </x:c>
      <x:c r="I76" s="36" t="n">
        <x:v>1</x:v>
      </x:c>
      <x:c r="J76" s="36" t="str">
        <x:v>Published historical baseline</x:v>
      </x:c>
      <x:c r="K76" s="36" t="str">
        <x:v>CONTEXT / PRESERVED</x:v>
      </x:c>
      <x:c r="L76" s="36" t="str"/>
      <x:c r="M76" s="36" t="str">
        <x:v>Retain read-only; current authority remains 00–34.</x:v>
      </x:c>
      <x:c r="N76" s="36" t="str">
        <x:v>Preserved context; not mined as normative authority.</x:v>
      </x:c>
      <x:c r="O76" s="36" t="str">
        <x:v>00_Official_Baseline/v0.4/01_Design/Cartridge_And_Cloud_Initial_Content_Catalog_v0.1.pdf</x:v>
      </x:c>
    </x:row>
    <x:row r="77">
      <x:c r="A77" s="27" t="str">
        <x:v>HIST-0073</x:v>
      </x:c>
      <x:c r="B77" s="27" t="str">
        <x:v>00_Official_Baseline</x:v>
      </x:c>
      <x:c r="C77" s="27" t="str">
        <x:v>v0.4</x:v>
      </x:c>
      <x:c r="D77" s="27" t="str"/>
      <x:c r="E77" s="36" t="str">
        <x:v>Cartridge_And_Cloud_UX_Flow_v0.3.pdf</x:v>
      </x:c>
      <x:c r="F77" s="36" t="str">
        <x:v>PDF</x:v>
      </x:c>
      <x:c r="G77" s="54" t="n">
        <x:v>191110</x:v>
      </x:c>
      <x:c r="H77" s="36" t="str">
        <x:v>a93ec6bf330e929ad03bc9b046f78937a8b13cb4b7facfb6fb5b98b7f4b5e3f6</x:v>
      </x:c>
      <x:c r="I77" s="36" t="n">
        <x:v>1</x:v>
      </x:c>
      <x:c r="J77" s="36" t="str">
        <x:v>Published historical baseline</x:v>
      </x:c>
      <x:c r="K77" s="36" t="str">
        <x:v>CONTEXT / PRESERVED</x:v>
      </x:c>
      <x:c r="L77" s="36" t="str"/>
      <x:c r="M77" s="36" t="str">
        <x:v>Retain read-only; current authority remains 00–34.</x:v>
      </x:c>
      <x:c r="N77" s="36" t="str">
        <x:v>Preserved context; not mined as normative authority.</x:v>
      </x:c>
      <x:c r="O77" s="36" t="str">
        <x:v>00_Official_Baseline/v0.4/01_Design/Cartridge_And_Cloud_UX_Flow_v0.3.pdf</x:v>
      </x:c>
    </x:row>
    <x:row r="78">
      <x:c r="A78" s="27" t="str">
        <x:v>HIST-0074</x:v>
      </x:c>
      <x:c r="B78" s="27" t="str">
        <x:v>00_Official_Baseline</x:v>
      </x:c>
      <x:c r="C78" s="27" t="str">
        <x:v>v0.4</x:v>
      </x:c>
      <x:c r="D78" s="27" t="str"/>
      <x:c r="E78" s="36" t="str">
        <x:v>Cartridge_And_Cloud_Vertical_Slice_Specification_v0.2.pdf</x:v>
      </x:c>
      <x:c r="F78" s="36" t="str">
        <x:v>PDF</x:v>
      </x:c>
      <x:c r="G78" s="54" t="n">
        <x:v>53623</x:v>
      </x:c>
      <x:c r="H78" s="36" t="str">
        <x:v>d2505a3ba89c696248ddad9d0e3c4c7516eb0cf93b124111f2a4e3c6291bc46e</x:v>
      </x:c>
      <x:c r="I78" s="36" t="n">
        <x:v>1</x:v>
      </x:c>
      <x:c r="J78" s="36" t="str">
        <x:v>Published historical baseline</x:v>
      </x:c>
      <x:c r="K78" s="36" t="str">
        <x:v>CONTEXT / PRESERVED</x:v>
      </x:c>
      <x:c r="L78" s="36" t="str"/>
      <x:c r="M78" s="36" t="str">
        <x:v>Retain read-only; current authority remains 00–34.</x:v>
      </x:c>
      <x:c r="N78" s="36" t="str">
        <x:v>Preserved context; not mined as normative authority.</x:v>
      </x:c>
      <x:c r="O78" s="36" t="str">
        <x:v>00_Official_Baseline/v0.4/01_Design/Cartridge_And_Cloud_Vertical_Slice_Specification_v0.2.pdf</x:v>
      </x:c>
    </x:row>
    <x:row r="79">
      <x:c r="A79" s="27" t="str">
        <x:v>HIST-0075</x:v>
      </x:c>
      <x:c r="B79" s="27" t="str">
        <x:v>00_Official_Baseline</x:v>
      </x:c>
      <x:c r="C79" s="27" t="str">
        <x:v>v0.4</x:v>
      </x:c>
      <x:c r="D79" s="27" t="str"/>
      <x:c r="E79" s="36" t="str">
        <x:v>Cartridge_And_Cloud_Build_Versioning_Guide_v0.4.pdf</x:v>
      </x:c>
      <x:c r="F79" s="36" t="str">
        <x:v>PDF</x:v>
      </x:c>
      <x:c r="G79" s="54" t="n">
        <x:v>46424</x:v>
      </x:c>
      <x:c r="H79" s="36" t="str">
        <x:v>b26821c7646a0648c9bca240688bc7e3f82edd0c5ff853ac115e88ee3a742c4c</x:v>
      </x:c>
      <x:c r="I79" s="36" t="n">
        <x:v>1</x:v>
      </x:c>
      <x:c r="J79" s="36" t="str">
        <x:v>Published historical baseline</x:v>
      </x:c>
      <x:c r="K79" s="36" t="str">
        <x:v>CONTEXT / PRESERVED</x:v>
      </x:c>
      <x:c r="L79" s="36" t="str">
        <x:v>build</x:v>
      </x:c>
      <x:c r="M79" s="36" t="str">
        <x:v>Retain read-only; current authority remains 00–34.</x:v>
      </x:c>
      <x:c r="N79" s="36" t="str">
        <x:v>Preserved context; not mined as normative authority.</x:v>
      </x:c>
      <x:c r="O79" s="36" t="str">
        <x:v>00_Official_Baseline/v0.4/02_Technical/Cartridge_And_Cloud_Build_Versioning_Guide_v0.4.pdf</x:v>
      </x:c>
    </x:row>
    <x:row r="80">
      <x:c r="A80" s="27" t="str">
        <x:v>HIST-0076</x:v>
      </x:c>
      <x:c r="B80" s="27" t="str">
        <x:v>00_Official_Baseline</x:v>
      </x:c>
      <x:c r="C80" s="27" t="str">
        <x:v>v0.4</x:v>
      </x:c>
      <x:c r="D80" s="27" t="str"/>
      <x:c r="E80" s="36" t="str">
        <x:v>Cartridge_And_Cloud_CSharp_Coding_Standards_v0.3.pdf</x:v>
      </x:c>
      <x:c r="F80" s="36" t="str">
        <x:v>PDF</x:v>
      </x:c>
      <x:c r="G80" s="54" t="n">
        <x:v>44429</x:v>
      </x:c>
      <x:c r="H80" s="36" t="str">
        <x:v>996a4d5fe70a5a60c8e0194dfd167f527db03d9965cfdae83f6b8352447fec64</x:v>
      </x:c>
      <x:c r="I80" s="36" t="n">
        <x:v>1</x:v>
      </x:c>
      <x:c r="J80" s="36" t="str">
        <x:v>Published historical baseline</x:v>
      </x:c>
      <x:c r="K80" s="36" t="str">
        <x:v>CONTEXT / PRESERVED</x:v>
      </x:c>
      <x:c r="L80" s="36" t="str"/>
      <x:c r="M80" s="36" t="str">
        <x:v>Retain read-only; current authority remains 00–34.</x:v>
      </x:c>
      <x:c r="N80" s="36" t="str">
        <x:v>Preserved context; not mined as normative authority.</x:v>
      </x:c>
      <x:c r="O80" s="36" t="str">
        <x:v>00_Official_Baseline/v0.4/02_Technical/Cartridge_And_Cloud_CSharp_Coding_Standards_v0.3.pdf</x:v>
      </x:c>
    </x:row>
    <x:row r="81">
      <x:c r="A81" s="27" t="str">
        <x:v>HIST-0077</x:v>
      </x:c>
      <x:c r="B81" s="27" t="str">
        <x:v>00_Official_Baseline</x:v>
      </x:c>
      <x:c r="C81" s="27" t="str">
        <x:v>v0.4</x:v>
      </x:c>
      <x:c r="D81" s="27" t="str"/>
      <x:c r="E81" s="36" t="str">
        <x:v>Cartridge_And_Cloud_Modelo_de_Datos_v0.3.pdf</x:v>
      </x:c>
      <x:c r="F81" s="36" t="str">
        <x:v>PDF</x:v>
      </x:c>
      <x:c r="G81" s="54" t="n">
        <x:v>167248</x:v>
      </x:c>
      <x:c r="H81" s="36" t="str">
        <x:v>7b23bfd9335d0cca818896512b434579a5c94b20eac7185a6928e02e19175ab9</x:v>
      </x:c>
      <x:c r="I81" s="36" t="n">
        <x:v>1</x:v>
      </x:c>
      <x:c r="J81" s="36" t="str">
        <x:v>Published historical baseline</x:v>
      </x:c>
      <x:c r="K81" s="36" t="str">
        <x:v>CONTEXT / PRESERVED</x:v>
      </x:c>
      <x:c r="L81" s="36" t="str"/>
      <x:c r="M81" s="36" t="str">
        <x:v>Retain read-only; current authority remains 00–34.</x:v>
      </x:c>
      <x:c r="N81" s="36" t="str">
        <x:v>Preserved context; not mined as normative authority.</x:v>
      </x:c>
      <x:c r="O81" s="36" t="str">
        <x:v>00_Official_Baseline/v0.4/02_Technical/Cartridge_And_Cloud_Modelo_de_Datos_v0.3.pdf</x:v>
      </x:c>
    </x:row>
    <x:row r="82">
      <x:c r="A82" s="27" t="str">
        <x:v>HIST-0078</x:v>
      </x:c>
      <x:c r="B82" s="27" t="str">
        <x:v>00_Official_Baseline</x:v>
      </x:c>
      <x:c r="C82" s="27" t="str">
        <x:v>v0.4</x:v>
      </x:c>
      <x:c r="D82" s="27" t="str"/>
      <x:c r="E82" s="36" t="str">
        <x:v>Cartridge_And_Cloud_TDD_v0.4_Technical_Design_Document.pdf</x:v>
      </x:c>
      <x:c r="F82" s="36" t="str">
        <x:v>PDF</x:v>
      </x:c>
      <x:c r="G82" s="54" t="n">
        <x:v>75576</x:v>
      </x:c>
      <x:c r="H82" s="36" t="str">
        <x:v>b0f63b8bfcb72cb8b5a2671c6bdd3b51f8d79fffde681ae77be7539245f320ca</x:v>
      </x:c>
      <x:c r="I82" s="36" t="n">
        <x:v>1</x:v>
      </x:c>
      <x:c r="J82" s="36" t="str">
        <x:v>Published historical baseline</x:v>
      </x:c>
      <x:c r="K82" s="36" t="str">
        <x:v>CONTEXT / PRESERVED</x:v>
      </x:c>
      <x:c r="L82" s="36" t="str"/>
      <x:c r="M82" s="36" t="str">
        <x:v>Retain read-only; current authority remains 00–34.</x:v>
      </x:c>
      <x:c r="N82" s="36" t="str">
        <x:v>Preserved context; not mined as normative authority.</x:v>
      </x:c>
      <x:c r="O82" s="36" t="str">
        <x:v>00_Official_Baseline/v0.4/02_Technical/Cartridge_And_Cloud_TDD_v0.4_Technical_Design_Document.pdf</x:v>
      </x:c>
    </x:row>
    <x:row r="83">
      <x:c r="A83" s="27" t="str">
        <x:v>HIST-0079</x:v>
      </x:c>
      <x:c r="B83" s="27" t="str">
        <x:v>00_Official_Baseline</x:v>
      </x:c>
      <x:c r="C83" s="27" t="str">
        <x:v>v0.4</x:v>
      </x:c>
      <x:c r="D83" s="27" t="str"/>
      <x:c r="E83" s="36" t="str">
        <x:v>Cartridge_And_Cloud_Unity_Project_Setup_Guide_v0.4.pdf</x:v>
      </x:c>
      <x:c r="F83" s="36" t="str">
        <x:v>PDF</x:v>
      </x:c>
      <x:c r="G83" s="54" t="n">
        <x:v>50446</x:v>
      </x:c>
      <x:c r="H83" s="36" t="str">
        <x:v>c12af29fd274e9ae5e297364a7c48f65b78de03445aa666fcd8556339a7fc8b3</x:v>
      </x:c>
      <x:c r="I83" s="36" t="n">
        <x:v>1</x:v>
      </x:c>
      <x:c r="J83" s="36" t="str">
        <x:v>Published historical baseline</x:v>
      </x:c>
      <x:c r="K83" s="36" t="str">
        <x:v>CONTEXT / PRESERVED</x:v>
      </x:c>
      <x:c r="L83" s="36" t="str"/>
      <x:c r="M83" s="36" t="str">
        <x:v>Retain read-only; current authority remains 00–34.</x:v>
      </x:c>
      <x:c r="N83" s="36" t="str">
        <x:v>Preserved context; not mined as normative authority.</x:v>
      </x:c>
      <x:c r="O83" s="36" t="str">
        <x:v>00_Official_Baseline/v0.4/02_Technical/Cartridge_And_Cloud_Unity_Project_Setup_Guide_v0.4.pdf</x:v>
      </x:c>
    </x:row>
    <x:row r="84">
      <x:c r="A84" s="27" t="str">
        <x:v>HIST-0080</x:v>
      </x:c>
      <x:c r="B84" s="27" t="str">
        <x:v>00_Official_Baseline</x:v>
      </x:c>
      <x:c r="C84" s="27" t="str">
        <x:v>v0.4</x:v>
      </x:c>
      <x:c r="D84" s="27" t="str"/>
      <x:c r="E84" s="36" t="str">
        <x:v>Cartridge_And_Cloud_Art_Bible_v0.3.pdf</x:v>
      </x:c>
      <x:c r="F84" s="36" t="str">
        <x:v>PDF</x:v>
      </x:c>
      <x:c r="G84" s="54" t="n">
        <x:v>61240</x:v>
      </x:c>
      <x:c r="H84" s="36" t="str">
        <x:v>e11742ff33fd1b846ba63c46c029c949fafd19681cf39f473bfcb9d300d2bbc4</x:v>
      </x:c>
      <x:c r="I84" s="36" t="n">
        <x:v>1</x:v>
      </x:c>
      <x:c r="J84" s="36" t="str">
        <x:v>Published historical baseline</x:v>
      </x:c>
      <x:c r="K84" s="36" t="str">
        <x:v>CONTEXT / PRESERVED</x:v>
      </x:c>
      <x:c r="L84" s="36" t="str"/>
      <x:c r="M84" s="36" t="str">
        <x:v>Retain read-only; current authority remains 00–34.</x:v>
      </x:c>
      <x:c r="N84" s="36" t="str">
        <x:v>Preserved context; not mined as normative authority.</x:v>
      </x:c>
      <x:c r="O84" s="36" t="str">
        <x:v>00_Official_Baseline/v0.4/03_Visual_Audio/Cartridge_And_Cloud_Art_Bible_v0.3.pdf</x:v>
      </x:c>
    </x:row>
    <x:row r="85">
      <x:c r="A85" s="27" t="str">
        <x:v>HIST-0081</x:v>
      </x:c>
      <x:c r="B85" s="27" t="str">
        <x:v>00_Official_Baseline</x:v>
      </x:c>
      <x:c r="C85" s="27" t="str">
        <x:v>v0.4</x:v>
      </x:c>
      <x:c r="D85" s="27" t="str"/>
      <x:c r="E85" s="36" t="str">
        <x:v>Cartridge_And_Cloud_Audio_Bible_v0.3.pdf</x:v>
      </x:c>
      <x:c r="F85" s="36" t="str">
        <x:v>PDF</x:v>
      </x:c>
      <x:c r="G85" s="54" t="n">
        <x:v>42593</x:v>
      </x:c>
      <x:c r="H85" s="36" t="str">
        <x:v>eb7f12085ef69502fe5e1b53dc930bf97e9616fcdbc1fd2725e0022ec08e1214</x:v>
      </x:c>
      <x:c r="I85" s="36" t="n">
        <x:v>1</x:v>
      </x:c>
      <x:c r="J85" s="36" t="str">
        <x:v>Published historical baseline</x:v>
      </x:c>
      <x:c r="K85" s="36" t="str">
        <x:v>CONTEXT / PRESERVED</x:v>
      </x:c>
      <x:c r="L85" s="36" t="str"/>
      <x:c r="M85" s="36" t="str">
        <x:v>Retain read-only; current authority remains 00–34.</x:v>
      </x:c>
      <x:c r="N85" s="36" t="str">
        <x:v>Preserved context; not mined as normative authority.</x:v>
      </x:c>
      <x:c r="O85" s="36" t="str">
        <x:v>00_Official_Baseline/v0.4/03_Visual_Audio/Cartridge_And_Cloud_Audio_Bible_v0.3.pdf</x:v>
      </x:c>
    </x:row>
    <x:row r="86">
      <x:c r="A86" s="27" t="str">
        <x:v>HIST-0082</x:v>
      </x:c>
      <x:c r="B86" s="27" t="str">
        <x:v>00_Official_Baseline</x:v>
      </x:c>
      <x:c r="C86" s="27" t="str">
        <x:v>v0.4</x:v>
      </x:c>
      <x:c r="D86" s="27" t="str"/>
      <x:c r="E86" s="36" t="str">
        <x:v>Cartridge_And_Cloud_UI_Style_Guide_v0.3.pdf</x:v>
      </x:c>
      <x:c r="F86" s="36" t="str">
        <x:v>PDF</x:v>
      </x:c>
      <x:c r="G86" s="54" t="n">
        <x:v>129348</x:v>
      </x:c>
      <x:c r="H86" s="36" t="str">
        <x:v>738d1287f5d50a845095abe3fe39c9984f52c325f5a2bb2783b92e1648442417</x:v>
      </x:c>
      <x:c r="I86" s="36" t="n">
        <x:v>1</x:v>
      </x:c>
      <x:c r="J86" s="36" t="str">
        <x:v>Published historical baseline</x:v>
      </x:c>
      <x:c r="K86" s="36" t="str">
        <x:v>CONTEXT / PRESERVED</x:v>
      </x:c>
      <x:c r="L86" s="36" t="str"/>
      <x:c r="M86" s="36" t="str">
        <x:v>Retain read-only; current authority remains 00–34.</x:v>
      </x:c>
      <x:c r="N86" s="36" t="str">
        <x:v>Preserved context; not mined as normative authority.</x:v>
      </x:c>
      <x:c r="O86" s="36" t="str">
        <x:v>00_Official_Baseline/v0.4/03_Visual_Audio/Cartridge_And_Cloud_UI_Style_Guide_v0.3.pdf</x:v>
      </x:c>
    </x:row>
    <x:row r="87">
      <x:c r="A87" s="27" t="str">
        <x:v>HIST-0083</x:v>
      </x:c>
      <x:c r="B87" s="27" t="str">
        <x:v>00_Official_Baseline</x:v>
      </x:c>
      <x:c r="C87" s="27" t="str">
        <x:v>v0.4</x:v>
      </x:c>
      <x:c r="D87" s="27" t="str"/>
      <x:c r="E87" s="36" t="str">
        <x:v>Cartridge_And_Cloud_Excel_Maestro_Produccion_v0.4.xlsx</x:v>
      </x:c>
      <x:c r="F87" s="36" t="str">
        <x:v>XLSX</x:v>
      </x:c>
      <x:c r="G87" s="54" t="n">
        <x:v>23649</x:v>
      </x:c>
      <x:c r="H87" s="36" t="str">
        <x:v>2debe763b682a8988c47fa2a6abf179123d625588365dc7fe2eb9e3c484f7a37</x:v>
      </x:c>
      <x:c r="I87" s="36" t="n">
        <x:v>1</x:v>
      </x:c>
      <x:c r="J87" s="36" t="str">
        <x:v>Published historical baseline</x:v>
      </x:c>
      <x:c r="K87" s="36" t="str">
        <x:v>CONTEXT / PRESERVED</x:v>
      </x:c>
      <x:c r="L87" s="36" t="str">
        <x:v>qa</x:v>
      </x:c>
      <x:c r="M87" s="36" t="str">
        <x:v>Retain read-only; current authority remains 00–34.</x:v>
      </x:c>
      <x:c r="N87" s="36" t="str">
        <x:v>Preserved context; not mined as normative authority.</x:v>
      </x:c>
      <x:c r="O87" s="36" t="str">
        <x:v>00_Official_Baseline/v0.4/04_QA_Production/Cartridge_And_Cloud_Excel_Maestro_Produccion_v0.4.xlsx</x:v>
      </x:c>
    </x:row>
    <x:row r="88">
      <x:c r="A88" s="27" t="str">
        <x:v>HIST-0084</x:v>
      </x:c>
      <x:c r="B88" s="27" t="str">
        <x:v>00_Official_Baseline</x:v>
      </x:c>
      <x:c r="C88" s="27" t="str">
        <x:v>v0.4</x:v>
      </x:c>
      <x:c r="D88" s="27" t="str"/>
      <x:c r="E88" s="36" t="str">
        <x:v>Cartridge_And_Cloud_Production_Roadmap_Sprint_Plan_v0.4.pdf</x:v>
      </x:c>
      <x:c r="F88" s="36" t="str">
        <x:v>PDF</x:v>
      </x:c>
      <x:c r="G88" s="54" t="n">
        <x:v>45968</x:v>
      </x:c>
      <x:c r="H88" s="36" t="str">
        <x:v>a633ddefdface673e33411b00fd52a84d6984fecf5a49586352d2efb95ef4951</x:v>
      </x:c>
      <x:c r="I88" s="36" t="n">
        <x:v>1</x:v>
      </x:c>
      <x:c r="J88" s="36" t="str">
        <x:v>Published historical baseline</x:v>
      </x:c>
      <x:c r="K88" s="36" t="str">
        <x:v>SUPPORTING</x:v>
      </x:c>
      <x:c r="L88" s="36" t="str">
        <x:v>qa, roadmap, sprint</x:v>
      </x:c>
      <x:c r="M88" s="36" t="str">
        <x:v>Retain read-only; current authority remains 00–34.</x:v>
      </x:c>
      <x:c r="N88" s="36" t="str">
        <x:v>33 risk/continuity context</x:v>
      </x:c>
      <x:c r="O88" s="36" t="str">
        <x:v>00_Official_Baseline/v0.4/04_QA_Production/Cartridge_And_Cloud_Production_Roadmap_Sprint_Plan_v0.4.pdf</x:v>
      </x:c>
    </x:row>
    <x:row r="89">
      <x:c r="A89" s="27" t="str">
        <x:v>HIST-0085</x:v>
      </x:c>
      <x:c r="B89" s="27" t="str">
        <x:v>00_Official_Baseline</x:v>
      </x:c>
      <x:c r="C89" s="27" t="str">
        <x:v>v0.4</x:v>
      </x:c>
      <x:c r="D89" s="27" t="str"/>
      <x:c r="E89" s="36" t="str">
        <x:v>Cartridge_And_Cloud_QA_Testing_Matrix_v0.4.xlsx</x:v>
      </x:c>
      <x:c r="F89" s="36" t="str">
        <x:v>XLSX</x:v>
      </x:c>
      <x:c r="G89" s="54" t="n">
        <x:v>26049</x:v>
      </x:c>
      <x:c r="H89" s="36" t="str">
        <x:v>80d79fa25df8c4dfaf0e91ff3f0e519ffcd283d802cf9e418e06fa88fa01d4d4</x:v>
      </x:c>
      <x:c r="I89" s="36" t="n">
        <x:v>1</x:v>
      </x:c>
      <x:c r="J89" s="36" t="str">
        <x:v>Published historical baseline</x:v>
      </x:c>
      <x:c r="K89" s="36" t="str">
        <x:v>SUPPORTING</x:v>
      </x:c>
      <x:c r="L89" s="36" t="str">
        <x:v>qa, test</x:v>
      </x:c>
      <x:c r="M89" s="36" t="str">
        <x:v>Retain read-only; current authority remains 00–34.</x:v>
      </x:c>
      <x:c r="N89" s="36" t="str">
        <x:v>33 risk/continuity context</x:v>
      </x:c>
      <x:c r="O89" s="36" t="str">
        <x:v>00_Official_Baseline/v0.4/04_QA_Production/Cartridge_And_Cloud_QA_Testing_Matrix_v0.4.xlsx</x:v>
      </x:c>
    </x:row>
    <x:row r="90">
      <x:c r="A90" s="27" t="str">
        <x:v>HIST-0086</x:v>
      </x:c>
      <x:c r="B90" s="27" t="str">
        <x:v>00_Official_Baseline</x:v>
      </x:c>
      <x:c r="C90" s="27" t="str">
        <x:v>v0.4</x:v>
      </x:c>
      <x:c r="D90" s="27" t="str"/>
      <x:c r="E90" s="36" t="str">
        <x:v>Cartridge_And_Cloud_QA_Testing_Plan_v0.4.pdf</x:v>
      </x:c>
      <x:c r="F90" s="36" t="str">
        <x:v>PDF</x:v>
      </x:c>
      <x:c r="G90" s="54" t="n">
        <x:v>59968</x:v>
      </x:c>
      <x:c r="H90" s="36" t="str">
        <x:v>047a7bdd0a0b1ed6f9dec50aacc429bf1f18a2ba874fca0a28a270cc61bbfa45</x:v>
      </x:c>
      <x:c r="I90" s="36" t="n">
        <x:v>1</x:v>
      </x:c>
      <x:c r="J90" s="36" t="str">
        <x:v>Published historical baseline</x:v>
      </x:c>
      <x:c r="K90" s="36" t="str">
        <x:v>SUPPORTING</x:v>
      </x:c>
      <x:c r="L90" s="36" t="str">
        <x:v>qa, test</x:v>
      </x:c>
      <x:c r="M90" s="36" t="str">
        <x:v>Retain read-only; current authority remains 00–34.</x:v>
      </x:c>
      <x:c r="N90" s="36" t="str">
        <x:v>33 risk/continuity context</x:v>
      </x:c>
      <x:c r="O90" s="36" t="str">
        <x:v>00_Official_Baseline/v0.4/04_QA_Production/Cartridge_And_Cloud_QA_Testing_Plan_v0.4.pdf</x:v>
      </x:c>
    </x:row>
    <x:row r="91">
      <x:c r="A91" s="27" t="str">
        <x:v>HIST-0087</x:v>
      </x:c>
      <x:c r="B91" s="27" t="str">
        <x:v>00_Official_Baseline</x:v>
      </x:c>
      <x:c r="C91" s="27" t="str">
        <x:v>v0.4</x:v>
      </x:c>
      <x:c r="D91" s="27" t="str"/>
      <x:c r="E91" s="36" t="str">
        <x:v>Cartridge_And_Cloud_Trazabilidad_Control_Cambios_v0.4.xlsx</x:v>
      </x:c>
      <x:c r="F91" s="36" t="str">
        <x:v>XLSX</x:v>
      </x:c>
      <x:c r="G91" s="54" t="n">
        <x:v>26372</x:v>
      </x:c>
      <x:c r="H91" s="36" t="str">
        <x:v>b85a395a547c35e420ac1932cd80b1ac0b591d379abb119fd13626dc915e8684</x:v>
      </x:c>
      <x:c r="I91" s="36" t="n">
        <x:v>1</x:v>
      </x:c>
      <x:c r="J91" s="36" t="str">
        <x:v>Published historical baseline</x:v>
      </x:c>
      <x:c r="K91" s="36" t="str">
        <x:v>CONTEXT / PRESERVED</x:v>
      </x:c>
      <x:c r="L91" s="36" t="str">
        <x:v>qa</x:v>
      </x:c>
      <x:c r="M91" s="36" t="str">
        <x:v>Retain read-only; current authority remains 00–34.</x:v>
      </x:c>
      <x:c r="N91" s="36" t="str">
        <x:v>Preserved context; not mined as normative authority.</x:v>
      </x:c>
      <x:c r="O91" s="36" t="str">
        <x:v>00_Official_Baseline/v0.4/04_QA_Production/Cartridge_And_Cloud_Trazabilidad_Control_Cambios_v0.4.xlsx</x:v>
      </x:c>
    </x:row>
    <x:row r="92">
      <x:c r="A92" s="27" t="str">
        <x:v>HIST-0088</x:v>
      </x:c>
      <x:c r="B92" s="27" t="str">
        <x:v>00_Official_Baseline</x:v>
      </x:c>
      <x:c r="C92" s="27" t="str">
        <x:v>v0.4</x:v>
      </x:c>
      <x:c r="D92" s="27" t="str"/>
      <x:c r="E92" s="36" t="str">
        <x:v>Cartridge_And_Cloud_Legal_Credits_Licenses_Register_v0.3.pdf</x:v>
      </x:c>
      <x:c r="F92" s="36" t="str">
        <x:v>PDF</x:v>
      </x:c>
      <x:c r="G92" s="54" t="n">
        <x:v>42670</x:v>
      </x:c>
      <x:c r="H92" s="36" t="str">
        <x:v>e4105813b235d24b75edf539eae505342f58f1f26a4b087e870dcbda9d63f558</x:v>
      </x:c>
      <x:c r="I92" s="36" t="n">
        <x:v>1</x:v>
      </x:c>
      <x:c r="J92" s="36" t="str">
        <x:v>Published historical baseline</x:v>
      </x:c>
      <x:c r="K92" s="36" t="str">
        <x:v>SUPPORTING</x:v>
      </x:c>
      <x:c r="L92" s="36" t="str">
        <x:v>legal, license, release</x:v>
      </x:c>
      <x:c r="M92" s="36" t="str">
        <x:v>Retain read-only; current authority remains 00–34.</x:v>
      </x:c>
      <x:c r="N92" s="36" t="str">
        <x:v>33 risk/continuity context</x:v>
      </x:c>
      <x:c r="O92" s="36" t="str">
        <x:v>00_Official_Baseline/v0.4/05_Business_Release/Cartridge_And_Cloud_Legal_Credits_Licenses_Register_v0.3.pdf</x:v>
      </x:c>
    </x:row>
    <x:row r="93">
      <x:c r="A93" s="27" t="str">
        <x:v>HIST-0089</x:v>
      </x:c>
      <x:c r="B93" s="27" t="str">
        <x:v>00_Official_Baseline</x:v>
      </x:c>
      <x:c r="C93" s="27" t="str">
        <x:v>v0.4</x:v>
      </x:c>
      <x:c r="D93" s="27" t="str"/>
      <x:c r="E93" s="36" t="str">
        <x:v>Cartridge_And_Cloud_Localization_Plan_v0.3.pdf</x:v>
      </x:c>
      <x:c r="F93" s="36" t="str">
        <x:v>PDF</x:v>
      </x:c>
      <x:c r="G93" s="54" t="n">
        <x:v>43688</x:v>
      </x:c>
      <x:c r="H93" s="36" t="str">
        <x:v>fc6cb711af7107fecd82d8963f6461a6d2f00941e08d93ea535c16c8ce917c17</x:v>
      </x:c>
      <x:c r="I93" s="36" t="n">
        <x:v>1</x:v>
      </x:c>
      <x:c r="J93" s="36" t="str">
        <x:v>Published historical baseline</x:v>
      </x:c>
      <x:c r="K93" s="36" t="str">
        <x:v>CONTEXT / PRESERVED</x:v>
      </x:c>
      <x:c r="L93" s="36" t="str">
        <x:v>release</x:v>
      </x:c>
      <x:c r="M93" s="36" t="str">
        <x:v>Retain read-only; current authority remains 00–34.</x:v>
      </x:c>
      <x:c r="N93" s="36" t="str">
        <x:v>Preserved context; not mined as normative authority.</x:v>
      </x:c>
      <x:c r="O93" s="36" t="str">
        <x:v>00_Official_Baseline/v0.4/05_Business_Release/Cartridge_And_Cloud_Localization_Plan_v0.3.pdf</x:v>
      </x:c>
    </x:row>
    <x:row r="94">
      <x:c r="A94" s="27" t="str">
        <x:v>HIST-0090</x:v>
      </x:c>
      <x:c r="B94" s="27" t="str">
        <x:v>00_Official_Baseline</x:v>
      </x:c>
      <x:c r="C94" s="27" t="str">
        <x:v>v0.4</x:v>
      </x:c>
      <x:c r="D94" s="27" t="str"/>
      <x:c r="E94" s="36" t="str">
        <x:v>Cartridge_And_Cloud_Marketing_Plan_v0.3.pdf</x:v>
      </x:c>
      <x:c r="F94" s="36" t="str">
        <x:v>PDF</x:v>
      </x:c>
      <x:c r="G94" s="54" t="n">
        <x:v>49493</x:v>
      </x:c>
      <x:c r="H94" s="36" t="str">
        <x:v>e3f2d73b70e08702998abaf7eda9ccb1bf6b10c56f3b41188d02001a15e81a2c</x:v>
      </x:c>
      <x:c r="I94" s="36" t="n">
        <x:v>1</x:v>
      </x:c>
      <x:c r="J94" s="36" t="str">
        <x:v>Published historical baseline</x:v>
      </x:c>
      <x:c r="K94" s="36" t="str">
        <x:v>CONTEXT / PRESERVED</x:v>
      </x:c>
      <x:c r="L94" s="36" t="str">
        <x:v>release</x:v>
      </x:c>
      <x:c r="M94" s="36" t="str">
        <x:v>Retain read-only; current authority remains 00–34.</x:v>
      </x:c>
      <x:c r="N94" s="36" t="str">
        <x:v>Preserved context; not mined as normative authority.</x:v>
      </x:c>
      <x:c r="O94" s="36" t="str">
        <x:v>00_Official_Baseline/v0.4/05_Business_Release/Cartridge_And_Cloud_Marketing_Plan_v0.3.pdf</x:v>
      </x:c>
    </x:row>
    <x:row r="95">
      <x:c r="A95" s="27" t="str">
        <x:v>HIST-0091</x:v>
      </x:c>
      <x:c r="B95" s="27" t="str">
        <x:v>00_Official_Baseline</x:v>
      </x:c>
      <x:c r="C95" s="27" t="str">
        <x:v>v0.4</x:v>
      </x:c>
      <x:c r="D95" s="27" t="str"/>
      <x:c r="E95" s="36" t="str">
        <x:v>Cartridge_And_Cloud_Steam_Publishing_Plan_v0.3.pdf</x:v>
      </x:c>
      <x:c r="F95" s="36" t="str">
        <x:v>PDF</x:v>
      </x:c>
      <x:c r="G95" s="54" t="n">
        <x:v>43916</x:v>
      </x:c>
      <x:c r="H95" s="36" t="str">
        <x:v>b052a99f72f3b531b75b5950e5459fc6bd2a62c516be7dc1ad5e53d3a4684ec3</x:v>
      </x:c>
      <x:c r="I95" s="36" t="n">
        <x:v>1</x:v>
      </x:c>
      <x:c r="J95" s="36" t="str">
        <x:v>Published historical baseline</x:v>
      </x:c>
      <x:c r="K95" s="36" t="str">
        <x:v>SUPPORTING</x:v>
      </x:c>
      <x:c r="L95" s="36" t="str">
        <x:v>release, steam</x:v>
      </x:c>
      <x:c r="M95" s="36" t="str">
        <x:v>Retain read-only; current authority remains 00–34.</x:v>
      </x:c>
      <x:c r="N95" s="36" t="str">
        <x:v>33 risk/continuity context</x:v>
      </x:c>
      <x:c r="O95" s="36" t="str">
        <x:v>00_Official_Baseline/v0.4/05_Business_Release/Cartridge_And_Cloud_Steam_Publishing_Plan_v0.3.pdf</x:v>
      </x:c>
    </x:row>
    <x:row r="96">
      <x:c r="A96" s="27" t="str">
        <x:v>HIST-0092</x:v>
      </x:c>
      <x:c r="B96" s="27" t="str">
        <x:v>00_Official_Baseline</x:v>
      </x:c>
      <x:c r="C96" s="27" t="str">
        <x:v>v0.4</x:v>
      </x:c>
      <x:c r="D96" s="27" t="str">
        <x:v>Sprint 0</x:v>
      </x:c>
      <x:c r="E96" s="36" t="str">
        <x:v>ADR_Index_Sprint0.md</x:v>
      </x:c>
      <x:c r="F96" s="36" t="str">
        <x:v>MD</x:v>
      </x:c>
      <x:c r="G96" s="54" t="n">
        <x:v>662</x:v>
      </x:c>
      <x:c r="H96" s="36" t="str">
        <x:v>886bd7274c5a94b38fe3f83f980074a5364234f82a0806b116ad42478c5ec8d0</x:v>
      </x:c>
      <x:c r="I96" s="36" t="n">
        <x:v>1</x:v>
      </x:c>
      <x:c r="J96" s="36" t="str">
        <x:v>Published historical baseline</x:v>
      </x:c>
      <x:c r="K96" s="36" t="str">
        <x:v>DIRECT</x:v>
      </x:c>
      <x:c r="L96" s="36" t="str">
        <x:v>adr, audit, build, sprint, test</x:v>
      </x:c>
      <x:c r="M96" s="36" t="str">
        <x:v>Retain read-only; current authority remains 00–34.</x:v>
      </x:c>
      <x:c r="N96" s="36" t="str">
        <x:v>33 risk/continuity context</x:v>
      </x:c>
      <x:c r="O96" s="36" t="str">
        <x:v>00_Official_Baseline/v0.4/06_Development_Records/Governance/ADR_Index_Sprint0.md</x:v>
      </x:c>
    </x:row>
    <x:row r="97">
      <x:c r="A97" s="27" t="str">
        <x:v>HIST-0093</x:v>
      </x:c>
      <x:c r="B97" s="27" t="str">
        <x:v>00_Official_Baseline</x:v>
      </x:c>
      <x:c r="C97" s="27" t="str">
        <x:v>v0.4</x:v>
      </x:c>
      <x:c r="D97" s="27" t="str"/>
      <x:c r="E97" s="36" t="str">
        <x:v>Project_Foundation_Release_Record.md</x:v>
      </x:c>
      <x:c r="F97" s="36" t="str">
        <x:v>MD</x:v>
      </x:c>
      <x:c r="G97" s="54" t="n">
        <x:v>466</x:v>
      </x:c>
      <x:c r="H97" s="36" t="str">
        <x:v>f789933c54973d329e078dd5a561b43f174333653a36aca00ce5254daaac0aab</x:v>
      </x:c>
      <x:c r="I97" s="36" t="n">
        <x:v>1</x:v>
      </x:c>
      <x:c r="J97" s="36" t="str">
        <x:v>Published historical baseline</x:v>
      </x:c>
      <x:c r="K97" s="36" t="str">
        <x:v>SUPPORTING</x:v>
      </x:c>
      <x:c r="L97" s="36" t="str">
        <x:v>build, release, sprint, test</x:v>
      </x:c>
      <x:c r="M97" s="36" t="str">
        <x:v>Retain read-only; current authority remains 00–34.</x:v>
      </x:c>
      <x:c r="N97" s="36" t="str">
        <x:v>33 risk/continuity context</x:v>
      </x:c>
      <x:c r="O97" s="36" t="str">
        <x:v>00_Official_Baseline/v0.4/06_Development_Records/Governance/Project_Foundation_Release_Record.md</x:v>
      </x:c>
    </x:row>
    <x:row r="98">
      <x:c r="A98" s="27" t="str">
        <x:v>HIST-0094</x:v>
      </x:c>
      <x:c r="B98" s="27" t="str">
        <x:v>00_Official_Baseline</x:v>
      </x:c>
      <x:c r="C98" s="27" t="str">
        <x:v>v0.4</x:v>
      </x:c>
      <x:c r="D98" s="27" t="str">
        <x:v>Sprint 00</x:v>
      </x:c>
      <x:c r="E98" s="36" t="str">
        <x:v>DevelopmentEnvironment_Record.md</x:v>
      </x:c>
      <x:c r="F98" s="36" t="str">
        <x:v>MD</x:v>
      </x:c>
      <x:c r="G98" s="54" t="n">
        <x:v>1978</x:v>
      </x:c>
      <x:c r="H98" s="36" t="str">
        <x:v>34906df25b05006e5bf449ee1ee1a00a2ee89ba58b8b1b8f3c7a3b3ea9cc5906</x:v>
      </x:c>
      <x:c r="I98" s="36" t="n">
        <x:v>2</x:v>
      </x:c>
      <x:c r="J98" s="36" t="str">
        <x:v>Published historical baseline</x:v>
      </x:c>
      <x:c r="K98" s="36" t="str">
        <x:v>SUPPORTING</x:v>
      </x:c>
      <x:c r="L98" s="36" t="str">
        <x:v>build, sprint, test</x:v>
      </x:c>
      <x:c r="M98" s="36" t="str">
        <x:v>Retain read-only; current authority remains 00–34.</x:v>
      </x:c>
      <x:c r="N98" s="36" t="str">
        <x:v>33 risk/continuity context</x:v>
      </x:c>
      <x:c r="O98" s="36" t="str">
        <x:v>00_Official_Baseline/v0.4/06_Development_Records/Sprint_00/DevelopmentEnvironment_Record.md</x:v>
      </x:c>
    </x:row>
    <x:row r="99">
      <x:c r="A99" s="27" t="str">
        <x:v>HIST-0095</x:v>
      </x:c>
      <x:c r="B99" s="27" t="str">
        <x:v>00_Official_Baseline</x:v>
      </x:c>
      <x:c r="C99" s="27" t="str">
        <x:v>v0.4</x:v>
      </x:c>
      <x:c r="D99" s="27" t="str">
        <x:v>Sprint 00</x:v>
      </x:c>
      <x:c r="E99" s="36" t="str">
        <x:v>S0.10_Applied_Changes_Report.md</x:v>
      </x:c>
      <x:c r="F99" s="36" t="str">
        <x:v>MD</x:v>
      </x:c>
      <x:c r="G99" s="54" t="n">
        <x:v>1346</x:v>
      </x:c>
      <x:c r="H99" s="36" t="str">
        <x:v>45526d23c8ff676a2f472d3422f97cc9a9cf51893d2cdb6c7b9fe0d29e8cd717</x:v>
      </x:c>
      <x:c r="I99" s="36" t="n">
        <x:v>2</x:v>
      </x:c>
      <x:c r="J99" s="36" t="str">
        <x:v>Published historical baseline</x:v>
      </x:c>
      <x:c r="K99" s="36" t="str">
        <x:v>SUPPORTING</x:v>
      </x:c>
      <x:c r="L99" s="36" t="str">
        <x:v>backup, build, sprint, test</x:v>
      </x:c>
      <x:c r="M99" s="36" t="str">
        <x:v>Retain read-only; current authority remains 00–34.</x:v>
      </x:c>
      <x:c r="N99" s="36" t="str">
        <x:v>33 risk/continuity context</x:v>
      </x:c>
      <x:c r="O99" s="36" t="str">
        <x:v>00_Official_Baseline/v0.4/06_Development_Records/Sprint_00/S0.10_Applied_Changes_Report.md</x:v>
      </x:c>
    </x:row>
    <x:row r="100">
      <x:c r="A100" s="27" t="str">
        <x:v>HIST-0096</x:v>
      </x:c>
      <x:c r="B100" s="27" t="str">
        <x:v>00_Official_Baseline</x:v>
      </x:c>
      <x:c r="C100" s="27" t="str">
        <x:v>v0.4</x:v>
      </x:c>
      <x:c r="D100" s="27" t="str">
        <x:v>Sprint 00</x:v>
      </x:c>
      <x:c r="E100" s="36" t="str">
        <x:v>S0.10_Package_Review_Record.md</x:v>
      </x:c>
      <x:c r="F100" s="36" t="str">
        <x:v>MD</x:v>
      </x:c>
      <x:c r="G100" s="54" t="n">
        <x:v>1315</x:v>
      </x:c>
      <x:c r="H100" s="36" t="str">
        <x:v>6caa7be0ef49e9fa2fd1719400d3190cfdcf47ef7f3ff9211ef6560b4233a71a</x:v>
      </x:c>
      <x:c r="I100" s="36" t="n">
        <x:v>2</x:v>
      </x:c>
      <x:c r="J100" s="36" t="str">
        <x:v>Published historical baseline</x:v>
      </x:c>
      <x:c r="K100" s="36" t="str">
        <x:v>SUPPORTING</x:v>
      </x:c>
      <x:c r="L100" s="36" t="str">
        <x:v>build, sprint, test</x:v>
      </x:c>
      <x:c r="M100" s="36" t="str">
        <x:v>Retain read-only; current authority remains 00–34.</x:v>
      </x:c>
      <x:c r="N100" s="36" t="str">
        <x:v>33 risk/continuity context</x:v>
      </x:c>
      <x:c r="O100" s="36" t="str">
        <x:v>00_Official_Baseline/v0.4/06_Development_Records/Sprint_00/S0.10_Package_Review_Record.md</x:v>
      </x:c>
    </x:row>
    <x:row r="101">
      <x:c r="A101" s="27" t="str">
        <x:v>HIST-0097</x:v>
      </x:c>
      <x:c r="B101" s="27" t="str">
        <x:v>00_Official_Baseline</x:v>
      </x:c>
      <x:c r="C101" s="27" t="str">
        <x:v>v0.4</x:v>
      </x:c>
      <x:c r="D101" s="27" t="str">
        <x:v>Sprint 00</x:v>
      </x:c>
      <x:c r="E101" s="36" t="str">
        <x:v>S0.10_Sprint_Closure.md</x:v>
      </x:c>
      <x:c r="F101" s="36" t="str">
        <x:v>MD</x:v>
      </x:c>
      <x:c r="G101" s="54" t="n">
        <x:v>1233</x:v>
      </x:c>
      <x:c r="H101" s="36" t="str">
        <x:v>9f9d70fae2a2197c724f273e1279b1589c19641519e2795bda3ad32e954b5556</x:v>
      </x:c>
      <x:c r="I101" s="36" t="n">
        <x:v>2</x:v>
      </x:c>
      <x:c r="J101" s="36" t="str">
        <x:v>Published historical baseline</x:v>
      </x:c>
      <x:c r="K101" s="36" t="str">
        <x:v>DIRECT</x:v>
      </x:c>
      <x:c r="L101" s="36" t="str">
        <x:v>adr, audit, build, closure, sprint, test</x:v>
      </x:c>
      <x:c r="M101" s="36" t="str">
        <x:v>Retain read-only; current authority remains 00–34.</x:v>
      </x:c>
      <x:c r="N101" s="36" t="str">
        <x:v>33 risk/continuity context</x:v>
      </x:c>
      <x:c r="O101" s="36" t="str">
        <x:v>00_Official_Baseline/v0.4/06_Development_Records/Sprint_00/S0.10_Sprint_Closure.md</x:v>
      </x:c>
    </x:row>
    <x:row r="102">
      <x:c r="A102" s="27" t="str">
        <x:v>HIST-0098</x:v>
      </x:c>
      <x:c r="B102" s="27" t="str">
        <x:v>00_Official_Baseline</x:v>
      </x:c>
      <x:c r="C102" s="27" t="str">
        <x:v>v0.4</x:v>
      </x:c>
      <x:c r="D102" s="27" t="str">
        <x:v>Sprint 00</x:v>
      </x:c>
      <x:c r="E102" s="36" t="str">
        <x:v>S0.10_Validation_Checklist.md</x:v>
      </x:c>
      <x:c r="F102" s="36" t="str">
        <x:v>MD</x:v>
      </x:c>
      <x:c r="G102" s="54" t="n">
        <x:v>1121</x:v>
      </x:c>
      <x:c r="H102" s="36" t="str">
        <x:v>292c90a2509bf4000f78d77cba56b38740a72e8bc5c3b99c53a4de14e6fb1279</x:v>
      </x:c>
      <x:c r="I102" s="36" t="n">
        <x:v>2</x:v>
      </x:c>
      <x:c r="J102" s="36" t="str">
        <x:v>Published historical baseline</x:v>
      </x:c>
      <x:c r="K102" s="36" t="str">
        <x:v>SUPPORTING</x:v>
      </x:c>
      <x:c r="L102" s="36" t="str">
        <x:v>build, sprint, validation</x:v>
      </x:c>
      <x:c r="M102" s="36" t="str">
        <x:v>Retain read-only; current authority remains 00–34.</x:v>
      </x:c>
      <x:c r="N102" s="36" t="str">
        <x:v>33 risk/continuity context</x:v>
      </x:c>
      <x:c r="O102" s="36" t="str">
        <x:v>00_Official_Baseline/v0.4/06_Development_Records/Sprint_00/S0.10_Validation_Checklist.md</x:v>
      </x:c>
    </x:row>
    <x:row r="103">
      <x:c r="A103" s="27" t="str">
        <x:v>HIST-0099</x:v>
      </x:c>
      <x:c r="B103" s="27" t="str">
        <x:v>00_Official_Baseline</x:v>
      </x:c>
      <x:c r="C103" s="27" t="str">
        <x:v>v0.4</x:v>
      </x:c>
      <x:c r="D103" s="27" t="str">
        <x:v>Sprint 00</x:v>
      </x:c>
      <x:c r="E103" s="36" t="str">
        <x:v>S0.10_Windows_Final_Build_Record.md</x:v>
      </x:c>
      <x:c r="F103" s="36" t="str">
        <x:v>MD</x:v>
      </x:c>
      <x:c r="G103" s="54" t="n">
        <x:v>1484</x:v>
      </x:c>
      <x:c r="H103" s="36" t="str">
        <x:v>2bdddb6ad5bff23d564e9d179c0b31b5baa4dcf00624539571485725734231a2</x:v>
      </x:c>
      <x:c r="I103" s="36" t="n">
        <x:v>2</x:v>
      </x:c>
      <x:c r="J103" s="36" t="str">
        <x:v>Published historical baseline</x:v>
      </x:c>
      <x:c r="K103" s="36" t="str">
        <x:v>SUPPORTING</x:v>
      </x:c>
      <x:c r="L103" s="36" t="str">
        <x:v>build, sprint, test</x:v>
      </x:c>
      <x:c r="M103" s="36" t="str">
        <x:v>Retain read-only; current authority remains 00–34.</x:v>
      </x:c>
      <x:c r="N103" s="36" t="str">
        <x:v>33 risk/continuity context</x:v>
      </x:c>
      <x:c r="O103" s="36" t="str">
        <x:v>00_Official_Baseline/v0.4/06_Development_Records/Sprint_00/S0.10_Windows_Final_Build_Record.md</x:v>
      </x:c>
    </x:row>
    <x:row r="104">
      <x:c r="A104" s="27" t="str">
        <x:v>HIST-0100</x:v>
      </x:c>
      <x:c r="B104" s="27" t="str">
        <x:v>00_Official_Baseline</x:v>
      </x:c>
      <x:c r="C104" s="27" t="str">
        <x:v>v0.4</x:v>
      </x:c>
      <x:c r="D104" s="27" t="str">
        <x:v>Sprint 00</x:v>
      </x:c>
      <x:c r="E104" s="36" t="str">
        <x:v>Sprint_00_Closure_Record.md</x:v>
      </x:c>
      <x:c r="F104" s="36" t="str">
        <x:v>MD</x:v>
      </x:c>
      <x:c r="G104" s="54" t="n">
        <x:v>856</x:v>
      </x:c>
      <x:c r="H104" s="36" t="str">
        <x:v>40304282ce444aae9a485d1f9cbb27b6157460aef53ebee86d2c1e8c5aa7999a</x:v>
      </x:c>
      <x:c r="I104" s="36" t="n">
        <x:v>2</x:v>
      </x:c>
      <x:c r="J104" s="36" t="str">
        <x:v>Published historical baseline</x:v>
      </x:c>
      <x:c r="K104" s="36" t="str">
        <x:v>DIRECT</x:v>
      </x:c>
      <x:c r="L104" s="36" t="str">
        <x:v>audit, build, closure, sprint, test</x:v>
      </x:c>
      <x:c r="M104" s="36" t="str">
        <x:v>Retain read-only; current authority remains 00–34.</x:v>
      </x:c>
      <x:c r="N104" s="36" t="str">
        <x:v>33 risk/continuity context</x:v>
      </x:c>
      <x:c r="O104" s="36" t="str">
        <x:v>00_Official_Baseline/v0.4/06_Development_Records/Sprint_00/Sprint_00_Closure_Record.md</x:v>
      </x:c>
    </x:row>
    <x:row r="105">
      <x:c r="A105" s="27" t="str">
        <x:v>HIST-0101</x:v>
      </x:c>
      <x:c r="B105" s="27" t="str">
        <x:v>00_Official_Baseline</x:v>
      </x:c>
      <x:c r="C105" s="27" t="str">
        <x:v>v0.4</x:v>
      </x:c>
      <x:c r="D105" s="27" t="str">
        <x:v>Sprint 00</x:v>
      </x:c>
      <x:c r="E105" s="36" t="str">
        <x:v>Sprint_00_Current_Status.md</x:v>
      </x:c>
      <x:c r="F105" s="36" t="str">
        <x:v>MD</x:v>
      </x:c>
      <x:c r="G105" s="54" t="n">
        <x:v>758</x:v>
      </x:c>
      <x:c r="H105" s="36" t="str">
        <x:v>89e8091242b513ea0e04589d73cf525f6a6f17b3c4d4d7da2b820737197083f8</x:v>
      </x:c>
      <x:c r="I105" s="36" t="n">
        <x:v>2</x:v>
      </x:c>
      <x:c r="J105" s="36" t="str">
        <x:v>Published historical baseline</x:v>
      </x:c>
      <x:c r="K105" s="36" t="str">
        <x:v>DIRECT</x:v>
      </x:c>
      <x:c r="L105" s="36" t="str">
        <x:v>build, closure, current_status, sprint, test</x:v>
      </x:c>
      <x:c r="M105" s="36" t="str">
        <x:v>Retain read-only; current authority remains 00–34.</x:v>
      </x:c>
      <x:c r="N105" s="36" t="str">
        <x:v>33 risk/continuity context</x:v>
      </x:c>
      <x:c r="O105" s="36" t="str">
        <x:v>00_Official_Baseline/v0.4/06_Development_Records/Sprint_00/Sprint_00_Current_Status.md</x:v>
      </x:c>
    </x:row>
    <x:row r="106">
      <x:c r="A106" s="27" t="str">
        <x:v>HIST-0102</x:v>
      </x:c>
      <x:c r="B106" s="27" t="str">
        <x:v>00_Official_Baseline</x:v>
      </x:c>
      <x:c r="C106" s="27" t="str">
        <x:v>v0.4</x:v>
      </x:c>
      <x:c r="D106" s="27" t="str">
        <x:v>Sprint 00</x:v>
      </x:c>
      <x:c r="E106" s="36" t="str">
        <x:v>Sprint_00_Foundation_Baseline.md</x:v>
      </x:c>
      <x:c r="F106" s="36" t="str">
        <x:v>MD</x:v>
      </x:c>
      <x:c r="G106" s="54" t="n">
        <x:v>1238</x:v>
      </x:c>
      <x:c r="H106" s="36" t="str">
        <x:v>0fed73bbd55bee471c7c2858bd09fcf946b308aab364d00455595c10a2b2e877</x:v>
      </x:c>
      <x:c r="I106" s="36" t="n">
        <x:v>2</x:v>
      </x:c>
      <x:c r="J106" s="36" t="str">
        <x:v>Published historical baseline</x:v>
      </x:c>
      <x:c r="K106" s="36" t="str">
        <x:v>SUPPORTING</x:v>
      </x:c>
      <x:c r="L106" s="36" t="str">
        <x:v>build, qa, sprint, test</x:v>
      </x:c>
      <x:c r="M106" s="36" t="str">
        <x:v>Retain read-only; current authority remains 00–34.</x:v>
      </x:c>
      <x:c r="N106" s="36" t="str">
        <x:v>33 risk/continuity context</x:v>
      </x:c>
      <x:c r="O106" s="36" t="str">
        <x:v>00_Official_Baseline/v0.4/06_Development_Records/Sprint_00/Sprint_00_Foundation_Baseline.md</x:v>
      </x:c>
    </x:row>
    <x:row r="107">
      <x:c r="A107" s="27" t="str">
        <x:v>HIST-0103</x:v>
      </x:c>
      <x:c r="B107" s="27" t="str">
        <x:v>00_Official_Baseline</x:v>
      </x:c>
      <x:c r="C107" s="27" t="str">
        <x:v>v0.4</x:v>
      </x:c>
      <x:c r="D107" s="27" t="str"/>
      <x:c r="E107" s="36" t="str">
        <x:v>00_Cartridge_And_Cloud_Guide_v0.4.md</x:v>
      </x:c>
      <x:c r="F107" s="36" t="str">
        <x:v>MD</x:v>
      </x:c>
      <x:c r="G107" s="54" t="n">
        <x:v>40622</x:v>
      </x:c>
      <x:c r="H107" s="36" t="str">
        <x:v>d2648692ec3db14ec9f36979f4e7efd35260635913de372de6f95e707f473bbf</x:v>
      </x:c>
      <x:c r="I107" s="36" t="n">
        <x:v>1</x:v>
      </x:c>
      <x:c r="J107" s="36" t="str">
        <x:v>Authoring source</x:v>
      </x:c>
      <x:c r="K107" s="36" t="str">
        <x:v>DIRECT</x:v>
      </x:c>
      <x:c r="L107" s="36" t="str">
        <x:v>adr, audit, build, continuidad, legal, qa, release, riesgo, roadmap, save, sprint, steam, test</x:v>
      </x:c>
      <x:c r="M107" s="36" t="str">
        <x:v>Retain read-only; current authority remains 00–34.</x:v>
      </x:c>
      <x:c r="N107" s="36" t="str">
        <x:v>33 risk/continuity context</x:v>
      </x:c>
      <x:c r="O107" s="36" t="str">
        <x:v>00_Official_Baseline/v0.4/99_Source_Markdown/00_Cartridge_And_Cloud_Guide_v0.4.md</x:v>
      </x:c>
    </x:row>
    <x:row r="108">
      <x:c r="A108" s="27" t="str">
        <x:v>HIST-0104</x:v>
      </x:c>
      <x:c r="B108" s="27" t="str">
        <x:v>00_Official_Baseline</x:v>
      </x:c>
      <x:c r="C108" s="27" t="str">
        <x:v>v0.4</x:v>
      </x:c>
      <x:c r="D108" s="27" t="str"/>
      <x:c r="E108" s="36" t="str">
        <x:v>Cartridge_And_Cloud_Art_Bible_v0.3.md</x:v>
      </x:c>
      <x:c r="F108" s="36" t="str">
        <x:v>MD</x:v>
      </x:c>
      <x:c r="G108" s="54" t="n">
        <x:v>13699</x:v>
      </x:c>
      <x:c r="H108" s="36" t="str">
        <x:v>9d12adda06afbf7db50291337b88095e23005722431fdb4959ffb33afc1ad0c7</x:v>
      </x:c>
      <x:c r="I108" s="36" t="n">
        <x:v>1</x:v>
      </x:c>
      <x:c r="J108" s="36" t="str">
        <x:v>Authoring source</x:v>
      </x:c>
      <x:c r="K108" s="36" t="str">
        <x:v>DIRECT</x:v>
      </x:c>
      <x:c r="L108" s="36" t="str">
        <x:v>adr, build, legal, qa, sprint, steam, test</x:v>
      </x:c>
      <x:c r="M108" s="36" t="str">
        <x:v>Retain read-only; current authority remains 00–34.</x:v>
      </x:c>
      <x:c r="N108" s="36" t="str">
        <x:v>33 risk/continuity context</x:v>
      </x:c>
      <x:c r="O108" s="36" t="str">
        <x:v>00_Official_Baseline/v0.4/99_Source_Markdown/Cartridge_And_Cloud_Art_Bible_v0.3.md</x:v>
      </x:c>
    </x:row>
    <x:row r="109">
      <x:c r="A109" s="27" t="str">
        <x:v>HIST-0105</x:v>
      </x:c>
      <x:c r="B109" s="27" t="str">
        <x:v>00_Official_Baseline</x:v>
      </x:c>
      <x:c r="C109" s="27" t="str">
        <x:v>v0.4</x:v>
      </x:c>
      <x:c r="D109" s="27" t="str"/>
      <x:c r="E109" s="36" t="str">
        <x:v>Cartridge_And_Cloud_Audio_Bible_v0.3.md</x:v>
      </x:c>
      <x:c r="F109" s="36" t="str">
        <x:v>MD</x:v>
      </x:c>
      <x:c r="G109" s="54" t="n">
        <x:v>4032</x:v>
      </x:c>
      <x:c r="H109" s="36" t="str">
        <x:v>9de246aa116d50e54ce46f23ea6e683d337ce3d58f06023af66c068fa6803f4a</x:v>
      </x:c>
      <x:c r="I109" s="36" t="n">
        <x:v>1</x:v>
      </x:c>
      <x:c r="J109" s="36" t="str">
        <x:v>Authoring source</x:v>
      </x:c>
      <x:c r="K109" s="36" t="str">
        <x:v>DIRECT</x:v>
      </x:c>
      <x:c r="L109" s="36" t="str">
        <x:v>build, qa, sprint, steam, test</x:v>
      </x:c>
      <x:c r="M109" s="36" t="str">
        <x:v>Retain read-only; current authority remains 00–34.</x:v>
      </x:c>
      <x:c r="N109" s="36" t="str">
        <x:v>33 risk/continuity context</x:v>
      </x:c>
      <x:c r="O109" s="36" t="str">
        <x:v>00_Official_Baseline/v0.4/99_Source_Markdown/Cartridge_And_Cloud_Audio_Bible_v0.3.md</x:v>
      </x:c>
    </x:row>
    <x:row r="110">
      <x:c r="A110" s="27" t="str">
        <x:v>HIST-0106</x:v>
      </x:c>
      <x:c r="B110" s="27" t="str">
        <x:v>00_Official_Baseline</x:v>
      </x:c>
      <x:c r="C110" s="27" t="str">
        <x:v>v0.4</x:v>
      </x:c>
      <x:c r="D110" s="27" t="str"/>
      <x:c r="E110" s="36" t="str">
        <x:v>Cartridge_And_Cloud_Build_Versioning_Guide_v0.4.md</x:v>
      </x:c>
      <x:c r="F110" s="36" t="str">
        <x:v>MD</x:v>
      </x:c>
      <x:c r="G110" s="54" t="n">
        <x:v>4723</x:v>
      </x:c>
      <x:c r="H110" s="36" t="str">
        <x:v>6ac0c7072b5ac4b1844d82daffe1ec5f241dba369145e5c62152e290b8309acd</x:v>
      </x:c>
      <x:c r="I110" s="36" t="n">
        <x:v>1</x:v>
      </x:c>
      <x:c r="J110" s="36" t="str">
        <x:v>Authoring source</x:v>
      </x:c>
      <x:c r="K110" s="36" t="str">
        <x:v>DIRECT</x:v>
      </x:c>
      <x:c r="L110" s="36" t="str">
        <x:v>build, checksum, qa, release, save, sprint, steam, test</x:v>
      </x:c>
      <x:c r="M110" s="36" t="str">
        <x:v>Retain read-only; current authority remains 00–34.</x:v>
      </x:c>
      <x:c r="N110" s="36" t="str">
        <x:v>33 risk/continuity context</x:v>
      </x:c>
      <x:c r="O110" s="36" t="str">
        <x:v>00_Official_Baseline/v0.4/99_Source_Markdown/Cartridge_And_Cloud_Build_Versioning_Guide_v0.4.md</x:v>
      </x:c>
    </x:row>
    <x:row r="111">
      <x:c r="A111" s="27" t="str">
        <x:v>HIST-0107</x:v>
      </x:c>
      <x:c r="B111" s="27" t="str">
        <x:v>00_Official_Baseline</x:v>
      </x:c>
      <x:c r="C111" s="27" t="str">
        <x:v>v0.4</x:v>
      </x:c>
      <x:c r="D111" s="27" t="str"/>
      <x:c r="E111" s="36" t="str">
        <x:v>Cartridge_And_Cloud_CSharp_Coding_Standards_v0.3.md</x:v>
      </x:c>
      <x:c r="F111" s="36" t="str">
        <x:v>MD</x:v>
      </x:c>
      <x:c r="G111" s="54" t="n">
        <x:v>4571</x:v>
      </x:c>
      <x:c r="H111" s="36" t="str">
        <x:v>d49fa93c9948fe7c66d049193e866b80a8aa58dea240d666941ceca171e38565</x:v>
      </x:c>
      <x:c r="I111" s="36" t="n">
        <x:v>1</x:v>
      </x:c>
      <x:c r="J111" s="36" t="str">
        <x:v>Authoring source</x:v>
      </x:c>
      <x:c r="K111" s="36" t="str">
        <x:v>DIRECT</x:v>
      </x:c>
      <x:c r="L111" s="36" t="str">
        <x:v>build, dependencia, save, sprint, steam, test</x:v>
      </x:c>
      <x:c r="M111" s="36" t="str">
        <x:v>Retain read-only; current authority remains 00–34.</x:v>
      </x:c>
      <x:c r="N111" s="36" t="str">
        <x:v>33 risk/continuity context</x:v>
      </x:c>
      <x:c r="O111" s="36" t="str">
        <x:v>00_Official_Baseline/v0.4/99_Source_Markdown/Cartridge_And_Cloud_CSharp_Coding_Standards_v0.3.md</x:v>
      </x:c>
    </x:row>
    <x:row r="112">
      <x:c r="A112" s="27" t="str">
        <x:v>HIST-0108</x:v>
      </x:c>
      <x:c r="B112" s="27" t="str">
        <x:v>00_Official_Baseline</x:v>
      </x:c>
      <x:c r="C112" s="27" t="str">
        <x:v>v0.4</x:v>
      </x:c>
      <x:c r="D112" s="27" t="str"/>
      <x:c r="E112" s="36" t="str">
        <x:v>Cartridge_And_Cloud_Document_Migration_Plan_v0.1.md</x:v>
      </x:c>
      <x:c r="F112" s="36" t="str">
        <x:v>MD</x:v>
      </x:c>
      <x:c r="G112" s="54" t="n">
        <x:v>3744</x:v>
      </x:c>
      <x:c r="H112" s="36" t="str">
        <x:v>686e0e814121e526e3f2505fa867e4be9b2dbfe91e80d9cbce12fa59db4de37f</x:v>
      </x:c>
      <x:c r="I112" s="36" t="n">
        <x:v>1</x:v>
      </x:c>
      <x:c r="J112" s="36" t="str">
        <x:v>Authoring source</x:v>
      </x:c>
      <x:c r="K112" s="36" t="str">
        <x:v>DIRECT</x:v>
      </x:c>
      <x:c r="L112" s="36" t="str">
        <x:v>build, legal, qa, roadmap, sprint, steam, test</x:v>
      </x:c>
      <x:c r="M112" s="36" t="str">
        <x:v>Retain read-only; current authority remains 00–34.</x:v>
      </x:c>
      <x:c r="N112" s="36" t="str">
        <x:v>33 risk/continuity context</x:v>
      </x:c>
      <x:c r="O112" s="36" t="str">
        <x:v>00_Official_Baseline/v0.4/99_Source_Markdown/Cartridge_And_Cloud_Document_Migration_Plan_v0.1.md</x:v>
      </x:c>
    </x:row>
    <x:row r="113">
      <x:c r="A113" s="27" t="str">
        <x:v>HIST-0109</x:v>
      </x:c>
      <x:c r="B113" s="27" t="str">
        <x:v>00_Official_Baseline</x:v>
      </x:c>
      <x:c r="C113" s="27" t="str">
        <x:v>v0.4</x:v>
      </x:c>
      <x:c r="D113" s="27" t="str"/>
      <x:c r="E113" s="36" t="str">
        <x:v>Cartridge_And_Cloud_Documentation_Validation_Report_v0.2.md</x:v>
      </x:c>
      <x:c r="F113" s="36" t="str">
        <x:v>MD</x:v>
      </x:c>
      <x:c r="G113" s="54" t="n">
        <x:v>2115</x:v>
      </x:c>
      <x:c r="H113" s="36" t="str">
        <x:v>cc60a6477abb733f9abfc2fab159b0a22d30dc134abe5e20ef6bdd4546b9c732</x:v>
      </x:c>
      <x:c r="I113" s="36" t="n">
        <x:v>2</x:v>
      </x:c>
      <x:c r="J113" s="36" t="str">
        <x:v>Authoring source</x:v>
      </x:c>
      <x:c r="K113" s="36" t="str">
        <x:v>DIRECT</x:v>
      </x:c>
      <x:c r="L113" s="36" t="str">
        <x:v>build, checksum, manifest, qa, release, roadmap, sprint, test, validation</x:v>
      </x:c>
      <x:c r="M113" s="36" t="str">
        <x:v>Retain read-only; current authority remains 00–34.</x:v>
      </x:c>
      <x:c r="N113" s="36" t="str">
        <x:v>33 risk/continuity context</x:v>
      </x:c>
      <x:c r="O113" s="36" t="str">
        <x:v>00_Official_Baseline/v0.4/99_Source_Markdown/Cartridge_And_Cloud_Documentation_Validation_Report_v0.2.md</x:v>
      </x:c>
    </x:row>
    <x:row r="114">
      <x:c r="A114" s="27" t="str">
        <x:v>HIST-0110</x:v>
      </x:c>
      <x:c r="B114" s="27" t="str">
        <x:v>00_Official_Baseline</x:v>
      </x:c>
      <x:c r="C114" s="27" t="str">
        <x:v>v0.4</x:v>
      </x:c>
      <x:c r="D114" s="27" t="str"/>
      <x:c r="E114" s="36" t="str">
        <x:v>Cartridge_And_Cloud_Economy_Balance_Specification_v0.1.md</x:v>
      </x:c>
      <x:c r="F114" s="36" t="str">
        <x:v>MD</x:v>
      </x:c>
      <x:c r="G114" s="54" t="n">
        <x:v>30549</x:v>
      </x:c>
      <x:c r="H114" s="36" t="str">
        <x:v>f83578295bab346c04186abd7d5ca64c006565617f38e71b8c229605b717fabc</x:v>
      </x:c>
      <x:c r="I114" s="36" t="n">
        <x:v>1</x:v>
      </x:c>
      <x:c r="J114" s="36" t="str">
        <x:v>Authoring source</x:v>
      </x:c>
      <x:c r="K114" s="36" t="str">
        <x:v>DIRECT</x:v>
      </x:c>
      <x:c r="L114" s="36" t="str">
        <x:v>build, qa, riesgo, save, seguridad, sprint, steam, test</x:v>
      </x:c>
      <x:c r="M114" s="36" t="str">
        <x:v>Retain read-only; current authority remains 00–34.</x:v>
      </x:c>
      <x:c r="N114" s="36" t="str">
        <x:v>33 risk/continuity context</x:v>
      </x:c>
      <x:c r="O114" s="36" t="str">
        <x:v>00_Official_Baseline/v0.4/99_Source_Markdown/Cartridge_And_Cloud_Economy_Balance_Specification_v0.1.md</x:v>
      </x:c>
    </x:row>
    <x:row r="115">
      <x:c r="A115" s="27" t="str">
        <x:v>HIST-0111</x:v>
      </x:c>
      <x:c r="B115" s="27" t="str">
        <x:v>00_Official_Baseline</x:v>
      </x:c>
      <x:c r="C115" s="27" t="str">
        <x:v>v0.4</x:v>
      </x:c>
      <x:c r="D115" s="27" t="str"/>
      <x:c r="E115" s="36" t="str">
        <x:v>Cartridge_And_Cloud_Enfoque_v0.6_PDF_Source.md</x:v>
      </x:c>
      <x:c r="F115" s="36" t="str">
        <x:v>MD</x:v>
      </x:c>
      <x:c r="G115" s="54" t="n">
        <x:v>124432</x:v>
      </x:c>
      <x:c r="H115" s="36" t="str">
        <x:v>8e6ba5102d28b0aa36d1306b531407587510850d2a7ca50691389d53ce938548</x:v>
      </x:c>
      <x:c r="I115" s="36" t="n">
        <x:v>1</x:v>
      </x:c>
      <x:c r="J115" s="36" t="str">
        <x:v>Authoring source</x:v>
      </x:c>
      <x:c r="K115" s="36" t="str">
        <x:v>DIRECT</x:v>
      </x:c>
      <x:c r="L115" s="36" t="str">
        <x:v>adr, audit, backup, build, continuidad, dependencia, incident, legal, qa, release, riesgo, roadmap, save, seguridad, sprint, steam, test, validation</x:v>
      </x:c>
      <x:c r="M115" s="36" t="str">
        <x:v>Retain read-only; current authority remains 00–34.</x:v>
      </x:c>
      <x:c r="N115" s="36" t="str">
        <x:v>33 risk/continuity context</x:v>
      </x:c>
      <x:c r="O115" s="36" t="str">
        <x:v>00_Official_Baseline/v0.4/99_Source_Markdown/Cartridge_And_Cloud_Enfoque_v0.6_PDF_Source.md</x:v>
      </x:c>
    </x:row>
    <x:row r="116">
      <x:c r="A116" s="27" t="str">
        <x:v>HIST-0112</x:v>
      </x:c>
      <x:c r="B116" s="27" t="str">
        <x:v>00_Official_Baseline</x:v>
      </x:c>
      <x:c r="C116" s="27" t="str">
        <x:v>v0.4</x:v>
      </x:c>
      <x:c r="D116" s="27" t="str"/>
      <x:c r="E116" s="36" t="str">
        <x:v>Cartridge_And_Cloud_GDD_v0.4_PCSteam.md</x:v>
      </x:c>
      <x:c r="F116" s="36" t="str">
        <x:v>MD</x:v>
      </x:c>
      <x:c r="G116" s="54" t="n">
        <x:v>114639</x:v>
      </x:c>
      <x:c r="H116" s="36" t="str">
        <x:v>88be82c3d3cfa4cb5965379e621b0aba522efa1217041cdc23a129ec4817485a</x:v>
      </x:c>
      <x:c r="I116" s="36" t="n">
        <x:v>1</x:v>
      </x:c>
      <x:c r="J116" s="36" t="str">
        <x:v>Authoring source</x:v>
      </x:c>
      <x:c r="K116" s="36" t="str">
        <x:v>DIRECT</x:v>
      </x:c>
      <x:c r="L116" s="36" t="str">
        <x:v>adr, audit, backup, build, continuidad, dependencia, incident, legal, qa, release, riesgo, roadmap, save, seguridad, sprint, steam, test, validation</x:v>
      </x:c>
      <x:c r="M116" s="36" t="str">
        <x:v>Retain read-only; current authority remains 00–34.</x:v>
      </x:c>
      <x:c r="N116" s="36" t="str">
        <x:v>33 risk/continuity context</x:v>
      </x:c>
      <x:c r="O116" s="36" t="str">
        <x:v>00_Official_Baseline/v0.4/99_Source_Markdown/Cartridge_And_Cloud_GDD_v0.4_PCSteam.md</x:v>
      </x:c>
    </x:row>
    <x:row r="117">
      <x:c r="A117" s="27" t="str">
        <x:v>HIST-0113</x:v>
      </x:c>
      <x:c r="B117" s="27" t="str">
        <x:v>00_Official_Baseline</x:v>
      </x:c>
      <x:c r="C117" s="27" t="str">
        <x:v>v0.4</x:v>
      </x:c>
      <x:c r="D117" s="27" t="str"/>
      <x:c r="E117" s="36" t="str">
        <x:v>Cartridge_And_Cloud_Initial_Content_Catalog_v0.1.md</x:v>
      </x:c>
      <x:c r="F117" s="36" t="str">
        <x:v>MD</x:v>
      </x:c>
      <x:c r="G117" s="54" t="n">
        <x:v>23118</x:v>
      </x:c>
      <x:c r="H117" s="36" t="str">
        <x:v>2bb04a31e3a2661e17e00f23ac0becc61b2c198a36fce87cf9f7aa1c76f07103</x:v>
      </x:c>
      <x:c r="I117" s="36" t="n">
        <x:v>1</x:v>
      </x:c>
      <x:c r="J117" s="36" t="str">
        <x:v>Authoring source</x:v>
      </x:c>
      <x:c r="K117" s="36" t="str">
        <x:v>DIRECT</x:v>
      </x:c>
      <x:c r="L117" s="36" t="str">
        <x:v>build, riesgo, seguridad, sprint, steam, test</x:v>
      </x:c>
      <x:c r="M117" s="36" t="str">
        <x:v>Retain read-only; current authority remains 00–34.</x:v>
      </x:c>
      <x:c r="N117" s="36" t="str">
        <x:v>33 risk/continuity context</x:v>
      </x:c>
      <x:c r="O117" s="36" t="str">
        <x:v>00_Official_Baseline/v0.4/99_Source_Markdown/Cartridge_And_Cloud_Initial_Content_Catalog_v0.1.md</x:v>
      </x:c>
    </x:row>
    <x:row r="118">
      <x:c r="A118" s="27" t="str">
        <x:v>HIST-0114</x:v>
      </x:c>
      <x:c r="B118" s="27" t="str">
        <x:v>00_Official_Baseline</x:v>
      </x:c>
      <x:c r="C118" s="27" t="str">
        <x:v>v0.4</x:v>
      </x:c>
      <x:c r="D118" s="27" t="str"/>
      <x:c r="E118" s="36" t="str">
        <x:v>Cartridge_And_Cloud_Legal_Credits_Licenses_Register_v0.3.md</x:v>
      </x:c>
      <x:c r="F118" s="36" t="str">
        <x:v>MD</x:v>
      </x:c>
      <x:c r="G118" s="54" t="n">
        <x:v>4077</x:v>
      </x:c>
      <x:c r="H118" s="36" t="str">
        <x:v>1a0e921f139b73179fe734eec452dcc3aa8c43860309390fe41ea1fb588fe81f</x:v>
      </x:c>
      <x:c r="I118" s="36" t="n">
        <x:v>1</x:v>
      </x:c>
      <x:c r="J118" s="36" t="str">
        <x:v>Authoring source</x:v>
      </x:c>
      <x:c r="K118" s="36" t="str">
        <x:v>DIRECT</x:v>
      </x:c>
      <x:c r="L118" s="36" t="str">
        <x:v>build, legal, license, qa, riesgo, seguridad, sprint, steam, test</x:v>
      </x:c>
      <x:c r="M118" s="36" t="str">
        <x:v>Retain read-only; current authority remains 00–34.</x:v>
      </x:c>
      <x:c r="N118" s="36" t="str">
        <x:v>33 risk/continuity context</x:v>
      </x:c>
      <x:c r="O118" s="36" t="str">
        <x:v>00_Official_Baseline/v0.4/99_Source_Markdown/Cartridge_And_Cloud_Legal_Credits_Licenses_Register_v0.3.md</x:v>
      </x:c>
    </x:row>
    <x:row r="119">
      <x:c r="A119" s="27" t="str">
        <x:v>HIST-0115</x:v>
      </x:c>
      <x:c r="B119" s="27" t="str">
        <x:v>00_Official_Baseline</x:v>
      </x:c>
      <x:c r="C119" s="27" t="str">
        <x:v>v0.4</x:v>
      </x:c>
      <x:c r="D119" s="27" t="str"/>
      <x:c r="E119" s="36" t="str">
        <x:v>Cartridge_And_Cloud_Localization_Plan_v0.3.md</x:v>
      </x:c>
      <x:c r="F119" s="36" t="str">
        <x:v>MD</x:v>
      </x:c>
      <x:c r="G119" s="54" t="n">
        <x:v>3911</x:v>
      </x:c>
      <x:c r="H119" s="36" t="str">
        <x:v>2158be2c46ec697e617419a9192bbaa8a0dd4435b5c650fca9295921b958cb3a</x:v>
      </x:c>
      <x:c r="I119" s="36" t="n">
        <x:v>1</x:v>
      </x:c>
      <x:c r="J119" s="36" t="str">
        <x:v>Authoring source</x:v>
      </x:c>
      <x:c r="K119" s="36" t="str">
        <x:v>DIRECT</x:v>
      </x:c>
      <x:c r="L119" s="36" t="str">
        <x:v>build, qa, save, sprint, steam, test</x:v>
      </x:c>
      <x:c r="M119" s="36" t="str">
        <x:v>Retain read-only; current authority remains 00–34.</x:v>
      </x:c>
      <x:c r="N119" s="36" t="str">
        <x:v>33 risk/continuity context</x:v>
      </x:c>
      <x:c r="O119" s="36" t="str">
        <x:v>00_Official_Baseline/v0.4/99_Source_Markdown/Cartridge_And_Cloud_Localization_Plan_v0.3.md</x:v>
      </x:c>
    </x:row>
    <x:row r="120">
      <x:c r="A120" s="27" t="str">
        <x:v>HIST-0116</x:v>
      </x:c>
      <x:c r="B120" s="27" t="str">
        <x:v>00_Official_Baseline</x:v>
      </x:c>
      <x:c r="C120" s="27" t="str">
        <x:v>v0.4</x:v>
      </x:c>
      <x:c r="D120" s="27" t="str"/>
      <x:c r="E120" s="36" t="str">
        <x:v>Cartridge_And_Cloud_Marketing_Plan_v0.3.md</x:v>
      </x:c>
      <x:c r="F120" s="36" t="str">
        <x:v>MD</x:v>
      </x:c>
      <x:c r="G120" s="54" t="n">
        <x:v>8346</x:v>
      </x:c>
      <x:c r="H120" s="36" t="str">
        <x:v>c38c0faa88c5d3625e8814d5ec02eebb39d321819624b8dd0539d13f364d26e7</x:v>
      </x:c>
      <x:c r="I120" s="36" t="n">
        <x:v>1</x:v>
      </x:c>
      <x:c r="J120" s="36" t="str">
        <x:v>Authoring source</x:v>
      </x:c>
      <x:c r="K120" s="36" t="str">
        <x:v>DIRECT</x:v>
      </x:c>
      <x:c r="L120" s="36" t="str">
        <x:v>build, legal, riesgo, roadmap, save, sprint, steam, test</x:v>
      </x:c>
      <x:c r="M120" s="36" t="str">
        <x:v>Retain read-only; current authority remains 00–34.</x:v>
      </x:c>
      <x:c r="N120" s="36" t="str">
        <x:v>33 risk/continuity context</x:v>
      </x:c>
      <x:c r="O120" s="36" t="str">
        <x:v>00_Official_Baseline/v0.4/99_Source_Markdown/Cartridge_And_Cloud_Marketing_Plan_v0.3.md</x:v>
      </x:c>
    </x:row>
    <x:row r="121">
      <x:c r="A121" s="27" t="str">
        <x:v>HIST-0117</x:v>
      </x:c>
      <x:c r="B121" s="27" t="str">
        <x:v>00_Official_Baseline</x:v>
      </x:c>
      <x:c r="C121" s="27" t="str">
        <x:v>v0.4</x:v>
      </x:c>
      <x:c r="D121" s="27" t="str"/>
      <x:c r="E121" s="36" t="str">
        <x:v>Cartridge_And_Cloud_Modelo_de_Datos_v0.3.md</x:v>
      </x:c>
      <x:c r="F121" s="36" t="str">
        <x:v>MD</x:v>
      </x:c>
      <x:c r="G121" s="54" t="n">
        <x:v>71681</x:v>
      </x:c>
      <x:c r="H121" s="36" t="str">
        <x:v>3c722995fa9423f0de31cf9a45cf527574c5f77eb13f2788db0b84585baf8a0b</x:v>
      </x:c>
      <x:c r="I121" s="36" t="n">
        <x:v>1</x:v>
      </x:c>
      <x:c r="J121" s="36" t="str">
        <x:v>Authoring source</x:v>
      </x:c>
      <x:c r="K121" s="36" t="str">
        <x:v>DIRECT</x:v>
      </x:c>
      <x:c r="L121" s="36" t="str">
        <x:v>audit, backup, build, dependencia, dependency, incident, license, qa, release, riesgo, save, seguridad, sprint, steam, test, validation</x:v>
      </x:c>
      <x:c r="M121" s="36" t="str">
        <x:v>Retain read-only; current authority remains 00–34.</x:v>
      </x:c>
      <x:c r="N121" s="36" t="str">
        <x:v>33 risk/continuity context</x:v>
      </x:c>
      <x:c r="O121" s="36" t="str">
        <x:v>00_Official_Baseline/v0.4/99_Source_Markdown/Cartridge_And_Cloud_Modelo_de_Datos_v0.3.md</x:v>
      </x:c>
    </x:row>
    <x:row r="122">
      <x:c r="A122" s="27" t="str">
        <x:v>HIST-0118</x:v>
      </x:c>
      <x:c r="B122" s="27" t="str">
        <x:v>00_Official_Baseline</x:v>
      </x:c>
      <x:c r="C122" s="27" t="str">
        <x:v>v0.4</x:v>
      </x:c>
      <x:c r="D122" s="27" t="str"/>
      <x:c r="E122" s="36" t="str">
        <x:v>Cartridge_And_Cloud_Package_Manifest_v0.2.md</x:v>
      </x:c>
      <x:c r="F122" s="36" t="str">
        <x:v>MD</x:v>
      </x:c>
      <x:c r="G122" s="54" t="n">
        <x:v>2456</x:v>
      </x:c>
      <x:c r="H122" s="36" t="str">
        <x:v>ccf1ff8da3ecfb69e1ee93a902e1d13d706d5e7ada9ac4a185515c8f93cd2b7a</x:v>
      </x:c>
      <x:c r="I122" s="36" t="n">
        <x:v>2</x:v>
      </x:c>
      <x:c r="J122" s="36" t="str">
        <x:v>Authoring source</x:v>
      </x:c>
      <x:c r="K122" s="36" t="str">
        <x:v>DIRECT</x:v>
      </x:c>
      <x:c r="L122" s="36" t="str">
        <x:v>adr, build, checksum, legal, manifest, qa, release, roadmap, sprint, steam, test, validation</x:v>
      </x:c>
      <x:c r="M122" s="36" t="str">
        <x:v>Retain read-only; current authority remains 00–34.</x:v>
      </x:c>
      <x:c r="N122" s="36" t="str">
        <x:v>33 risk/continuity context</x:v>
      </x:c>
      <x:c r="O122" s="36" t="str">
        <x:v>00_Official_Baseline/v0.4/99_Source_Markdown/Cartridge_And_Cloud_Package_Manifest_v0.2.md</x:v>
      </x:c>
    </x:row>
    <x:row r="123">
      <x:c r="A123" s="27" t="str">
        <x:v>HIST-0119</x:v>
      </x:c>
      <x:c r="B123" s="27" t="str">
        <x:v>00_Official_Baseline</x:v>
      </x:c>
      <x:c r="C123" s="27" t="str">
        <x:v>v0.4</x:v>
      </x:c>
      <x:c r="D123" s="27" t="str"/>
      <x:c r="E123" s="36" t="str">
        <x:v>Cartridge_And_Cloud_Production_Roadmap_Sprint_Plan_v0.4.md</x:v>
      </x:c>
      <x:c r="F123" s="36" t="str">
        <x:v>MD</x:v>
      </x:c>
      <x:c r="G123" s="54" t="n">
        <x:v>6571</x:v>
      </x:c>
      <x:c r="H123" s="36" t="str">
        <x:v>e9976daa630e8bc1460831eea0c3d280d24f38d3907ef3dd97baec6e35661404</x:v>
      </x:c>
      <x:c r="I123" s="36" t="n">
        <x:v>1</x:v>
      </x:c>
      <x:c r="J123" s="36" t="str">
        <x:v>Authoring source</x:v>
      </x:c>
      <x:c r="K123" s="36" t="str">
        <x:v>DIRECT</x:v>
      </x:c>
      <x:c r="L123" s="36" t="str">
        <x:v>acceptance, backup, build, closure, dependencia, qa, riesgo, roadmap, save, sprint, steam, test, validation</x:v>
      </x:c>
      <x:c r="M123" s="36" t="str">
        <x:v>Retain read-only; current authority remains 00–34.</x:v>
      </x:c>
      <x:c r="N123" s="36" t="str">
        <x:v>33 risk/continuity context</x:v>
      </x:c>
      <x:c r="O123" s="36" t="str">
        <x:v>00_Official_Baseline/v0.4/99_Source_Markdown/Cartridge_And_Cloud_Production_Roadmap_Sprint_Plan_v0.4.md</x:v>
      </x:c>
    </x:row>
    <x:row r="124">
      <x:c r="A124" s="27" t="str">
        <x:v>HIST-0120</x:v>
      </x:c>
      <x:c r="B124" s="27" t="str">
        <x:v>00_Official_Baseline</x:v>
      </x:c>
      <x:c r="C124" s="27" t="str">
        <x:v>v0.4</x:v>
      </x:c>
      <x:c r="D124" s="27" t="str"/>
      <x:c r="E124" s="36" t="str">
        <x:v>Cartridge_And_Cloud_Project_Binder_Indice_Maestro_v0.4.md</x:v>
      </x:c>
      <x:c r="F124" s="36" t="str">
        <x:v>MD</x:v>
      </x:c>
      <x:c r="G124" s="54" t="n">
        <x:v>2334</x:v>
      </x:c>
      <x:c r="H124" s="36" t="str">
        <x:v>02d4f9ad4e668399497cec77be435926531690b2e1636a0c288b15156b61c4fc</x:v>
      </x:c>
      <x:c r="I124" s="36" t="n">
        <x:v>1</x:v>
      </x:c>
      <x:c r="J124" s="36" t="str">
        <x:v>Authoring source</x:v>
      </x:c>
      <x:c r="K124" s="36" t="str">
        <x:v>DIRECT</x:v>
      </x:c>
      <x:c r="L124" s="36" t="str">
        <x:v>adr, build, legal, qa, roadmap, sprint, steam, test</x:v>
      </x:c>
      <x:c r="M124" s="36" t="str">
        <x:v>Retain read-only; current authority remains 00–34.</x:v>
      </x:c>
      <x:c r="N124" s="36" t="str">
        <x:v>33 risk/continuity context</x:v>
      </x:c>
      <x:c r="O124" s="36" t="str">
        <x:v>00_Official_Baseline/v0.4/99_Source_Markdown/Cartridge_And_Cloud_Project_Binder_Indice_Maestro_v0.4.md</x:v>
      </x:c>
    </x:row>
    <x:row r="125">
      <x:c r="A125" s="27" t="str">
        <x:v>HIST-0121</x:v>
      </x:c>
      <x:c r="B125" s="27" t="str">
        <x:v>00_Official_Baseline</x:v>
      </x:c>
      <x:c r="C125" s="27" t="str">
        <x:v>v0.4</x:v>
      </x:c>
      <x:c r="D125" s="27" t="str"/>
      <x:c r="E125" s="36" t="str">
        <x:v>Cartridge_And_Cloud_QA_Testing_Plan_v0.4.md</x:v>
      </x:c>
      <x:c r="F125" s="36" t="str">
        <x:v>MD</x:v>
      </x:c>
      <x:c r="G125" s="54" t="n">
        <x:v>10116</x:v>
      </x:c>
      <x:c r="H125" s="36" t="str">
        <x:v>623c83bd390d3fb1e7cb09e554f6a29f63db662c7ca3e296c65938c65969a724</x:v>
      </x:c>
      <x:c r="I125" s="36" t="n">
        <x:v>1</x:v>
      </x:c>
      <x:c r="J125" s="36" t="str">
        <x:v>Authoring source</x:v>
      </x:c>
      <x:c r="K125" s="36" t="str">
        <x:v>DIRECT</x:v>
      </x:c>
      <x:c r="L125" s="36" t="str">
        <x:v>adr, audit, backup, build, dependencia, legal, performance, qa, riesgo, roadmap, save, sprint, steam, test</x:v>
      </x:c>
      <x:c r="M125" s="36" t="str">
        <x:v>Retain read-only; current authority remains 00–34.</x:v>
      </x:c>
      <x:c r="N125" s="36" t="str">
        <x:v>33 risk/continuity context</x:v>
      </x:c>
      <x:c r="O125" s="36" t="str">
        <x:v>00_Official_Baseline/v0.4/99_Source_Markdown/Cartridge_And_Cloud_QA_Testing_Plan_v0.4.md</x:v>
      </x:c>
    </x:row>
    <x:row r="126">
      <x:c r="A126" s="27" t="str">
        <x:v>HIST-0122</x:v>
      </x:c>
      <x:c r="B126" s="27" t="str">
        <x:v>00_Official_Baseline</x:v>
      </x:c>
      <x:c r="C126" s="27" t="str">
        <x:v>v0.4</x:v>
      </x:c>
      <x:c r="D126" s="27" t="str"/>
      <x:c r="E126" s="36" t="str">
        <x:v>Cartridge_And_Cloud_Steam_Publishing_Plan_v0.3.md</x:v>
      </x:c>
      <x:c r="F126" s="36" t="str">
        <x:v>MD</x:v>
      </x:c>
      <x:c r="G126" s="54" t="n">
        <x:v>4028</x:v>
      </x:c>
      <x:c r="H126" s="36" t="str">
        <x:v>56979c2830951e4a82a7d01793cebe9a930df4a773245de2b7489d0e73cb0777</x:v>
      </x:c>
      <x:c r="I126" s="36" t="n">
        <x:v>1</x:v>
      </x:c>
      <x:c r="J126" s="36" t="str">
        <x:v>Authoring source</x:v>
      </x:c>
      <x:c r="K126" s="36" t="str">
        <x:v>DIRECT</x:v>
      </x:c>
      <x:c r="L126" s="36" t="str">
        <x:v>backup, build, legal, qa, release, roadmap, save, sprint, steam, test</x:v>
      </x:c>
      <x:c r="M126" s="36" t="str">
        <x:v>Retain read-only; current authority remains 00–34.</x:v>
      </x:c>
      <x:c r="N126" s="36" t="str">
        <x:v>33 risk/continuity context</x:v>
      </x:c>
      <x:c r="O126" s="36" t="str">
        <x:v>00_Official_Baseline/v0.4/99_Source_Markdown/Cartridge_And_Cloud_Steam_Publishing_Plan_v0.3.md</x:v>
      </x:c>
    </x:row>
    <x:row r="127">
      <x:c r="A127" s="27" t="str">
        <x:v>HIST-0123</x:v>
      </x:c>
      <x:c r="B127" s="27" t="str">
        <x:v>00_Official_Baseline</x:v>
      </x:c>
      <x:c r="C127" s="27" t="str">
        <x:v>v0.4</x:v>
      </x:c>
      <x:c r="D127" s="27" t="str"/>
      <x:c r="E127" s="36" t="str">
        <x:v>Cartridge_And_Cloud_TDD_v0.4_Technical_Design_Document.md</x:v>
      </x:c>
      <x:c r="F127" s="36" t="str">
        <x:v>MD</x:v>
      </x:c>
      <x:c r="G127" s="54" t="n">
        <x:v>19073</x:v>
      </x:c>
      <x:c r="H127" s="36" t="str">
        <x:v>bd2237fa0323821c4d4717d89940f005bbce2c2232ac91a4dd72f54301fb879d</x:v>
      </x:c>
      <x:c r="I127" s="36" t="n">
        <x:v>1</x:v>
      </x:c>
      <x:c r="J127" s="36" t="str">
        <x:v>Authoring source</x:v>
      </x:c>
      <x:c r="K127" s="36" t="str">
        <x:v>DIRECT</x:v>
      </x:c>
      <x:c r="L127" s="36" t="str">
        <x:v>adr, audit, build, dependencia, qa, riesgo, roadmap, save, seguridad, sprint, steam, test</x:v>
      </x:c>
      <x:c r="M127" s="36" t="str">
        <x:v>Retain read-only; current authority remains 00–34.</x:v>
      </x:c>
      <x:c r="N127" s="36" t="str">
        <x:v>33 risk/continuity context</x:v>
      </x:c>
      <x:c r="O127" s="36" t="str">
        <x:v>00_Official_Baseline/v0.4/99_Source_Markdown/Cartridge_And_Cloud_TDD_v0.4_Technical_Design_Document.md</x:v>
      </x:c>
    </x:row>
    <x:row r="128">
      <x:c r="A128" s="27" t="str">
        <x:v>HIST-0124</x:v>
      </x:c>
      <x:c r="B128" s="27" t="str">
        <x:v>00_Official_Baseline</x:v>
      </x:c>
      <x:c r="C128" s="27" t="str">
        <x:v>v0.4</x:v>
      </x:c>
      <x:c r="D128" s="27" t="str"/>
      <x:c r="E128" s="36" t="str">
        <x:v>Cartridge_And_Cloud_UI_Style_Guide_v0.3.md</x:v>
      </x:c>
      <x:c r="F128" s="36" t="str">
        <x:v>MD</x:v>
      </x:c>
      <x:c r="G128" s="54" t="n">
        <x:v>47960</x:v>
      </x:c>
      <x:c r="H128" s="36" t="str">
        <x:v>8e0d241b40ecc46860cc6c51036f436d85ecfeca0cecfc721897b52396b7fca2</x:v>
      </x:c>
      <x:c r="I128" s="36" t="n">
        <x:v>1</x:v>
      </x:c>
      <x:c r="J128" s="36" t="str">
        <x:v>Authoring source</x:v>
      </x:c>
      <x:c r="K128" s="36" t="str">
        <x:v>DIRECT</x:v>
      </x:c>
      <x:c r="L128" s="36" t="str">
        <x:v>audit, backup, build, dependencia, incident, qa, release, riesgo, seguridad, sprint, steam, test, validation</x:v>
      </x:c>
      <x:c r="M128" s="36" t="str">
        <x:v>Retain read-only; current authority remains 00–34.</x:v>
      </x:c>
      <x:c r="N128" s="36" t="str">
        <x:v>33 risk/continuity context</x:v>
      </x:c>
      <x:c r="O128" s="36" t="str">
        <x:v>00_Official_Baseline/v0.4/99_Source_Markdown/Cartridge_And_Cloud_UI_Style_Guide_v0.3.md</x:v>
      </x:c>
    </x:row>
    <x:row r="129">
      <x:c r="A129" s="27" t="str">
        <x:v>HIST-0125</x:v>
      </x:c>
      <x:c r="B129" s="27" t="str">
        <x:v>00_Official_Baseline</x:v>
      </x:c>
      <x:c r="C129" s="27" t="str">
        <x:v>v0.4</x:v>
      </x:c>
      <x:c r="D129" s="27" t="str"/>
      <x:c r="E129" s="36" t="str">
        <x:v>Cartridge_And_Cloud_Unity_Project_Setup_Guide_v0.4.md</x:v>
      </x:c>
      <x:c r="F129" s="36" t="str">
        <x:v>MD</x:v>
      </x:c>
      <x:c r="G129" s="54" t="n">
        <x:v>5564</x:v>
      </x:c>
      <x:c r="H129" s="36" t="str">
        <x:v>0feb637a512b120a1515127467a5a9af0e97758c5a2f93627b6a4f3165b63cf8</x:v>
      </x:c>
      <x:c r="I129" s="36" t="n">
        <x:v>1</x:v>
      </x:c>
      <x:c r="J129" s="36" t="str">
        <x:v>Authoring source</x:v>
      </x:c>
      <x:c r="K129" s="36" t="str">
        <x:v>DIRECT</x:v>
      </x:c>
      <x:c r="L129" s="36" t="str">
        <x:v>build, legal, release, sprint, steam, test</x:v>
      </x:c>
      <x:c r="M129" s="36" t="str">
        <x:v>Retain read-only; current authority remains 00–34.</x:v>
      </x:c>
      <x:c r="N129" s="36" t="str">
        <x:v>33 risk/continuity context</x:v>
      </x:c>
      <x:c r="O129" s="36" t="str">
        <x:v>00_Official_Baseline/v0.4/99_Source_Markdown/Cartridge_And_Cloud_Unity_Project_Setup_Guide_v0.4.md</x:v>
      </x:c>
    </x:row>
    <x:row r="130">
      <x:c r="A130" s="27" t="str">
        <x:v>HIST-0126</x:v>
      </x:c>
      <x:c r="B130" s="27" t="str">
        <x:v>00_Official_Baseline</x:v>
      </x:c>
      <x:c r="C130" s="27" t="str">
        <x:v>v0.4</x:v>
      </x:c>
      <x:c r="D130" s="27" t="str"/>
      <x:c r="E130" s="36" t="str">
        <x:v>Cartridge_And_Cloud_UX_Flow_v0.3.md</x:v>
      </x:c>
      <x:c r="F130" s="36" t="str">
        <x:v>MD</x:v>
      </x:c>
      <x:c r="G130" s="54" t="n">
        <x:v>87568</x:v>
      </x:c>
      <x:c r="H130" s="36" t="str">
        <x:v>2f7e2355cb0e994394e536f8de514ba499aca16a2a81b8e6be1867a025842a9d</x:v>
      </x:c>
      <x:c r="I130" s="36" t="n">
        <x:v>1</x:v>
      </x:c>
      <x:c r="J130" s="36" t="str">
        <x:v>Authoring source</x:v>
      </x:c>
      <x:c r="K130" s="36" t="str">
        <x:v>DIRECT</x:v>
      </x:c>
      <x:c r="L130" s="36" t="str">
        <x:v>adr, audit, backup, build, dependencia, incident, qa, release, riesgo, save, seguridad, sprint, steam, test, validation</x:v>
      </x:c>
      <x:c r="M130" s="36" t="str">
        <x:v>Retain read-only; current authority remains 00–34.</x:v>
      </x:c>
      <x:c r="N130" s="36" t="str">
        <x:v>33 risk/continuity context</x:v>
      </x:c>
      <x:c r="O130" s="36" t="str">
        <x:v>00_Official_Baseline/v0.4/99_Source_Markdown/Cartridge_And_Cloud_UX_Flow_v0.3.md</x:v>
      </x:c>
    </x:row>
    <x:row r="131">
      <x:c r="A131" s="27" t="str">
        <x:v>HIST-0127</x:v>
      </x:c>
      <x:c r="B131" s="27" t="str">
        <x:v>00_Official_Baseline</x:v>
      </x:c>
      <x:c r="C131" s="27" t="str">
        <x:v>v0.4</x:v>
      </x:c>
      <x:c r="D131" s="27" t="str"/>
      <x:c r="E131" s="36" t="str">
        <x:v>Cartridge_And_Cloud_Vertical_Slice_Specification_v0.2.md</x:v>
      </x:c>
      <x:c r="F131" s="36" t="str">
        <x:v>MD</x:v>
      </x:c>
      <x:c r="G131" s="54" t="n">
        <x:v>9317</x:v>
      </x:c>
      <x:c r="H131" s="36" t="str">
        <x:v>884464e9599f0f1b66fdeff7a3c6422bf9d37b883817f480e0429ebdcd126b9d</x:v>
      </x:c>
      <x:c r="I131" s="36" t="n">
        <x:v>1</x:v>
      </x:c>
      <x:c r="J131" s="36" t="str">
        <x:v>Authoring source</x:v>
      </x:c>
      <x:c r="K131" s="36" t="str">
        <x:v>DIRECT</x:v>
      </x:c>
      <x:c r="L131" s="36" t="str">
        <x:v>adr, audit, build, qa, release, riesgo, roadmap, sprint, steam, test</x:v>
      </x:c>
      <x:c r="M131" s="36" t="str">
        <x:v>Retain read-only; current authority remains 00–34.</x:v>
      </x:c>
      <x:c r="N131" s="36" t="str">
        <x:v>33 risk/continuity context</x:v>
      </x:c>
      <x:c r="O131" s="36" t="str">
        <x:v>00_Official_Baseline/v0.4/99_Source_Markdown/Cartridge_And_Cloud_Vertical_Slice_Specification_v0.2.md</x:v>
      </x:c>
    </x:row>
    <x:row r="132">
      <x:c r="A132" s="27" t="str">
        <x:v>HIST-0128</x:v>
      </x:c>
      <x:c r="B132" s="27" t="str">
        <x:v>00_Official_Baseline</x:v>
      </x:c>
      <x:c r="C132" s="27" t="str">
        <x:v>v0.4</x:v>
      </x:c>
      <x:c r="D132" s="27" t="str"/>
      <x:c r="E132" s="36" t="str">
        <x:v>cc_style.css</x:v>
      </x:c>
      <x:c r="F132" s="36" t="str">
        <x:v>CSS</x:v>
      </x:c>
      <x:c r="G132" s="54" t="n">
        <x:v>2876</x:v>
      </x:c>
      <x:c r="H132" s="36" t="str">
        <x:v>63b2ea56fabf4c542eea9095cd50a0d8f8a56ac129b26178b429f3bbe5135a3b</x:v>
      </x:c>
      <x:c r="I132" s="36" t="n">
        <x:v>1</x:v>
      </x:c>
      <x:c r="J132" s="36" t="str">
        <x:v>Authoring source</x:v>
      </x:c>
      <x:c r="K132" s="36" t="str">
        <x:v>CONTEXT / PRESERVED</x:v>
      </x:c>
      <x:c r="L132" s="36" t="str"/>
      <x:c r="M132" s="36" t="str">
        <x:v>Retain read-only; current authority remains 00–34.</x:v>
      </x:c>
      <x:c r="N132" s="36" t="str">
        <x:v>Preserved context; not mined as normative authority.</x:v>
      </x:c>
      <x:c r="O132" s="36" t="str">
        <x:v>00_Official_Baseline/v0.4/99_Source_Markdown/cc_style.css</x:v>
      </x:c>
    </x:row>
    <x:row r="133">
      <x:c r="A133" s="27" t="str">
        <x:v>HIST-0129</x:v>
      </x:c>
      <x:c r="B133" s="27" t="str">
        <x:v>00_Official_Baseline</x:v>
      </x:c>
      <x:c r="C133" s="27" t="str">
        <x:v>v0.4</x:v>
      </x:c>
      <x:c r="D133" s="27" t="str"/>
      <x:c r="E133" s="36" t="str">
        <x:v>BASELINE_CHANGELOG_v0.3_to_v0.4.md</x:v>
      </x:c>
      <x:c r="F133" s="36" t="str">
        <x:v>MD</x:v>
      </x:c>
      <x:c r="G133" s="54" t="n">
        <x:v>1071</x:v>
      </x:c>
      <x:c r="H133" s="36" t="str">
        <x:v>3a7a302140f163b86c0e5328b9af5b669ad79ce0791537f6c59a0f735e0c7414</x:v>
      </x:c>
      <x:c r="I133" s="36" t="n">
        <x:v>1</x:v>
      </x:c>
      <x:c r="J133" s="36" t="str">
        <x:v>Published historical baseline</x:v>
      </x:c>
      <x:c r="K133" s="36" t="str">
        <x:v>DIRECT</x:v>
      </x:c>
      <x:c r="L133" s="36" t="str">
        <x:v>adr, build, closure, qa, release, roadmap, sprint, test</x:v>
      </x:c>
      <x:c r="M133" s="36" t="str">
        <x:v>Retain read-only; current authority remains 00–34.</x:v>
      </x:c>
      <x:c r="N133" s="36" t="str">
        <x:v>33 risk/continuity context</x:v>
      </x:c>
      <x:c r="O133" s="36" t="str">
        <x:v>00_Official_Baseline/v0.4/BASELINE_CHANGELOG_v0.3_to_v0.4.md</x:v>
      </x:c>
    </x:row>
    <x:row r="134">
      <x:c r="A134" s="27" t="str">
        <x:v>HIST-0130</x:v>
      </x:c>
      <x:c r="B134" s="27" t="str">
        <x:v>00_Official_Baseline</x:v>
      </x:c>
      <x:c r="C134" s="27" t="str">
        <x:v>v0.4</x:v>
      </x:c>
      <x:c r="D134" s="27" t="str"/>
      <x:c r="E134" s="36" t="str">
        <x:v>BASELINE_INTEGRITY_REPORT.md</x:v>
      </x:c>
      <x:c r="F134" s="36" t="str">
        <x:v>MD</x:v>
      </x:c>
      <x:c r="G134" s="54" t="n">
        <x:v>1301</x:v>
      </x:c>
      <x:c r="H134" s="36" t="str">
        <x:v>9e98408a51ce554834f31a15a8a66e9b643cdc97e8832ac9c208b2990b4273c6</x:v>
      </x:c>
      <x:c r="I134" s="36" t="n">
        <x:v>1</x:v>
      </x:c>
      <x:c r="J134" s="36" t="str">
        <x:v>Published historical baseline</x:v>
      </x:c>
      <x:c r="K134" s="36" t="str">
        <x:v>DIRECT</x:v>
      </x:c>
      <x:c r="L134" s="36" t="str">
        <x:v>build, qa, release, sprint, validation</x:v>
      </x:c>
      <x:c r="M134" s="36" t="str">
        <x:v>Retain read-only; current authority remains 00–34.</x:v>
      </x:c>
      <x:c r="N134" s="36" t="str">
        <x:v>33 risk/continuity context</x:v>
      </x:c>
      <x:c r="O134" s="36" t="str">
        <x:v>00_Official_Baseline/v0.4/BASELINE_INTEGRITY_REPORT.md</x:v>
      </x:c>
    </x:row>
    <x:row r="135">
      <x:c r="A135" s="27" t="str">
        <x:v>HIST-0131</x:v>
      </x:c>
      <x:c r="B135" s="27" t="str">
        <x:v>00_Official_Baseline</x:v>
      </x:c>
      <x:c r="C135" s="27" t="str">
        <x:v>v0.4</x:v>
      </x:c>
      <x:c r="D135" s="27" t="str"/>
      <x:c r="E135" s="36" t="str">
        <x:v>BASELINE_MANIFEST.csv</x:v>
      </x:c>
      <x:c r="F135" s="36" t="str">
        <x:v>CSV</x:v>
      </x:c>
      <x:c r="G135" s="54" t="n">
        <x:v>12748</x:v>
      </x:c>
      <x:c r="H135" s="36" t="str">
        <x:v>67ce4089b090ab1f7e349b83f7f5610020aac93fa6dfeedae9689ffe9f112d84</x:v>
      </x:c>
      <x:c r="I135" s="36" t="n">
        <x:v>1</x:v>
      </x:c>
      <x:c r="J135" s="36" t="str">
        <x:v>Published historical baseline</x:v>
      </x:c>
      <x:c r="K135" s="36" t="str">
        <x:v>DIRECT</x:v>
      </x:c>
      <x:c r="L135" s="36" t="str">
        <x:v>adr, build, closure, current_status, legal, license, manifest, qa, release, roadmap, sprint, steam, test, validation</x:v>
      </x:c>
      <x:c r="M135" s="36" t="str">
        <x:v>Retain read-only; current authority remains 00–34.</x:v>
      </x:c>
      <x:c r="N135" s="36" t="str">
        <x:v>33 risk/continuity context</x:v>
      </x:c>
      <x:c r="O135" s="36" t="str">
        <x:v>00_Official_Baseline/v0.4/BASELINE_MANIFEST.csv</x:v>
      </x:c>
    </x:row>
    <x:row r="136">
      <x:c r="A136" s="27" t="str">
        <x:v>HIST-0132</x:v>
      </x:c>
      <x:c r="B136" s="27" t="str">
        <x:v>00_Official_Baseline</x:v>
      </x:c>
      <x:c r="C136" s="27" t="str">
        <x:v>v0.4</x:v>
      </x:c>
      <x:c r="D136" s="27" t="str"/>
      <x:c r="E136" s="36" t="str">
        <x:v>CHECKSUMS_SHA256.txt</x:v>
      </x:c>
      <x:c r="F136" s="36" t="str">
        <x:v>TXT</x:v>
      </x:c>
      <x:c r="G136" s="54" t="n">
        <x:v>9591</x:v>
      </x:c>
      <x:c r="H136" s="36" t="str">
        <x:v>f07be7f38ffc3ed614994d4aeb0e08d3341f602758a090b3ce95e3eec5109464</x:v>
      </x:c>
      <x:c r="I136" s="36" t="n">
        <x:v>1</x:v>
      </x:c>
      <x:c r="J136" s="36" t="str">
        <x:v>Published historical baseline</x:v>
      </x:c>
      <x:c r="K136" s="36" t="str">
        <x:v>DIRECT</x:v>
      </x:c>
      <x:c r="L136" s="36" t="str">
        <x:v>adr, build, checksum, closure, current_status, legal, license, manifest, qa, release, roadmap, sprint, steam, test, validation</x:v>
      </x:c>
      <x:c r="M136" s="36" t="str">
        <x:v>Retain read-only; current authority remains 00–34.</x:v>
      </x:c>
      <x:c r="N136" s="36" t="str">
        <x:v>33 risk/continuity context</x:v>
      </x:c>
      <x:c r="O136" s="36" t="str">
        <x:v>00_Official_Baseline/v0.4/CHECKSUMS_SHA256.txt</x:v>
      </x:c>
    </x:row>
    <x:row r="137">
      <x:c r="A137" s="27" t="str">
        <x:v>HIST-0133</x:v>
      </x:c>
      <x:c r="B137" s="27" t="str">
        <x:v>00_Official_Baseline</x:v>
      </x:c>
      <x:c r="C137" s="27" t="str">
        <x:v>v0.4</x:v>
      </x:c>
      <x:c r="D137" s="27" t="str"/>
      <x:c r="E137" s="36" t="str">
        <x:v>DOCUMENT_LIFECYCLE_POLICY.md</x:v>
      </x:c>
      <x:c r="F137" s="36" t="str">
        <x:v>MD</x:v>
      </x:c>
      <x:c r="G137" s="54" t="n">
        <x:v>618</x:v>
      </x:c>
      <x:c r="H137" s="36" t="str">
        <x:v>72b9f34f2df9b72a5b593bab0505beb0f361b545e0eca3d22f62758e51eaa232</x:v>
      </x:c>
      <x:c r="I137" s="36" t="n">
        <x:v>1</x:v>
      </x:c>
      <x:c r="J137" s="36" t="str">
        <x:v>Published historical baseline</x:v>
      </x:c>
      <x:c r="K137" s="36" t="str">
        <x:v>DIRECT</x:v>
      </x:c>
      <x:c r="L137" s="36" t="str">
        <x:v>checksum, closure, manifest, qa, sprint</x:v>
      </x:c>
      <x:c r="M137" s="36" t="str">
        <x:v>Retain read-only; current authority remains 00–34.</x:v>
      </x:c>
      <x:c r="N137" s="36" t="str">
        <x:v>33 risk/continuity context</x:v>
      </x:c>
      <x:c r="O137" s="36" t="str">
        <x:v>00_Official_Baseline/v0.4/DOCUMENT_LIFECYCLE_POLICY.md</x:v>
      </x:c>
    </x:row>
    <x:row r="138">
      <x:c r="A138" s="27" t="str">
        <x:v>HIST-0134</x:v>
      </x:c>
      <x:c r="B138" s="27" t="str">
        <x:v>00_Official_Baseline</x:v>
      </x:c>
      <x:c r="C138" s="27" t="str">
        <x:v>v0.4</x:v>
      </x:c>
      <x:c r="D138" s="27" t="str"/>
      <x:c r="E138" s="36" t="str">
        <x:v>DOCUMENTATION_VALIDATION_REPORT.md</x:v>
      </x:c>
      <x:c r="F138" s="36" t="str">
        <x:v>MD</x:v>
      </x:c>
      <x:c r="G138" s="54" t="n">
        <x:v>2115</x:v>
      </x:c>
      <x:c r="H138" s="36" t="str">
        <x:v>cc60a6477abb733f9abfc2fab159b0a22d30dc134abe5e20ef6bdd4546b9c732</x:v>
      </x:c>
      <x:c r="I138" s="36" t="n">
        <x:v>2</x:v>
      </x:c>
      <x:c r="J138" s="36" t="str">
        <x:v>Published historical baseline</x:v>
      </x:c>
      <x:c r="K138" s="36" t="str">
        <x:v>DIRECT</x:v>
      </x:c>
      <x:c r="L138" s="36" t="str">
        <x:v>build, checksum, manifest, qa, release, roadmap, sprint, test, validation</x:v>
      </x:c>
      <x:c r="M138" s="36" t="str">
        <x:v>Retain read-only; current authority remains 00–34.</x:v>
      </x:c>
      <x:c r="N138" s="36" t="str">
        <x:v>33 risk/continuity context</x:v>
      </x:c>
      <x:c r="O138" s="36" t="str">
        <x:v>00_Official_Baseline/v0.4/DOCUMENTATION_VALIDATION_REPORT.md</x:v>
      </x:c>
    </x:row>
    <x:row r="139">
      <x:c r="A139" s="27" t="str">
        <x:v>HIST-0135</x:v>
      </x:c>
      <x:c r="B139" s="27" t="str">
        <x:v>00_Official_Baseline</x:v>
      </x:c>
      <x:c r="C139" s="27" t="str">
        <x:v>v0.4</x:v>
      </x:c>
      <x:c r="D139" s="27" t="str"/>
      <x:c r="E139" s="36" t="str">
        <x:v>MIGRATION_SUMMARY.md</x:v>
      </x:c>
      <x:c r="F139" s="36" t="str">
        <x:v>MD</x:v>
      </x:c>
      <x:c r="G139" s="54" t="n">
        <x:v>380</x:v>
      </x:c>
      <x:c r="H139" s="36" t="str">
        <x:v>5c1ed952d123b226f4f0301a9913f70bf2a42746bfd3701063a8a2c7355ff691</x:v>
      </x:c>
      <x:c r="I139" s="36" t="n">
        <x:v>1</x:v>
      </x:c>
      <x:c r="J139" s="36" t="str">
        <x:v>Published historical baseline</x:v>
      </x:c>
      <x:c r="K139" s="36" t="str">
        <x:v>SUPPORTING</x:v>
      </x:c>
      <x:c r="L139" s="36" t="str">
        <x:v>qa, sprint</x:v>
      </x:c>
      <x:c r="M139" s="36" t="str">
        <x:v>Retain read-only; current authority remains 00–34.</x:v>
      </x:c>
      <x:c r="N139" s="36" t="str">
        <x:v>33 risk/continuity context</x:v>
      </x:c>
      <x:c r="O139" s="36" t="str">
        <x:v>00_Official_Baseline/v0.4/MIGRATION_SUMMARY.md</x:v>
      </x:c>
    </x:row>
    <x:row r="140">
      <x:c r="A140" s="27" t="str">
        <x:v>HIST-0136</x:v>
      </x:c>
      <x:c r="B140" s="27" t="str">
        <x:v>00_Official_Baseline</x:v>
      </x:c>
      <x:c r="C140" s="27" t="str">
        <x:v>v0.4</x:v>
      </x:c>
      <x:c r="D140" s="27" t="str"/>
      <x:c r="E140" s="36" t="str">
        <x:v>PACKAGE_MANIFEST.md</x:v>
      </x:c>
      <x:c r="F140" s="36" t="str">
        <x:v>MD</x:v>
      </x:c>
      <x:c r="G140" s="54" t="n">
        <x:v>2456</x:v>
      </x:c>
      <x:c r="H140" s="36" t="str">
        <x:v>ccf1ff8da3ecfb69e1ee93a902e1d13d706d5e7ada9ac4a185515c8f93cd2b7a</x:v>
      </x:c>
      <x:c r="I140" s="36" t="n">
        <x:v>2</x:v>
      </x:c>
      <x:c r="J140" s="36" t="str">
        <x:v>Published historical baseline</x:v>
      </x:c>
      <x:c r="K140" s="36" t="str">
        <x:v>DIRECT</x:v>
      </x:c>
      <x:c r="L140" s="36" t="str">
        <x:v>adr, build, checksum, legal, manifest, qa, release, roadmap, sprint, steam, test, validation</x:v>
      </x:c>
      <x:c r="M140" s="36" t="str">
        <x:v>Retain read-only; current authority remains 00–34.</x:v>
      </x:c>
      <x:c r="N140" s="36" t="str">
        <x:v>33 risk/continuity context</x:v>
      </x:c>
      <x:c r="O140" s="36" t="str">
        <x:v>00_Official_Baseline/v0.4/PACKAGE_MANIFEST.md</x:v>
      </x:c>
    </x:row>
    <x:row r="141">
      <x:c r="A141" s="27" t="str">
        <x:v>HIST-0137</x:v>
      </x:c>
      <x:c r="B141" s="27" t="str">
        <x:v>00_Official_Baseline</x:v>
      </x:c>
      <x:c r="C141" s="27" t="str">
        <x:v>v0.4</x:v>
      </x:c>
      <x:c r="D141" s="27" t="str"/>
      <x:c r="E141" s="36" t="str">
        <x:v>README.en.md</x:v>
      </x:c>
      <x:c r="F141" s="36" t="str">
        <x:v>MD</x:v>
      </x:c>
      <x:c r="G141" s="54" t="n">
        <x:v>298</x:v>
      </x:c>
      <x:c r="H141" s="36" t="str">
        <x:v>d428feb2eda48918d7cbacb78b44b8fff9bb6cf01f9ab3b096444ad37814810a</x:v>
      </x:c>
      <x:c r="I141" s="36" t="n">
        <x:v>1</x:v>
      </x:c>
      <x:c r="J141" s="36" t="str">
        <x:v>Published historical baseline</x:v>
      </x:c>
      <x:c r="K141" s="36" t="str">
        <x:v>CONTEXT / PRESERVED</x:v>
      </x:c>
      <x:c r="L141" s="36" t="str">
        <x:v>sprint</x:v>
      </x:c>
      <x:c r="M141" s="36" t="str">
        <x:v>Retain read-only; current authority remains 00–34.</x:v>
      </x:c>
      <x:c r="N141" s="36" t="str">
        <x:v>Preserved context; not mined as normative authority.</x:v>
      </x:c>
      <x:c r="O141" s="36" t="str">
        <x:v>00_Official_Baseline/v0.4/README.en.md</x:v>
      </x:c>
    </x:row>
    <x:row r="142">
      <x:c r="A142" s="27" t="str">
        <x:v>HIST-0138</x:v>
      </x:c>
      <x:c r="B142" s="27" t="str">
        <x:v>00_Official_Baseline</x:v>
      </x:c>
      <x:c r="C142" s="27" t="str">
        <x:v>v0.4</x:v>
      </x:c>
      <x:c r="D142" s="27" t="str"/>
      <x:c r="E142" s="36" t="str">
        <x:v>README.md</x:v>
      </x:c>
      <x:c r="F142" s="36" t="str">
        <x:v>MD</x:v>
      </x:c>
      <x:c r="G142" s="54" t="n">
        <x:v>692</x:v>
      </x:c>
      <x:c r="H142" s="36" t="str">
        <x:v>c2e7a9edfe7df62aeeaf2092f66da7df4ed6b69f6a54527c92ca69c755fc327e</x:v>
      </x:c>
      <x:c r="I142" s="36" t="n">
        <x:v>1</x:v>
      </x:c>
      <x:c r="J142" s="36" t="str">
        <x:v>Published historical baseline</x:v>
      </x:c>
      <x:c r="K142" s="36" t="str">
        <x:v>DIRECT</x:v>
      </x:c>
      <x:c r="L142" s="36" t="str">
        <x:v>build, qa, release, sprint, test</x:v>
      </x:c>
      <x:c r="M142" s="36" t="str">
        <x:v>Retain read-only; current authority remains 00–34.</x:v>
      </x:c>
      <x:c r="N142" s="36" t="str">
        <x:v>33 risk/continuity context</x:v>
      </x:c>
      <x:c r="O142" s="36" t="str">
        <x:v>00_Official_Baseline/v0.4/README.md</x:v>
      </x:c>
    </x:row>
    <x:row r="143">
      <x:c r="A143" s="27" t="str">
        <x:v>HIST-0139</x:v>
      </x:c>
      <x:c r="B143" s="27" t="str">
        <x:v>00_Official_Baseline</x:v>
      </x:c>
      <x:c r="C143" s="27" t="str">
        <x:v>v0.4</x:v>
      </x:c>
      <x:c r="D143" s="27" t="str">
        <x:v>Sprint 0</x:v>
      </x:c>
      <x:c r="E143" s="36" t="str">
        <x:v>SPRINT0_DOCUMENT_IMPACT_MATRIX.md</x:v>
      </x:c>
      <x:c r="F143" s="36" t="str">
        <x:v>MD</x:v>
      </x:c>
      <x:c r="G143" s="54" t="n">
        <x:v>1625</x:v>
      </x:c>
      <x:c r="H143" s="36" t="str">
        <x:v>5cdf40826f5a6d4725b1a8cbf400731b9d9868fbfb3120c9e9858997e00741ce</x:v>
      </x:c>
      <x:c r="I143" s="36" t="n">
        <x:v>1</x:v>
      </x:c>
      <x:c r="J143" s="36" t="str">
        <x:v>Published historical baseline</x:v>
      </x:c>
      <x:c r="K143" s="36" t="str">
        <x:v>DIRECT</x:v>
      </x:c>
      <x:c r="L143" s="36" t="str">
        <x:v>build, manifest, qa, release, roadmap, sprint, steam, test, validation</x:v>
      </x:c>
      <x:c r="M143" s="36" t="str">
        <x:v>Retain read-only; current authority remains 00–34.</x:v>
      </x:c>
      <x:c r="N143" s="36" t="str">
        <x:v>33 risk/continuity context</x:v>
      </x:c>
      <x:c r="O143" s="36" t="str">
        <x:v>00_Official_Baseline/v0.4/SPRINT0_DOCUMENT_IMPACT_MATRIX.md</x:v>
      </x:c>
    </x:row>
    <x:row r="144">
      <x:c r="A144" s="27" t="str">
        <x:v>HIST-0140</x:v>
      </x:c>
      <x:c r="B144" s="27" t="str">
        <x:v>00_Official_Baseline</x:v>
      </x:c>
      <x:c r="C144" s="27" t="str">
        <x:v>v0.5</x:v>
      </x:c>
      <x:c r="D144" s="27" t="str"/>
      <x:c r="E144" s="36" t="str">
        <x:v>00_Cartridge_And_Cloud_Guide_v0.5.pdf</x:v>
      </x:c>
      <x:c r="F144" s="36" t="str">
        <x:v>PDF</x:v>
      </x:c>
      <x:c r="G144" s="54" t="n">
        <x:v>31429</x:v>
      </x:c>
      <x:c r="H144" s="36" t="str">
        <x:v>b7236ef8d3e5212160686a57f0ddd3d67691a66b992491031c4eafddde3aebd0</x:v>
      </x:c>
      <x:c r="I144" s="36" t="n">
        <x:v>1</x:v>
      </x:c>
      <x:c r="J144" s="36" t="str">
        <x:v>Published historical baseline</x:v>
      </x:c>
      <x:c r="K144" s="36" t="str">
        <x:v>CONTEXT / PRESERVED</x:v>
      </x:c>
      <x:c r="L144" s="36" t="str"/>
      <x:c r="M144" s="36" t="str">
        <x:v>Retain read-only; current authority remains 00–34.</x:v>
      </x:c>
      <x:c r="N144" s="36" t="str">
        <x:v>Preserved context; not mined as normative authority.</x:v>
      </x:c>
      <x:c r="O144" s="36" t="str">
        <x:v>00_Official_Baseline/v0.5/00_Project_Governance/00_Cartridge_And_Cloud_Guide_v0.5.pdf</x:v>
      </x:c>
    </x:row>
    <x:row r="145">
      <x:c r="A145" s="27" t="str">
        <x:v>HIST-0141</x:v>
      </x:c>
      <x:c r="B145" s="27" t="str">
        <x:v>00_Official_Baseline</x:v>
      </x:c>
      <x:c r="C145" s="27" t="str">
        <x:v>v0.5</x:v>
      </x:c>
      <x:c r="D145" s="27" t="str"/>
      <x:c r="E145" s="36" t="str">
        <x:v>Cartridge_And_Cloud_Document_Migration_Plan_v0.2.pdf</x:v>
      </x:c>
      <x:c r="F145" s="36" t="str">
        <x:v>PDF</x:v>
      </x:c>
      <x:c r="G145" s="54" t="n">
        <x:v>18680</x:v>
      </x:c>
      <x:c r="H145" s="36" t="str">
        <x:v>0036d616cf1983bfcd5e92aed7439766395266146a1eb035aa4220c518a821b1</x:v>
      </x:c>
      <x:c r="I145" s="36" t="n">
        <x:v>1</x:v>
      </x:c>
      <x:c r="J145" s="36" t="str">
        <x:v>Published historical baseline</x:v>
      </x:c>
      <x:c r="K145" s="36" t="str">
        <x:v>CONTEXT / PRESERVED</x:v>
      </x:c>
      <x:c r="L145" s="36" t="str"/>
      <x:c r="M145" s="36" t="str">
        <x:v>Retain read-only; current authority remains 00–34.</x:v>
      </x:c>
      <x:c r="N145" s="36" t="str">
        <x:v>Preserved context; not mined as normative authority.</x:v>
      </x:c>
      <x:c r="O145" s="36" t="str">
        <x:v>00_Official_Baseline/v0.5/00_Project_Governance/Cartridge_And_Cloud_Document_Migration_Plan_v0.2.pdf</x:v>
      </x:c>
    </x:row>
    <x:row r="146">
      <x:c r="A146" s="27" t="str">
        <x:v>HIST-0142</x:v>
      </x:c>
      <x:c r="B146" s="27" t="str">
        <x:v>00_Official_Baseline</x:v>
      </x:c>
      <x:c r="C146" s="27" t="str">
        <x:v>v0.5</x:v>
      </x:c>
      <x:c r="D146" s="27" t="str"/>
      <x:c r="E146" s="36" t="str">
        <x:v>Cartridge_And_Cloud_Documentation_Validation_Report_v0.3.pdf</x:v>
      </x:c>
      <x:c r="F146" s="36" t="str">
        <x:v>PDF</x:v>
      </x:c>
      <x:c r="G146" s="54" t="n">
        <x:v>15684</x:v>
      </x:c>
      <x:c r="H146" s="36" t="str">
        <x:v>0a4d869f4f3db6974159dfe60eee9c3831af32d33aed8b31b91b26f67c5550ea</x:v>
      </x:c>
      <x:c r="I146" s="36" t="n">
        <x:v>1</x:v>
      </x:c>
      <x:c r="J146" s="36" t="str">
        <x:v>Published historical baseline</x:v>
      </x:c>
      <x:c r="K146" s="36" t="str">
        <x:v>CONTEXT / PRESERVED</x:v>
      </x:c>
      <x:c r="L146" s="36" t="str">
        <x:v>validation</x:v>
      </x:c>
      <x:c r="M146" s="36" t="str">
        <x:v>Retain read-only; current authority remains 00–34.</x:v>
      </x:c>
      <x:c r="N146" s="36" t="str">
        <x:v>Preserved context; not mined as normative authority.</x:v>
      </x:c>
      <x:c r="O146" s="36" t="str">
        <x:v>00_Official_Baseline/v0.5/00_Project_Governance/Cartridge_And_Cloud_Documentation_Validation_Report_v0.3.pdf</x:v>
      </x:c>
    </x:row>
    <x:row r="147">
      <x:c r="A147" s="27" t="str">
        <x:v>HIST-0143</x:v>
      </x:c>
      <x:c r="B147" s="27" t="str">
        <x:v>00_Official_Baseline</x:v>
      </x:c>
      <x:c r="C147" s="27" t="str">
        <x:v>v0.5</x:v>
      </x:c>
      <x:c r="D147" s="27" t="str"/>
      <x:c r="E147" s="36" t="str">
        <x:v>Cartridge_And_Cloud_Enfoque_v0.7.pdf</x:v>
      </x:c>
      <x:c r="F147" s="36" t="str">
        <x:v>PDF</x:v>
      </x:c>
      <x:c r="G147" s="54" t="n">
        <x:v>21083</x:v>
      </x:c>
      <x:c r="H147" s="36" t="str">
        <x:v>e892bfaee0c3891ee54a2eec76de183dc00669ea47c776705ba72dda65586b5f</x:v>
      </x:c>
      <x:c r="I147" s="36" t="n">
        <x:v>1</x:v>
      </x:c>
      <x:c r="J147" s="36" t="str">
        <x:v>Published historical baseline</x:v>
      </x:c>
      <x:c r="K147" s="36" t="str">
        <x:v>CONTEXT / PRESERVED</x:v>
      </x:c>
      <x:c r="L147" s="36" t="str"/>
      <x:c r="M147" s="36" t="str">
        <x:v>Retain read-only; current authority remains 00–34.</x:v>
      </x:c>
      <x:c r="N147" s="36" t="str">
        <x:v>Preserved context; not mined as normative authority.</x:v>
      </x:c>
      <x:c r="O147" s="36" t="str">
        <x:v>00_Official_Baseline/v0.5/00_Project_Governance/Cartridge_And_Cloud_Enfoque_v0.7.pdf</x:v>
      </x:c>
    </x:row>
    <x:row r="148">
      <x:c r="A148" s="27" t="str">
        <x:v>HIST-0144</x:v>
      </x:c>
      <x:c r="B148" s="27" t="str">
        <x:v>00_Official_Baseline</x:v>
      </x:c>
      <x:c r="C148" s="27" t="str">
        <x:v>v0.5</x:v>
      </x:c>
      <x:c r="D148" s="27" t="str"/>
      <x:c r="E148" s="36" t="str">
        <x:v>Cartridge_And_Cloud_Package_Manifest_v0.3.pdf</x:v>
      </x:c>
      <x:c r="F148" s="36" t="str">
        <x:v>PDF</x:v>
      </x:c>
      <x:c r="G148" s="54" t="n">
        <x:v>16782</x:v>
      </x:c>
      <x:c r="H148" s="36" t="str">
        <x:v>d74ae4fb1a2590813315e14d668ce2eca7a22081a7acdafbb5a55e07fb7a4f87</x:v>
      </x:c>
      <x:c r="I148" s="36" t="n">
        <x:v>1</x:v>
      </x:c>
      <x:c r="J148" s="36" t="str">
        <x:v>Published historical baseline</x:v>
      </x:c>
      <x:c r="K148" s="36" t="str">
        <x:v>CONTEXT / PRESERVED</x:v>
      </x:c>
      <x:c r="L148" s="36" t="str">
        <x:v>manifest</x:v>
      </x:c>
      <x:c r="M148" s="36" t="str">
        <x:v>Retain read-only; current authority remains 00–34.</x:v>
      </x:c>
      <x:c r="N148" s="36" t="str">
        <x:v>Preserved context; not mined as normative authority.</x:v>
      </x:c>
      <x:c r="O148" s="36" t="str">
        <x:v>00_Official_Baseline/v0.5/00_Project_Governance/Cartridge_And_Cloud_Package_Manifest_v0.3.pdf</x:v>
      </x:c>
    </x:row>
    <x:row r="149">
      <x:c r="A149" s="27" t="str">
        <x:v>HIST-0145</x:v>
      </x:c>
      <x:c r="B149" s="27" t="str">
        <x:v>00_Official_Baseline</x:v>
      </x:c>
      <x:c r="C149" s="27" t="str">
        <x:v>v0.5</x:v>
      </x:c>
      <x:c r="D149" s="27" t="str"/>
      <x:c r="E149" s="36" t="str">
        <x:v>Cartridge_And_Cloud_Project_Binder_Indice_Maestro_v0.5.pdf</x:v>
      </x:c>
      <x:c r="F149" s="36" t="str">
        <x:v>PDF</x:v>
      </x:c>
      <x:c r="G149" s="54" t="n">
        <x:v>21024</x:v>
      </x:c>
      <x:c r="H149" s="36" t="str">
        <x:v>1f894f92311731b8ab15532eac377534739fe7d9e1e409fcecf64931787c6943</x:v>
      </x:c>
      <x:c r="I149" s="36" t="n">
        <x:v>1</x:v>
      </x:c>
      <x:c r="J149" s="36" t="str">
        <x:v>Published historical baseline</x:v>
      </x:c>
      <x:c r="K149" s="36" t="str">
        <x:v>CONTEXT / PRESERVED</x:v>
      </x:c>
      <x:c r="L149" s="36" t="str"/>
      <x:c r="M149" s="36" t="str">
        <x:v>Retain read-only; current authority remains 00–34.</x:v>
      </x:c>
      <x:c r="N149" s="36" t="str">
        <x:v>Preserved context; not mined as normative authority.</x:v>
      </x:c>
      <x:c r="O149" s="36" t="str">
        <x:v>00_Official_Baseline/v0.5/00_Project_Governance/Cartridge_And_Cloud_Project_Binder_Indice_Maestro_v0.5.pdf</x:v>
      </x:c>
    </x:row>
    <x:row r="150">
      <x:c r="A150" s="27" t="str">
        <x:v>HIST-0146</x:v>
      </x:c>
      <x:c r="B150" s="27" t="str">
        <x:v>00_Official_Baseline</x:v>
      </x:c>
      <x:c r="C150" s="27" t="str">
        <x:v>v0.5</x:v>
      </x:c>
      <x:c r="D150" s="27" t="str"/>
      <x:c r="E150" s="36" t="str">
        <x:v>Enfoque_v0.7.md</x:v>
      </x:c>
      <x:c r="F150" s="36" t="str">
        <x:v>MD</x:v>
      </x:c>
      <x:c r="G150" s="54" t="n">
        <x:v>4112</x:v>
      </x:c>
      <x:c r="H150" s="36" t="str">
        <x:v>dff2fd6d5ae6a688ae147c6eebc2e81b5667cf2433198204867ed51559cc11ea</x:v>
      </x:c>
      <x:c r="I150" s="36" t="n">
        <x:v>2</x:v>
      </x:c>
      <x:c r="J150" s="36" t="str">
        <x:v>Published historical baseline</x:v>
      </x:c>
      <x:c r="K150" s="36" t="str">
        <x:v>SUPPORTING</x:v>
      </x:c>
      <x:c r="L150" s="36" t="str">
        <x:v>build, sprint, steam, test</x:v>
      </x:c>
      <x:c r="M150" s="36" t="str">
        <x:v>Retain read-only; current authority remains 00–34.</x:v>
      </x:c>
      <x:c r="N150" s="36" t="str">
        <x:v>33 risk/continuity context</x:v>
      </x:c>
      <x:c r="O150" s="36" t="str">
        <x:v>00_Official_Baseline/v0.5/00_Project_Governance/Enfoque_v0.7.md</x:v>
      </x:c>
    </x:row>
    <x:row r="151">
      <x:c r="A151" s="27" t="str">
        <x:v>HIST-0147</x:v>
      </x:c>
      <x:c r="B151" s="27" t="str">
        <x:v>00_Official_Baseline</x:v>
      </x:c>
      <x:c r="C151" s="27" t="str">
        <x:v>v0.5</x:v>
      </x:c>
      <x:c r="D151" s="27" t="str"/>
      <x:c r="E151" s="36" t="str">
        <x:v>Cartridge_And_Cloud_Economy_Balance_Specification_v0.2.pdf</x:v>
      </x:c>
      <x:c r="F151" s="36" t="str">
        <x:v>PDF</x:v>
      </x:c>
      <x:c r="G151" s="54" t="n">
        <x:v>19491</x:v>
      </x:c>
      <x:c r="H151" s="36" t="str">
        <x:v>57a71ee88a5a25dd9afe1a94d798a0d6522e1007c6dfb1d91aa98089a7cbcfc3</x:v>
      </x:c>
      <x:c r="I151" s="36" t="n">
        <x:v>1</x:v>
      </x:c>
      <x:c r="J151" s="36" t="str">
        <x:v>Published historical baseline</x:v>
      </x:c>
      <x:c r="K151" s="36" t="str">
        <x:v>CONTEXT / PRESERVED</x:v>
      </x:c>
      <x:c r="L151" s="36" t="str"/>
      <x:c r="M151" s="36" t="str">
        <x:v>Retain read-only; current authority remains 00–34.</x:v>
      </x:c>
      <x:c r="N151" s="36" t="str">
        <x:v>Preserved context; not mined as normative authority.</x:v>
      </x:c>
      <x:c r="O151" s="36" t="str">
        <x:v>00_Official_Baseline/v0.5/01_Design/Cartridge_And_Cloud_Economy_Balance_Specification_v0.2.pdf</x:v>
      </x:c>
    </x:row>
    <x:row r="152">
      <x:c r="A152" s="27" t="str">
        <x:v>HIST-0148</x:v>
      </x:c>
      <x:c r="B152" s="27" t="str">
        <x:v>00_Official_Baseline</x:v>
      </x:c>
      <x:c r="C152" s="27" t="str">
        <x:v>v0.5</x:v>
      </x:c>
      <x:c r="D152" s="27" t="str"/>
      <x:c r="E152" s="36" t="str">
        <x:v>Cartridge_And_Cloud_GDD_v0.5_PCSteam.pdf</x:v>
      </x:c>
      <x:c r="F152" s="36" t="str">
        <x:v>PDF</x:v>
      </x:c>
      <x:c r="G152" s="54" t="n">
        <x:v>23195</x:v>
      </x:c>
      <x:c r="H152" s="36" t="str">
        <x:v>7061f5ee8528d2fdffc2c219ff8a54f997705fe38cf3a713856caf519a997264</x:v>
      </x:c>
      <x:c r="I152" s="36" t="n">
        <x:v>1</x:v>
      </x:c>
      <x:c r="J152" s="36" t="str">
        <x:v>Published historical baseline</x:v>
      </x:c>
      <x:c r="K152" s="36" t="str">
        <x:v>CONTEXT / PRESERVED</x:v>
      </x:c>
      <x:c r="L152" s="36" t="str">
        <x:v>steam</x:v>
      </x:c>
      <x:c r="M152" s="36" t="str">
        <x:v>Retain read-only; current authority remains 00–34.</x:v>
      </x:c>
      <x:c r="N152" s="36" t="str">
        <x:v>Preserved context; not mined as normative authority.</x:v>
      </x:c>
      <x:c r="O152" s="36" t="str">
        <x:v>00_Official_Baseline/v0.5/01_Design/Cartridge_And_Cloud_GDD_v0.5_PCSteam.pdf</x:v>
      </x:c>
    </x:row>
    <x:row r="153">
      <x:c r="A153" s="27" t="str">
        <x:v>HIST-0149</x:v>
      </x:c>
      <x:c r="B153" s="27" t="str">
        <x:v>00_Official_Baseline</x:v>
      </x:c>
      <x:c r="C153" s="27" t="str">
        <x:v>v0.5</x:v>
      </x:c>
      <x:c r="D153" s="27" t="str"/>
      <x:c r="E153" s="36" t="str">
        <x:v>Cartridge_And_Cloud_Initial_Content_Catalog_v0.2.pdf</x:v>
      </x:c>
      <x:c r="F153" s="36" t="str">
        <x:v>PDF</x:v>
      </x:c>
      <x:c r="G153" s="54" t="n">
        <x:v>18125</x:v>
      </x:c>
      <x:c r="H153" s="36" t="str">
        <x:v>9f604761d6e6047ddb34de9743087470bebcf4f8cdaeab327c1c7c3c98be1213</x:v>
      </x:c>
      <x:c r="I153" s="36" t="n">
        <x:v>1</x:v>
      </x:c>
      <x:c r="J153" s="36" t="str">
        <x:v>Published historical baseline</x:v>
      </x:c>
      <x:c r="K153" s="36" t="str">
        <x:v>CONTEXT / PRESERVED</x:v>
      </x:c>
      <x:c r="L153" s="36" t="str"/>
      <x:c r="M153" s="36" t="str">
        <x:v>Retain read-only; current authority remains 00–34.</x:v>
      </x:c>
      <x:c r="N153" s="36" t="str">
        <x:v>Preserved context; not mined as normative authority.</x:v>
      </x:c>
      <x:c r="O153" s="36" t="str">
        <x:v>00_Official_Baseline/v0.5/01_Design/Cartridge_And_Cloud_Initial_Content_Catalog_v0.2.pdf</x:v>
      </x:c>
    </x:row>
    <x:row r="154">
      <x:c r="A154" s="27" t="str">
        <x:v>HIST-0150</x:v>
      </x:c>
      <x:c r="B154" s="27" t="str">
        <x:v>00_Official_Baseline</x:v>
      </x:c>
      <x:c r="C154" s="27" t="str">
        <x:v>v0.5</x:v>
      </x:c>
      <x:c r="D154" s="27" t="str"/>
      <x:c r="E154" s="36" t="str">
        <x:v>Cartridge_And_Cloud_UX_Flow_v0.4.pdf</x:v>
      </x:c>
      <x:c r="F154" s="36" t="str">
        <x:v>PDF</x:v>
      </x:c>
      <x:c r="G154" s="54" t="n">
        <x:v>22040</x:v>
      </x:c>
      <x:c r="H154" s="36" t="str">
        <x:v>75fdf25a47e7b022718047e09f2b1b5ca443c089e82e3d2a10a04e952441a690</x:v>
      </x:c>
      <x:c r="I154" s="36" t="n">
        <x:v>1</x:v>
      </x:c>
      <x:c r="J154" s="36" t="str">
        <x:v>Published historical baseline</x:v>
      </x:c>
      <x:c r="K154" s="36" t="str">
        <x:v>CONTEXT / PRESERVED</x:v>
      </x:c>
      <x:c r="L154" s="36" t="str"/>
      <x:c r="M154" s="36" t="str">
        <x:v>Retain read-only; current authority remains 00–34.</x:v>
      </x:c>
      <x:c r="N154" s="36" t="str">
        <x:v>Preserved context; not mined as normative authority.</x:v>
      </x:c>
      <x:c r="O154" s="36" t="str">
        <x:v>00_Official_Baseline/v0.5/01_Design/Cartridge_And_Cloud_UX_Flow_v0.4.pdf</x:v>
      </x:c>
    </x:row>
    <x:row r="155">
      <x:c r="A155" s="27" t="str">
        <x:v>HIST-0151</x:v>
      </x:c>
      <x:c r="B155" s="27" t="str">
        <x:v>00_Official_Baseline</x:v>
      </x:c>
      <x:c r="C155" s="27" t="str">
        <x:v>v0.5</x:v>
      </x:c>
      <x:c r="D155" s="27" t="str"/>
      <x:c r="E155" s="36" t="str">
        <x:v>Cartridge_And_Cloud_Vertical_Slice_Specification_v0.3.pdf</x:v>
      </x:c>
      <x:c r="F155" s="36" t="str">
        <x:v>PDF</x:v>
      </x:c>
      <x:c r="G155" s="54" t="n">
        <x:v>18610</x:v>
      </x:c>
      <x:c r="H155" s="36" t="str">
        <x:v>b256eb82b1c49fe2598797ec5ad74d4e4a22523ebbba62ef77ca27a777d231fc</x:v>
      </x:c>
      <x:c r="I155" s="36" t="n">
        <x:v>1</x:v>
      </x:c>
      <x:c r="J155" s="36" t="str">
        <x:v>Published historical baseline</x:v>
      </x:c>
      <x:c r="K155" s="36" t="str">
        <x:v>CONTEXT / PRESERVED</x:v>
      </x:c>
      <x:c r="L155" s="36" t="str"/>
      <x:c r="M155" s="36" t="str">
        <x:v>Retain read-only; current authority remains 00–34.</x:v>
      </x:c>
      <x:c r="N155" s="36" t="str">
        <x:v>Preserved context; not mined as normative authority.</x:v>
      </x:c>
      <x:c r="O155" s="36" t="str">
        <x:v>00_Official_Baseline/v0.5/01_Design/Cartridge_And_Cloud_Vertical_Slice_Specification_v0.3.pdf</x:v>
      </x:c>
    </x:row>
    <x:row r="156">
      <x:c r="A156" s="27" t="str">
        <x:v>HIST-0152</x:v>
      </x:c>
      <x:c r="B156" s="27" t="str">
        <x:v>00_Official_Baseline</x:v>
      </x:c>
      <x:c r="C156" s="27" t="str">
        <x:v>v0.5</x:v>
      </x:c>
      <x:c r="D156" s="27" t="str"/>
      <x:c r="E156" s="36" t="str">
        <x:v>Cartridge_And_Cloud_Build_Versioning_Guide_v0.5.pdf</x:v>
      </x:c>
      <x:c r="F156" s="36" t="str">
        <x:v>PDF</x:v>
      </x:c>
      <x:c r="G156" s="54" t="n">
        <x:v>18588</x:v>
      </x:c>
      <x:c r="H156" s="36" t="str">
        <x:v>34fc32adf9c6383d0bf5b79ed446cd4dd00c9518cbd67c6e9d7cd5623b236347</x:v>
      </x:c>
      <x:c r="I156" s="36" t="n">
        <x:v>1</x:v>
      </x:c>
      <x:c r="J156" s="36" t="str">
        <x:v>Published historical baseline</x:v>
      </x:c>
      <x:c r="K156" s="36" t="str">
        <x:v>CONTEXT / PRESERVED</x:v>
      </x:c>
      <x:c r="L156" s="36" t="str">
        <x:v>build</x:v>
      </x:c>
      <x:c r="M156" s="36" t="str">
        <x:v>Retain read-only; current authority remains 00–34.</x:v>
      </x:c>
      <x:c r="N156" s="36" t="str">
        <x:v>Preserved context; not mined as normative authority.</x:v>
      </x:c>
      <x:c r="O156" s="36" t="str">
        <x:v>00_Official_Baseline/v0.5/02_Technical/Cartridge_And_Cloud_Build_Versioning_Guide_v0.5.pdf</x:v>
      </x:c>
    </x:row>
    <x:row r="157">
      <x:c r="A157" s="27" t="str">
        <x:v>HIST-0153</x:v>
      </x:c>
      <x:c r="B157" s="27" t="str">
        <x:v>00_Official_Baseline</x:v>
      </x:c>
      <x:c r="C157" s="27" t="str">
        <x:v>v0.5</x:v>
      </x:c>
      <x:c r="D157" s="27" t="str"/>
      <x:c r="E157" s="36" t="str">
        <x:v>Cartridge_And_Cloud_CSharp_Coding_Standards_v0.4.pdf</x:v>
      </x:c>
      <x:c r="F157" s="36" t="str">
        <x:v>PDF</x:v>
      </x:c>
      <x:c r="G157" s="54" t="n">
        <x:v>20856</x:v>
      </x:c>
      <x:c r="H157" s="36" t="str">
        <x:v>dbb8bd5fd565a2c4078c26f56d1d1474daaa44ba98920fcf3bfc72f4a4081632</x:v>
      </x:c>
      <x:c r="I157" s="36" t="n">
        <x:v>1</x:v>
      </x:c>
      <x:c r="J157" s="36" t="str">
        <x:v>Published historical baseline</x:v>
      </x:c>
      <x:c r="K157" s="36" t="str">
        <x:v>CONTEXT / PRESERVED</x:v>
      </x:c>
      <x:c r="L157" s="36" t="str"/>
      <x:c r="M157" s="36" t="str">
        <x:v>Retain read-only; current authority remains 00–34.</x:v>
      </x:c>
      <x:c r="N157" s="36" t="str">
        <x:v>Preserved context; not mined as normative authority.</x:v>
      </x:c>
      <x:c r="O157" s="36" t="str">
        <x:v>00_Official_Baseline/v0.5/02_Technical/Cartridge_And_Cloud_CSharp_Coding_Standards_v0.4.pdf</x:v>
      </x:c>
    </x:row>
    <x:row r="158">
      <x:c r="A158" s="27" t="str">
        <x:v>HIST-0154</x:v>
      </x:c>
      <x:c r="B158" s="27" t="str">
        <x:v>00_Official_Baseline</x:v>
      </x:c>
      <x:c r="C158" s="27" t="str">
        <x:v>v0.5</x:v>
      </x:c>
      <x:c r="D158" s="27" t="str"/>
      <x:c r="E158" s="36" t="str">
        <x:v>Cartridge_And_Cloud_Modelo_de_Datos_v0.4.pdf</x:v>
      </x:c>
      <x:c r="F158" s="36" t="str">
        <x:v>PDF</x:v>
      </x:c>
      <x:c r="G158" s="54" t="n">
        <x:v>23279</x:v>
      </x:c>
      <x:c r="H158" s="36" t="str">
        <x:v>022bbed24274749a627b0547d51d9e6570dcf711194c747394a3979241c6314a</x:v>
      </x:c>
      <x:c r="I158" s="36" t="n">
        <x:v>1</x:v>
      </x:c>
      <x:c r="J158" s="36" t="str">
        <x:v>Published historical baseline</x:v>
      </x:c>
      <x:c r="K158" s="36" t="str">
        <x:v>CONTEXT / PRESERVED</x:v>
      </x:c>
      <x:c r="L158" s="36" t="str"/>
      <x:c r="M158" s="36" t="str">
        <x:v>Retain read-only; current authority remains 00–34.</x:v>
      </x:c>
      <x:c r="N158" s="36" t="str">
        <x:v>Preserved context; not mined as normative authority.</x:v>
      </x:c>
      <x:c r="O158" s="36" t="str">
        <x:v>00_Official_Baseline/v0.5/02_Technical/Cartridge_And_Cloud_Modelo_de_Datos_v0.4.pdf</x:v>
      </x:c>
    </x:row>
    <x:row r="159">
      <x:c r="A159" s="27" t="str">
        <x:v>HIST-0155</x:v>
      </x:c>
      <x:c r="B159" s="27" t="str">
        <x:v>00_Official_Baseline</x:v>
      </x:c>
      <x:c r="C159" s="27" t="str">
        <x:v>v0.5</x:v>
      </x:c>
      <x:c r="D159" s="27" t="str"/>
      <x:c r="E159" s="36" t="str">
        <x:v>Cartridge_And_Cloud_TDD_v0.5_Technical_Design_Document.pdf</x:v>
      </x:c>
      <x:c r="F159" s="36" t="str">
        <x:v>PDF</x:v>
      </x:c>
      <x:c r="G159" s="54" t="n">
        <x:v>23003</x:v>
      </x:c>
      <x:c r="H159" s="36" t="str">
        <x:v>87ca947c5d4fc56096449d54e59f4b3abea4daa028ce41a00cb3162d72284d24</x:v>
      </x:c>
      <x:c r="I159" s="36" t="n">
        <x:v>1</x:v>
      </x:c>
      <x:c r="J159" s="36" t="str">
        <x:v>Published historical baseline</x:v>
      </x:c>
      <x:c r="K159" s="36" t="str">
        <x:v>CONTEXT / PRESERVED</x:v>
      </x:c>
      <x:c r="L159" s="36" t="str"/>
      <x:c r="M159" s="36" t="str">
        <x:v>Retain read-only; current authority remains 00–34.</x:v>
      </x:c>
      <x:c r="N159" s="36" t="str">
        <x:v>Preserved context; not mined as normative authority.</x:v>
      </x:c>
      <x:c r="O159" s="36" t="str">
        <x:v>00_Official_Baseline/v0.5/02_Technical/Cartridge_And_Cloud_TDD_v0.5_Technical_Design_Document.pdf</x:v>
      </x:c>
    </x:row>
    <x:row r="160">
      <x:c r="A160" s="27" t="str">
        <x:v>HIST-0156</x:v>
      </x:c>
      <x:c r="B160" s="27" t="str">
        <x:v>00_Official_Baseline</x:v>
      </x:c>
      <x:c r="C160" s="27" t="str">
        <x:v>v0.5</x:v>
      </x:c>
      <x:c r="D160" s="27" t="str"/>
      <x:c r="E160" s="36" t="str">
        <x:v>Cartridge_And_Cloud_Unity_Project_Setup_Guide_v0.5.pdf</x:v>
      </x:c>
      <x:c r="F160" s="36" t="str">
        <x:v>PDF</x:v>
      </x:c>
      <x:c r="G160" s="54" t="n">
        <x:v>20165</x:v>
      </x:c>
      <x:c r="H160" s="36" t="str">
        <x:v>5892ba151a6fce83012f252b41260b2bac73809cb27559ab4f3fcf03173e89b0</x:v>
      </x:c>
      <x:c r="I160" s="36" t="n">
        <x:v>1</x:v>
      </x:c>
      <x:c r="J160" s="36" t="str">
        <x:v>Published historical baseline</x:v>
      </x:c>
      <x:c r="K160" s="36" t="str">
        <x:v>CONTEXT / PRESERVED</x:v>
      </x:c>
      <x:c r="L160" s="36" t="str"/>
      <x:c r="M160" s="36" t="str">
        <x:v>Retain read-only; current authority remains 00–34.</x:v>
      </x:c>
      <x:c r="N160" s="36" t="str">
        <x:v>Preserved context; not mined as normative authority.</x:v>
      </x:c>
      <x:c r="O160" s="36" t="str">
        <x:v>00_Official_Baseline/v0.5/02_Technical/Cartridge_And_Cloud_Unity_Project_Setup_Guide_v0.5.pdf</x:v>
      </x:c>
    </x:row>
    <x:row r="161">
      <x:c r="A161" s="27" t="str">
        <x:v>HIST-0157</x:v>
      </x:c>
      <x:c r="B161" s="27" t="str">
        <x:v>00_Official_Baseline</x:v>
      </x:c>
      <x:c r="C161" s="27" t="str">
        <x:v>v0.5</x:v>
      </x:c>
      <x:c r="D161" s="27" t="str"/>
      <x:c r="E161" s="36" t="str">
        <x:v>Cartridge_And_Cloud_Art_Bible_v0.4.pdf</x:v>
      </x:c>
      <x:c r="F161" s="36" t="str">
        <x:v>PDF</x:v>
      </x:c>
      <x:c r="G161" s="54" t="n">
        <x:v>17001</x:v>
      </x:c>
      <x:c r="H161" s="36" t="str">
        <x:v>0a1b58c57c3e45c4a698f3c5a57227876a8e541e80b4e8d275b3f8585aa0c732</x:v>
      </x:c>
      <x:c r="I161" s="36" t="n">
        <x:v>1</x:v>
      </x:c>
      <x:c r="J161" s="36" t="str">
        <x:v>Published historical baseline</x:v>
      </x:c>
      <x:c r="K161" s="36" t="str">
        <x:v>CONTEXT / PRESERVED</x:v>
      </x:c>
      <x:c r="L161" s="36" t="str"/>
      <x:c r="M161" s="36" t="str">
        <x:v>Retain read-only; current authority remains 00–34.</x:v>
      </x:c>
      <x:c r="N161" s="36" t="str">
        <x:v>Preserved context; not mined as normative authority.</x:v>
      </x:c>
      <x:c r="O161" s="36" t="str">
        <x:v>00_Official_Baseline/v0.5/03_Visual_Audio/Cartridge_And_Cloud_Art_Bible_v0.4.pdf</x:v>
      </x:c>
    </x:row>
    <x:row r="162">
      <x:c r="A162" s="27" t="str">
        <x:v>HIST-0158</x:v>
      </x:c>
      <x:c r="B162" s="27" t="str">
        <x:v>00_Official_Baseline</x:v>
      </x:c>
      <x:c r="C162" s="27" t="str">
        <x:v>v0.5</x:v>
      </x:c>
      <x:c r="D162" s="27" t="str"/>
      <x:c r="E162" s="36" t="str">
        <x:v>Cartridge_And_Cloud_Audio_Bible_v0.4.pdf</x:v>
      </x:c>
      <x:c r="F162" s="36" t="str">
        <x:v>PDF</x:v>
      </x:c>
      <x:c r="G162" s="54" t="n">
        <x:v>16228</x:v>
      </x:c>
      <x:c r="H162" s="36" t="str">
        <x:v>a8991cac49c1999b4f34c42910f3fb7a4cb07c77b44fe2f54469bd2505147b0f</x:v>
      </x:c>
      <x:c r="I162" s="36" t="n">
        <x:v>1</x:v>
      </x:c>
      <x:c r="J162" s="36" t="str">
        <x:v>Published historical baseline</x:v>
      </x:c>
      <x:c r="K162" s="36" t="str">
        <x:v>CONTEXT / PRESERVED</x:v>
      </x:c>
      <x:c r="L162" s="36" t="str"/>
      <x:c r="M162" s="36" t="str">
        <x:v>Retain read-only; current authority remains 00–34.</x:v>
      </x:c>
      <x:c r="N162" s="36" t="str">
        <x:v>Preserved context; not mined as normative authority.</x:v>
      </x:c>
      <x:c r="O162" s="36" t="str">
        <x:v>00_Official_Baseline/v0.5/03_Visual_Audio/Cartridge_And_Cloud_Audio_Bible_v0.4.pdf</x:v>
      </x:c>
    </x:row>
    <x:row r="163">
      <x:c r="A163" s="27" t="str">
        <x:v>HIST-0159</x:v>
      </x:c>
      <x:c r="B163" s="27" t="str">
        <x:v>00_Official_Baseline</x:v>
      </x:c>
      <x:c r="C163" s="27" t="str">
        <x:v>v0.5</x:v>
      </x:c>
      <x:c r="D163" s="27" t="str"/>
      <x:c r="E163" s="36" t="str">
        <x:v>Cartridge_And_Cloud_UI_Style_Guide_v0.4.pdf</x:v>
      </x:c>
      <x:c r="F163" s="36" t="str">
        <x:v>PDF</x:v>
      </x:c>
      <x:c r="G163" s="54" t="n">
        <x:v>17718</x:v>
      </x:c>
      <x:c r="H163" s="36" t="str">
        <x:v>e9fa1ac1d737bb8945eb76a22a7a593b1e7e453c8930be72037f18f1c2f8b4b1</x:v>
      </x:c>
      <x:c r="I163" s="36" t="n">
        <x:v>1</x:v>
      </x:c>
      <x:c r="J163" s="36" t="str">
        <x:v>Published historical baseline</x:v>
      </x:c>
      <x:c r="K163" s="36" t="str">
        <x:v>CONTEXT / PRESERVED</x:v>
      </x:c>
      <x:c r="L163" s="36" t="str"/>
      <x:c r="M163" s="36" t="str">
        <x:v>Retain read-only; current authority remains 00–34.</x:v>
      </x:c>
      <x:c r="N163" s="36" t="str">
        <x:v>Preserved context; not mined as normative authority.</x:v>
      </x:c>
      <x:c r="O163" s="36" t="str">
        <x:v>00_Official_Baseline/v0.5/03_Visual_Audio/Cartridge_And_Cloud_UI_Style_Guide_v0.4.pdf</x:v>
      </x:c>
    </x:row>
    <x:row r="164">
      <x:c r="A164" s="27" t="str">
        <x:v>HIST-0160</x:v>
      </x:c>
      <x:c r="B164" s="27" t="str">
        <x:v>00_Official_Baseline</x:v>
      </x:c>
      <x:c r="C164" s="27" t="str">
        <x:v>v0.5</x:v>
      </x:c>
      <x:c r="D164" s="27" t="str"/>
      <x:c r="E164" s="36" t="str">
        <x:v>Cartridge_And_Cloud_Excel_Maestro_Produccion_v0.5.xlsx</x:v>
      </x:c>
      <x:c r="F164" s="36" t="str">
        <x:v>XLSX</x:v>
      </x:c>
      <x:c r="G164" s="54" t="n">
        <x:v>11471</x:v>
      </x:c>
      <x:c r="H164" s="36" t="str">
        <x:v>d6a252b5afeaa9a51a7ccd160d3e4f2c4f5dead46cd5a3677df095a669181d4c</x:v>
      </x:c>
      <x:c r="I164" s="36" t="n">
        <x:v>2</x:v>
      </x:c>
      <x:c r="J164" s="36" t="str">
        <x:v>Published historical baseline</x:v>
      </x:c>
      <x:c r="K164" s="36" t="str">
        <x:v>CONTEXT / PRESERVED</x:v>
      </x:c>
      <x:c r="L164" s="36" t="str">
        <x:v>qa</x:v>
      </x:c>
      <x:c r="M164" s="36" t="str">
        <x:v>Retain read-only; current authority remains 00–34.</x:v>
      </x:c>
      <x:c r="N164" s="36" t="str">
        <x:v>Preserved context; not mined as normative authority.</x:v>
      </x:c>
      <x:c r="O164" s="36" t="str">
        <x:v>00_Official_Baseline/v0.5/04_QA_Production/Cartridge_And_Cloud_Excel_Maestro_Produccion_v0.5.xlsx</x:v>
      </x:c>
    </x:row>
    <x:row r="165">
      <x:c r="A165" s="27" t="str">
        <x:v>HIST-0161</x:v>
      </x:c>
      <x:c r="B165" s="27" t="str">
        <x:v>00_Official_Baseline</x:v>
      </x:c>
      <x:c r="C165" s="27" t="str">
        <x:v>v0.5</x:v>
      </x:c>
      <x:c r="D165" s="27" t="str"/>
      <x:c r="E165" s="36" t="str">
        <x:v>Cartridge_And_Cloud_Production_Roadmap_Sprint_Plan_v0.5.pdf</x:v>
      </x:c>
      <x:c r="F165" s="36" t="str">
        <x:v>PDF</x:v>
      </x:c>
      <x:c r="G165" s="54" t="n">
        <x:v>21719</x:v>
      </x:c>
      <x:c r="H165" s="36" t="str">
        <x:v>d75c34e0085a41c5a875fd17cf8fe3f7ea3f6b6ba6e496246a2cf93e06427b93</x:v>
      </x:c>
      <x:c r="I165" s="36" t="n">
        <x:v>1</x:v>
      </x:c>
      <x:c r="J165" s="36" t="str">
        <x:v>Published historical baseline</x:v>
      </x:c>
      <x:c r="K165" s="36" t="str">
        <x:v>SUPPORTING</x:v>
      </x:c>
      <x:c r="L165" s="36" t="str">
        <x:v>qa, roadmap, sprint</x:v>
      </x:c>
      <x:c r="M165" s="36" t="str">
        <x:v>Retain read-only; current authority remains 00–34.</x:v>
      </x:c>
      <x:c r="N165" s="36" t="str">
        <x:v>33 risk/continuity context</x:v>
      </x:c>
      <x:c r="O165" s="36" t="str">
        <x:v>00_Official_Baseline/v0.5/04_QA_Production/Cartridge_And_Cloud_Production_Roadmap_Sprint_Plan_v0.5.pdf</x:v>
      </x:c>
    </x:row>
    <x:row r="166">
      <x:c r="A166" s="27" t="str">
        <x:v>HIST-0162</x:v>
      </x:c>
      <x:c r="B166" s="27" t="str">
        <x:v>00_Official_Baseline</x:v>
      </x:c>
      <x:c r="C166" s="27" t="str">
        <x:v>v0.5</x:v>
      </x:c>
      <x:c r="D166" s="27" t="str"/>
      <x:c r="E166" s="36" t="str">
        <x:v>Cartridge_And_Cloud_QA_Testing_Matrix_v0.5.xlsx</x:v>
      </x:c>
      <x:c r="F166" s="36" t="str">
        <x:v>XLSX</x:v>
      </x:c>
      <x:c r="G166" s="54" t="n">
        <x:v>8327</x:v>
      </x:c>
      <x:c r="H166" s="36" t="str">
        <x:v>dbff9b69bb8edae19c2158fb4293aaf574a584a407cca672cf6f89dabae6690e</x:v>
      </x:c>
      <x:c r="I166" s="36" t="n">
        <x:v>2</x:v>
      </x:c>
      <x:c r="J166" s="36" t="str">
        <x:v>Published historical baseline</x:v>
      </x:c>
      <x:c r="K166" s="36" t="str">
        <x:v>SUPPORTING</x:v>
      </x:c>
      <x:c r="L166" s="36" t="str">
        <x:v>qa, test</x:v>
      </x:c>
      <x:c r="M166" s="36" t="str">
        <x:v>Retain read-only; current authority remains 00–34.</x:v>
      </x:c>
      <x:c r="N166" s="36" t="str">
        <x:v>33 risk/continuity context</x:v>
      </x:c>
      <x:c r="O166" s="36" t="str">
        <x:v>00_Official_Baseline/v0.5/04_QA_Production/Cartridge_And_Cloud_QA_Testing_Matrix_v0.5.xlsx</x:v>
      </x:c>
    </x:row>
    <x:row r="167">
      <x:c r="A167" s="27" t="str">
        <x:v>HIST-0163</x:v>
      </x:c>
      <x:c r="B167" s="27" t="str">
        <x:v>00_Official_Baseline</x:v>
      </x:c>
      <x:c r="C167" s="27" t="str">
        <x:v>v0.5</x:v>
      </x:c>
      <x:c r="D167" s="27" t="str"/>
      <x:c r="E167" s="36" t="str">
        <x:v>Cartridge_And_Cloud_QA_Testing_Plan_v0.5.pdf</x:v>
      </x:c>
      <x:c r="F167" s="36" t="str">
        <x:v>PDF</x:v>
      </x:c>
      <x:c r="G167" s="54" t="n">
        <x:v>20203</x:v>
      </x:c>
      <x:c r="H167" s="36" t="str">
        <x:v>0763d0d411746199eaa762acc995f591393eb39a1c8d88511c4dec488e56e74e</x:v>
      </x:c>
      <x:c r="I167" s="36" t="n">
        <x:v>1</x:v>
      </x:c>
      <x:c r="J167" s="36" t="str">
        <x:v>Published historical baseline</x:v>
      </x:c>
      <x:c r="K167" s="36" t="str">
        <x:v>SUPPORTING</x:v>
      </x:c>
      <x:c r="L167" s="36" t="str">
        <x:v>qa, test</x:v>
      </x:c>
      <x:c r="M167" s="36" t="str">
        <x:v>Retain read-only; current authority remains 00–34.</x:v>
      </x:c>
      <x:c r="N167" s="36" t="str">
        <x:v>33 risk/continuity context</x:v>
      </x:c>
      <x:c r="O167" s="36" t="str">
        <x:v>00_Official_Baseline/v0.5/04_QA_Production/Cartridge_And_Cloud_QA_Testing_Plan_v0.5.pdf</x:v>
      </x:c>
    </x:row>
    <x:row r="168">
      <x:c r="A168" s="27" t="str">
        <x:v>HIST-0164</x:v>
      </x:c>
      <x:c r="B168" s="27" t="str">
        <x:v>00_Official_Baseline</x:v>
      </x:c>
      <x:c r="C168" s="27" t="str">
        <x:v>v0.5</x:v>
      </x:c>
      <x:c r="D168" s="27" t="str"/>
      <x:c r="E168" s="36" t="str">
        <x:v>Cartridge_And_Cloud_Trazabilidad_Control_Cambios_v0.5.xlsx</x:v>
      </x:c>
      <x:c r="F168" s="36" t="str">
        <x:v>XLSX</x:v>
      </x:c>
      <x:c r="G168" s="54" t="n">
        <x:v>8674</x:v>
      </x:c>
      <x:c r="H168" s="36" t="str">
        <x:v>da5c5afe865e1ae53df4c3453485263fe0dec512d824e2cefdd1d973566c6734</x:v>
      </x:c>
      <x:c r="I168" s="36" t="n">
        <x:v>2</x:v>
      </x:c>
      <x:c r="J168" s="36" t="str">
        <x:v>Published historical baseline</x:v>
      </x:c>
      <x:c r="K168" s="36" t="str">
        <x:v>CONTEXT / PRESERVED</x:v>
      </x:c>
      <x:c r="L168" s="36" t="str">
        <x:v>qa</x:v>
      </x:c>
      <x:c r="M168" s="36" t="str">
        <x:v>Retain read-only; current authority remains 00–34.</x:v>
      </x:c>
      <x:c r="N168" s="36" t="str">
        <x:v>Preserved context; not mined as normative authority.</x:v>
      </x:c>
      <x:c r="O168" s="36" t="str">
        <x:v>00_Official_Baseline/v0.5/04_QA_Production/Cartridge_And_Cloud_Trazabilidad_Control_Cambios_v0.5.xlsx</x:v>
      </x:c>
    </x:row>
    <x:row r="169">
      <x:c r="A169" s="27" t="str">
        <x:v>HIST-0165</x:v>
      </x:c>
      <x:c r="B169" s="27" t="str">
        <x:v>00_Official_Baseline</x:v>
      </x:c>
      <x:c r="C169" s="27" t="str">
        <x:v>v0.5</x:v>
      </x:c>
      <x:c r="D169" s="27" t="str"/>
      <x:c r="E169" s="36" t="str">
        <x:v>Cartridge_And_Cloud_Legal_Credits_Licenses_Register_v0.4.pdf</x:v>
      </x:c>
      <x:c r="F169" s="36" t="str">
        <x:v>PDF</x:v>
      </x:c>
      <x:c r="G169" s="54" t="n">
        <x:v>15779</x:v>
      </x:c>
      <x:c r="H169" s="36" t="str">
        <x:v>d8fa9f63a454facc7e8d4e3fa8e50d1a95f0bb7a8f8bef06211e9d12accb5343</x:v>
      </x:c>
      <x:c r="I169" s="36" t="n">
        <x:v>1</x:v>
      </x:c>
      <x:c r="J169" s="36" t="str">
        <x:v>Published historical baseline</x:v>
      </x:c>
      <x:c r="K169" s="36" t="str">
        <x:v>SUPPORTING</x:v>
      </x:c>
      <x:c r="L169" s="36" t="str">
        <x:v>legal, license, release</x:v>
      </x:c>
      <x:c r="M169" s="36" t="str">
        <x:v>Retain read-only; current authority remains 00–34.</x:v>
      </x:c>
      <x:c r="N169" s="36" t="str">
        <x:v>33 risk/continuity context</x:v>
      </x:c>
      <x:c r="O169" s="36" t="str">
        <x:v>00_Official_Baseline/v0.5/05_Business_Release/Cartridge_And_Cloud_Legal_Credits_Licenses_Register_v0.4.pdf</x:v>
      </x:c>
    </x:row>
    <x:row r="170">
      <x:c r="A170" s="27" t="str">
        <x:v>HIST-0166</x:v>
      </x:c>
      <x:c r="B170" s="27" t="str">
        <x:v>00_Official_Baseline</x:v>
      </x:c>
      <x:c r="C170" s="27" t="str">
        <x:v>v0.5</x:v>
      </x:c>
      <x:c r="D170" s="27" t="str"/>
      <x:c r="E170" s="36" t="str">
        <x:v>Cartridge_And_Cloud_Localization_Plan_v0.4.pdf</x:v>
      </x:c>
      <x:c r="F170" s="36" t="str">
        <x:v>PDF</x:v>
      </x:c>
      <x:c r="G170" s="54" t="n">
        <x:v>15507</x:v>
      </x:c>
      <x:c r="H170" s="36" t="str">
        <x:v>0194a14af0cb3121540d5ac73f3264c2d29037256953c15a74379690e1727e4c</x:v>
      </x:c>
      <x:c r="I170" s="36" t="n">
        <x:v>1</x:v>
      </x:c>
      <x:c r="J170" s="36" t="str">
        <x:v>Published historical baseline</x:v>
      </x:c>
      <x:c r="K170" s="36" t="str">
        <x:v>CONTEXT / PRESERVED</x:v>
      </x:c>
      <x:c r="L170" s="36" t="str">
        <x:v>release</x:v>
      </x:c>
      <x:c r="M170" s="36" t="str">
        <x:v>Retain read-only; current authority remains 00–34.</x:v>
      </x:c>
      <x:c r="N170" s="36" t="str">
        <x:v>Preserved context; not mined as normative authority.</x:v>
      </x:c>
      <x:c r="O170" s="36" t="str">
        <x:v>00_Official_Baseline/v0.5/05_Business_Release/Cartridge_And_Cloud_Localization_Plan_v0.4.pdf</x:v>
      </x:c>
    </x:row>
    <x:row r="171">
      <x:c r="A171" s="27" t="str">
        <x:v>HIST-0167</x:v>
      </x:c>
      <x:c r="B171" s="27" t="str">
        <x:v>00_Official_Baseline</x:v>
      </x:c>
      <x:c r="C171" s="27" t="str">
        <x:v>v0.5</x:v>
      </x:c>
      <x:c r="D171" s="27" t="str"/>
      <x:c r="E171" s="36" t="str">
        <x:v>Cartridge_And_Cloud_Marketing_Plan_v0.4.pdf</x:v>
      </x:c>
      <x:c r="F171" s="36" t="str">
        <x:v>PDF</x:v>
      </x:c>
      <x:c r="G171" s="54" t="n">
        <x:v>16171</x:v>
      </x:c>
      <x:c r="H171" s="36" t="str">
        <x:v>edf4ba3e10869a15504bc315314bc9a500475ce249e9617835e9dfbf5d1e180b</x:v>
      </x:c>
      <x:c r="I171" s="36" t="n">
        <x:v>1</x:v>
      </x:c>
      <x:c r="J171" s="36" t="str">
        <x:v>Published historical baseline</x:v>
      </x:c>
      <x:c r="K171" s="36" t="str">
        <x:v>CONTEXT / PRESERVED</x:v>
      </x:c>
      <x:c r="L171" s="36" t="str">
        <x:v>release</x:v>
      </x:c>
      <x:c r="M171" s="36" t="str">
        <x:v>Retain read-only; current authority remains 00–34.</x:v>
      </x:c>
      <x:c r="N171" s="36" t="str">
        <x:v>Preserved context; not mined as normative authority.</x:v>
      </x:c>
      <x:c r="O171" s="36" t="str">
        <x:v>00_Official_Baseline/v0.5/05_Business_Release/Cartridge_And_Cloud_Marketing_Plan_v0.4.pdf</x:v>
      </x:c>
    </x:row>
    <x:row r="172">
      <x:c r="A172" s="27" t="str">
        <x:v>HIST-0168</x:v>
      </x:c>
      <x:c r="B172" s="27" t="str">
        <x:v>00_Official_Baseline</x:v>
      </x:c>
      <x:c r="C172" s="27" t="str">
        <x:v>v0.5</x:v>
      </x:c>
      <x:c r="D172" s="27" t="str"/>
      <x:c r="E172" s="36" t="str">
        <x:v>Cartridge_And_Cloud_Steam_Publishing_Plan_v0.4.pdf</x:v>
      </x:c>
      <x:c r="F172" s="36" t="str">
        <x:v>PDF</x:v>
      </x:c>
      <x:c r="G172" s="54" t="n">
        <x:v>16309</x:v>
      </x:c>
      <x:c r="H172" s="36" t="str">
        <x:v>f0382da1359aa1339758e067dc58c2d921c46ca37aef870c74ecee0ef320a3b2</x:v>
      </x:c>
      <x:c r="I172" s="36" t="n">
        <x:v>1</x:v>
      </x:c>
      <x:c r="J172" s="36" t="str">
        <x:v>Published historical baseline</x:v>
      </x:c>
      <x:c r="K172" s="36" t="str">
        <x:v>SUPPORTING</x:v>
      </x:c>
      <x:c r="L172" s="36" t="str">
        <x:v>release, steam</x:v>
      </x:c>
      <x:c r="M172" s="36" t="str">
        <x:v>Retain read-only; current authority remains 00–34.</x:v>
      </x:c>
      <x:c r="N172" s="36" t="str">
        <x:v>33 risk/continuity context</x:v>
      </x:c>
      <x:c r="O172" s="36" t="str">
        <x:v>00_Official_Baseline/v0.5/05_Business_Release/Cartridge_And_Cloud_Steam_Publishing_Plan_v0.4.pdf</x:v>
      </x:c>
    </x:row>
    <x:row r="173">
      <x:c r="A173" s="27" t="str">
        <x:v>HIST-0169</x:v>
      </x:c>
      <x:c r="B173" s="27" t="str">
        <x:v>00_Official_Baseline</x:v>
      </x:c>
      <x:c r="C173" s="27" t="str">
        <x:v>v0.5</x:v>
      </x:c>
      <x:c r="D173" s="27" t="str"/>
      <x:c r="E173" s="36" t="str">
        <x:v>ADR_Index_Sprints_0_5.md</x:v>
      </x:c>
      <x:c r="F173" s="36" t="str">
        <x:v>MD</x:v>
      </x:c>
      <x:c r="G173" s="54" t="n">
        <x:v>1685</x:v>
      </x:c>
      <x:c r="H173" s="36" t="str">
        <x:v>87d49688cde168985976959599026d7e599942e2f18715dafd6b3ef6e52aa20b</x:v>
      </x:c>
      <x:c r="I173" s="36" t="n">
        <x:v>1</x:v>
      </x:c>
      <x:c r="J173" s="36" t="str">
        <x:v>Published historical baseline</x:v>
      </x:c>
      <x:c r="K173" s="36" t="str">
        <x:v>DIRECT</x:v>
      </x:c>
      <x:c r="L173" s="36" t="str">
        <x:v>adr, audit, build, closure, release, save, sprint, test, validation</x:v>
      </x:c>
      <x:c r="M173" s="36" t="str">
        <x:v>Retain read-only; current authority remains 00–34.</x:v>
      </x:c>
      <x:c r="N173" s="36" t="str">
        <x:v>33 risk/continuity context</x:v>
      </x:c>
      <x:c r="O173" s="36" t="str">
        <x:v>00_Official_Baseline/v0.5/06_Development_Records/Governance/ADR_Index_Sprints_0_5.md</x:v>
      </x:c>
    </x:row>
    <x:row r="174">
      <x:c r="A174" s="27" t="str">
        <x:v>HIST-0170</x:v>
      </x:c>
      <x:c r="B174" s="27" t="str">
        <x:v>00_Official_Baseline</x:v>
      </x:c>
      <x:c r="C174" s="27" t="str">
        <x:v>v0.5</x:v>
      </x:c>
      <x:c r="D174" s="27" t="str"/>
      <x:c r="E174" s="36" t="str">
        <x:v>Current_Project_Baseline_Record.md</x:v>
      </x:c>
      <x:c r="F174" s="36" t="str">
        <x:v>MD</x:v>
      </x:c>
      <x:c r="G174" s="54" t="n">
        <x:v>406</x:v>
      </x:c>
      <x:c r="H174" s="36" t="str">
        <x:v>518e52784ae6c8737a360e221905ab542dd0a7c54d164409b71208556d26f793</x:v>
      </x:c>
      <x:c r="I174" s="36" t="n">
        <x:v>1</x:v>
      </x:c>
      <x:c r="J174" s="36" t="str">
        <x:v>Published historical baseline</x:v>
      </x:c>
      <x:c r="K174" s="36" t="str">
        <x:v>CONTEXT / PRESERVED</x:v>
      </x:c>
      <x:c r="L174" s="36" t="str">
        <x:v>sprint</x:v>
      </x:c>
      <x:c r="M174" s="36" t="str">
        <x:v>Retain read-only; current authority remains 00–34.</x:v>
      </x:c>
      <x:c r="N174" s="36" t="str">
        <x:v>Preserved context; not mined as normative authority.</x:v>
      </x:c>
      <x:c r="O174" s="36" t="str">
        <x:v>00_Official_Baseline/v0.5/06_Development_Records/Governance/Current_Project_Baseline_Record.md</x:v>
      </x:c>
    </x:row>
    <x:row r="175">
      <x:c r="A175" s="27" t="str">
        <x:v>HIST-0171</x:v>
      </x:c>
      <x:c r="B175" s="27" t="str">
        <x:v>00_Official_Baseline</x:v>
      </x:c>
      <x:c r="C175" s="27" t="str">
        <x:v>v0.5</x:v>
      </x:c>
      <x:c r="D175" s="27" t="str"/>
      <x:c r="E175" s="36" t="str">
        <x:v>Sprint_History_Summary.md</x:v>
      </x:c>
      <x:c r="F175" s="36" t="str">
        <x:v>MD</x:v>
      </x:c>
      <x:c r="G175" s="54" t="n">
        <x:v>328</x:v>
      </x:c>
      <x:c r="H175" s="36" t="str">
        <x:v>d618312c388b749d21af7ddded9d201b6d7b6d0c4ea4f505c3140d70930c1cd1</x:v>
      </x:c>
      <x:c r="I175" s="36" t="n">
        <x:v>1</x:v>
      </x:c>
      <x:c r="J175" s="36" t="str">
        <x:v>Published historical baseline</x:v>
      </x:c>
      <x:c r="K175" s="36" t="str">
        <x:v>CONTEXT / PRESERVED</x:v>
      </x:c>
      <x:c r="L175" s="36" t="str">
        <x:v>sprint</x:v>
      </x:c>
      <x:c r="M175" s="36" t="str">
        <x:v>Retain read-only; current authority remains 00–34.</x:v>
      </x:c>
      <x:c r="N175" s="36" t="str">
        <x:v>Preserved context; not mined as normative authority.</x:v>
      </x:c>
      <x:c r="O175" s="36" t="str">
        <x:v>00_Official_Baseline/v0.5/06_Development_Records/Governance/Sprint_History_Summary.md</x:v>
      </x:c>
    </x:row>
    <x:row r="176">
      <x:c r="A176" s="27" t="str">
        <x:v>HIST-0172</x:v>
      </x:c>
      <x:c r="B176" s="27" t="str">
        <x:v>00_Official_Baseline</x:v>
      </x:c>
      <x:c r="C176" s="27" t="str">
        <x:v>v0.5</x:v>
      </x:c>
      <x:c r="D176" s="27" t="str"/>
      <x:c r="E176" s="36" t="str">
        <x:v>CURRENT_PROJECT_HANDOFF.md</x:v>
      </x:c>
      <x:c r="F176" s="36" t="str">
        <x:v>MD</x:v>
      </x:c>
      <x:c r="G176" s="54" t="n">
        <x:v>2275</x:v>
      </x:c>
      <x:c r="H176" s="36" t="str">
        <x:v>9c251d0f3c14584f5da35a50ab3a5b62564e6f1f656d903fa2590eda74e2e396</x:v>
      </x:c>
      <x:c r="I176" s="36" t="n">
        <x:v>2</x:v>
      </x:c>
      <x:c r="J176" s="36" t="str">
        <x:v>Published historical baseline</x:v>
      </x:c>
      <x:c r="K176" s="36" t="str">
        <x:v>DIRECT</x:v>
      </x:c>
      <x:c r="L176" s="36" t="str">
        <x:v>acceptance, build, checksum, handoff, qa, release, roadmap, save, sprint, test</x:v>
      </x:c>
      <x:c r="M176" s="36" t="str">
        <x:v>Retain read-only; current authority remains 00–34.</x:v>
      </x:c>
      <x:c r="N176" s="36" t="str">
        <x:v>33 risk/continuity context</x:v>
      </x:c>
      <x:c r="O176" s="36" t="str">
        <x:v>00_Official_Baseline/v0.5/06_Development_Records/Handoff/CURRENT_PROJECT_HANDOFF.md</x:v>
      </x:c>
    </x:row>
    <x:row r="177">
      <x:c r="A177" s="27" t="str">
        <x:v>HIST-0173</x:v>
      </x:c>
      <x:c r="B177" s="27" t="str">
        <x:v>00_Official_Baseline</x:v>
      </x:c>
      <x:c r="C177" s="27" t="str">
        <x:v>v0.5</x:v>
      </x:c>
      <x:c r="D177" s="27" t="str">
        <x:v>Sprint 00</x:v>
      </x:c>
      <x:c r="E177" s="36" t="str">
        <x:v>Sprint_00_Closure_Record.md</x:v>
      </x:c>
      <x:c r="F177" s="36" t="str">
        <x:v>MD</x:v>
      </x:c>
      <x:c r="G177" s="54" t="n">
        <x:v>610</x:v>
      </x:c>
      <x:c r="H177" s="36" t="str">
        <x:v>11842fa86ab349e6971855eb83766245e017dc00583dc7f50018bfbc40fc8c03</x:v>
      </x:c>
      <x:c r="I177" s="36" t="n">
        <x:v>1</x:v>
      </x:c>
      <x:c r="J177" s="36" t="str">
        <x:v>Published historical baseline</x:v>
      </x:c>
      <x:c r="K177" s="36" t="str">
        <x:v>DIRECT</x:v>
      </x:c>
      <x:c r="L177" s="36" t="str">
        <x:v>build, closure, sprint, test, validation</x:v>
      </x:c>
      <x:c r="M177" s="36" t="str">
        <x:v>Retain read-only; current authority remains 00–34.</x:v>
      </x:c>
      <x:c r="N177" s="36" t="str">
        <x:v>33 risk/continuity context</x:v>
      </x:c>
      <x:c r="O177" s="36" t="str">
        <x:v>00_Official_Baseline/v0.5/06_Development_Records/Sprints/Sprint_00/Sprint_00_Closure_Record.md</x:v>
      </x:c>
    </x:row>
    <x:row r="178">
      <x:c r="A178" s="27" t="str">
        <x:v>HIST-0174</x:v>
      </x:c>
      <x:c r="B178" s="27" t="str">
        <x:v>00_Official_Baseline</x:v>
      </x:c>
      <x:c r="C178" s="27" t="str">
        <x:v>v0.5</x:v>
      </x:c>
      <x:c r="D178" s="27" t="str">
        <x:v>Sprint 00</x:v>
      </x:c>
      <x:c r="E178" s="36" t="str">
        <x:v>Sprint_00_Foundation_Baseline.md</x:v>
      </x:c>
      <x:c r="F178" s="36" t="str">
        <x:v>MD</x:v>
      </x:c>
      <x:c r="G178" s="54" t="n">
        <x:v>320</x:v>
      </x:c>
      <x:c r="H178" s="36" t="str">
        <x:v>a9c699e34ceae21c01f791e8e9fc8fd817ad2ff576ba5a14b42a46b447e22663</x:v>
      </x:c>
      <x:c r="I178" s="36" t="n">
        <x:v>1</x:v>
      </x:c>
      <x:c r="J178" s="36" t="str">
        <x:v>Published historical baseline</x:v>
      </x:c>
      <x:c r="K178" s="36" t="str">
        <x:v>SUPPORTING</x:v>
      </x:c>
      <x:c r="L178" s="36" t="str">
        <x:v>sprint, steam, test</x:v>
      </x:c>
      <x:c r="M178" s="36" t="str">
        <x:v>Retain read-only; current authority remains 00–34.</x:v>
      </x:c>
      <x:c r="N178" s="36" t="str">
        <x:v>33 risk/continuity context</x:v>
      </x:c>
      <x:c r="O178" s="36" t="str">
        <x:v>00_Official_Baseline/v0.5/06_Development_Records/Sprints/Sprint_00/Sprint_00_Foundation_Baseline.md</x:v>
      </x:c>
    </x:row>
    <x:row r="179">
      <x:c r="A179" s="27" t="str">
        <x:v>HIST-0175</x:v>
      </x:c>
      <x:c r="B179" s="27" t="str">
        <x:v>00_Official_Baseline</x:v>
      </x:c>
      <x:c r="C179" s="27" t="str">
        <x:v>v0.5</x:v>
      </x:c>
      <x:c r="D179" s="27" t="str">
        <x:v>Sprint 01</x:v>
      </x:c>
      <x:c r="E179" s="36" t="str">
        <x:v>S1_Living_Documentation_Update.md</x:v>
      </x:c>
      <x:c r="F179" s="36" t="str">
        <x:v>MD</x:v>
      </x:c>
      <x:c r="G179" s="54" t="n">
        <x:v>1377</x:v>
      </x:c>
      <x:c r="H179" s="36" t="str">
        <x:v>bff8a2c5c399246aa8f20ca9963bd203a5f636ed5ab7c7a2dddd048037828646</x:v>
      </x:c>
      <x:c r="I179" s="36" t="n">
        <x:v>2</x:v>
      </x:c>
      <x:c r="J179" s="36" t="str">
        <x:v>Published historical baseline</x:v>
      </x:c>
      <x:c r="K179" s="36" t="str">
        <x:v>DIRECT</x:v>
      </x:c>
      <x:c r="L179" s="36" t="str">
        <x:v>build, checksum, qa, roadmap, sprint, test, validation</x:v>
      </x:c>
      <x:c r="M179" s="36" t="str">
        <x:v>Retain read-only; current authority remains 00–34.</x:v>
      </x:c>
      <x:c r="N179" s="36" t="str">
        <x:v>33 risk/continuity context</x:v>
      </x:c>
      <x:c r="O179" s="36" t="str">
        <x:v>00_Official_Baseline/v0.5/06_Development_Records/Sprints/Sprint_01/Documentation/S1_Living_Documentation_Update.md</x:v>
      </x:c>
    </x:row>
    <x:row r="180">
      <x:c r="A180" s="27" t="str">
        <x:v>HIST-0176</x:v>
      </x:c>
      <x:c r="B180" s="27" t="str">
        <x:v>00_Official_Baseline</x:v>
      </x:c>
      <x:c r="C180" s="27" t="str">
        <x:v>v0.5</x:v>
      </x:c>
      <x:c r="D180" s="27" t="str">
        <x:v>Sprint 01</x:v>
      </x:c>
      <x:c r="E180" s="36" t="str">
        <x:v>ADR-0010_Phase_Level_Build_Evidence_and_Release_Policy.md</x:v>
      </x:c>
      <x:c r="F180" s="36" t="str">
        <x:v>MD</x:v>
      </x:c>
      <x:c r="G180" s="54" t="n">
        <x:v>2861</x:v>
      </x:c>
      <x:c r="H180" s="36" t="str">
        <x:v>ad328a9eabc2302b0688591df010650b693d9423f0f485eb1000e24d50475184</x:v>
      </x:c>
      <x:c r="I180" s="36" t="n">
        <x:v>2</x:v>
      </x:c>
      <x:c r="J180" s="36" t="str">
        <x:v>Published historical baseline</x:v>
      </x:c>
      <x:c r="K180" s="36" t="str">
        <x:v>DIRECT</x:v>
      </x:c>
      <x:c r="L180" s="36" t="str">
        <x:v>acceptance, adr, build, checksum, closure, qa, release, sprint, test, validation</x:v>
      </x:c>
      <x:c r="M180" s="36" t="str">
        <x:v>Retain read-only; current authority remains 00–34.</x:v>
      </x:c>
      <x:c r="N180" s="36" t="str">
        <x:v>33 risk/continuity context</x:v>
      </x:c>
      <x:c r="O180" s="36" t="str">
        <x:v>00_Official_Baseline/v0.5/06_Development_Records/Sprints/Sprint_01/Governance/ADR-0010_Phase_Level_Build_Evidence_and_Release_Policy.md</x:v>
      </x:c>
    </x:row>
    <x:row r="181">
      <x:c r="A181" s="27" t="str">
        <x:v>HIST-0177</x:v>
      </x:c>
      <x:c r="B181" s="27" t="str">
        <x:v>00_Official_Baseline</x:v>
      </x:c>
      <x:c r="C181" s="27" t="str">
        <x:v>v0.5</x:v>
      </x:c>
      <x:c r="D181" s="27" t="str">
        <x:v>Sprint 01</x:v>
      </x:c>
      <x:c r="E181" s="36" t="str">
        <x:v>Sprint_01_Current_Status.md</x:v>
      </x:c>
      <x:c r="F181" s="36" t="str">
        <x:v>MD</x:v>
      </x:c>
      <x:c r="G181" s="54" t="n">
        <x:v>1684</x:v>
      </x:c>
      <x:c r="H181" s="36" t="str">
        <x:v>3cef15c3e2f9c35c725c4a00cc366321fef51e35e9b4802713e8527dbe7ccf35</x:v>
      </x:c>
      <x:c r="I181" s="36" t="n">
        <x:v>2</x:v>
      </x:c>
      <x:c r="J181" s="36" t="str">
        <x:v>Published historical baseline</x:v>
      </x:c>
      <x:c r="K181" s="36" t="str">
        <x:v>DIRECT</x:v>
      </x:c>
      <x:c r="L181" s="36" t="str">
        <x:v>build, checksum, closure, current_status, incident, release, sprint, test</x:v>
      </x:c>
      <x:c r="M181" s="36" t="str">
        <x:v>Retain read-only; current authority remains 00–34.</x:v>
      </x:c>
      <x:c r="N181" s="36" t="str">
        <x:v>33 risk/continuity context</x:v>
      </x:c>
      <x:c r="O181" s="36" t="str">
        <x:v>00_Official_Baseline/v0.5/06_Development_Records/Sprints/Sprint_01/Governance/Sprint_01_Current_Status.md</x:v>
      </x:c>
    </x:row>
    <x:row r="182">
      <x:c r="A182" s="27" t="str">
        <x:v>HIST-0178</x:v>
      </x:c>
      <x:c r="B182" s="27" t="str">
        <x:v>00_Official_Baseline</x:v>
      </x:c>
      <x:c r="C182" s="27" t="str">
        <x:v>v0.5</x:v>
      </x:c>
      <x:c r="D182" s="27" t="str">
        <x:v>Sprint 01</x:v>
      </x:c>
      <x:c r="E182" s="36" t="str">
        <x:v>S1_Acceptance_Matrix.md</x:v>
      </x:c>
      <x:c r="F182" s="36" t="str">
        <x:v>MD</x:v>
      </x:c>
      <x:c r="G182" s="54" t="n">
        <x:v>1455</x:v>
      </x:c>
      <x:c r="H182" s="36" t="str">
        <x:v>a5a4e0a192fe33559c582efd9ee4d53170e26af9e07db63aae1e22b1f5c66f49</x:v>
      </x:c>
      <x:c r="I182" s="36" t="n">
        <x:v>2</x:v>
      </x:c>
      <x:c r="J182" s="36" t="str">
        <x:v>Published historical baseline</x:v>
      </x:c>
      <x:c r="K182" s="36" t="str">
        <x:v>DIRECT</x:v>
      </x:c>
      <x:c r="L182" s="36" t="str">
        <x:v>acceptance, adr, build, closure, dependency, qa, save, sprint, test</x:v>
      </x:c>
      <x:c r="M182" s="36" t="str">
        <x:v>Retain read-only; current authority remains 00–34.</x:v>
      </x:c>
      <x:c r="N182" s="36" t="str">
        <x:v>33 risk/continuity context</x:v>
      </x:c>
      <x:c r="O182" s="36" t="str">
        <x:v>00_Official_Baseline/v0.5/06_Development_Records/Sprints/Sprint_01/QA/S1_Acceptance_Matrix.md</x:v>
      </x:c>
    </x:row>
    <x:row r="183">
      <x:c r="A183" s="27" t="str">
        <x:v>HIST-0179</x:v>
      </x:c>
      <x:c r="B183" s="27" t="str">
        <x:v>00_Official_Baseline</x:v>
      </x:c>
      <x:c r="C183" s="27" t="str">
        <x:v>v0.5</x:v>
      </x:c>
      <x:c r="D183" s="27" t="str">
        <x:v>Sprint 01</x:v>
      </x:c>
      <x:c r="E183" s="36" t="str">
        <x:v>S1_QA_Execution_Record.md</x:v>
      </x:c>
      <x:c r="F183" s="36" t="str">
        <x:v>MD</x:v>
      </x:c>
      <x:c r="G183" s="54" t="n">
        <x:v>1065</x:v>
      </x:c>
      <x:c r="H183" s="36" t="str">
        <x:v>f9ae3d8cb7bd112af8d518e93ccfe03fbce2309d555f3130b0325427ef68daad</x:v>
      </x:c>
      <x:c r="I183" s="36" t="n">
        <x:v>2</x:v>
      </x:c>
      <x:c r="J183" s="36" t="str">
        <x:v>Published historical baseline</x:v>
      </x:c>
      <x:c r="K183" s="36" t="str">
        <x:v>DIRECT</x:v>
      </x:c>
      <x:c r="L183" s="36" t="str">
        <x:v>adr, build, incident, qa, sprint, test</x:v>
      </x:c>
      <x:c r="M183" s="36" t="str">
        <x:v>Retain read-only; current authority remains 00–34.</x:v>
      </x:c>
      <x:c r="N183" s="36" t="str">
        <x:v>33 risk/continuity context</x:v>
      </x:c>
      <x:c r="O183" s="36" t="str">
        <x:v>00_Official_Baseline/v0.5/06_Development_Records/Sprints/Sprint_01/QA/S1_QA_Execution_Record.md</x:v>
      </x:c>
    </x:row>
    <x:row r="184">
      <x:c r="A184" s="27" t="str">
        <x:v>HIST-0180</x:v>
      </x:c>
      <x:c r="B184" s="27" t="str">
        <x:v>00_Official_Baseline</x:v>
      </x:c>
      <x:c r="C184" s="27" t="str">
        <x:v>v0.5</x:v>
      </x:c>
      <x:c r="D184" s="27" t="str">
        <x:v>Sprint 01</x:v>
      </x:c>
      <x:c r="E184" s="36" t="str">
        <x:v>S1_Validation_Checklist.md</x:v>
      </x:c>
      <x:c r="F184" s="36" t="str">
        <x:v>MD</x:v>
      </x:c>
      <x:c r="G184" s="54" t="n">
        <x:v>1591</x:v>
      </x:c>
      <x:c r="H184" s="36" t="str">
        <x:v>a6538450622d348cafd5964a5af26d84ce9b5aa1890a06af6789b8bb4fd9dc9c</x:v>
      </x:c>
      <x:c r="I184" s="36" t="n">
        <x:v>2</x:v>
      </x:c>
      <x:c r="J184" s="36" t="str">
        <x:v>Published historical baseline</x:v>
      </x:c>
      <x:c r="K184" s="36" t="str">
        <x:v>DIRECT</x:v>
      </x:c>
      <x:c r="L184" s="36" t="str">
        <x:v>adr, build, checksum, qa, release, sprint, test, validation</x:v>
      </x:c>
      <x:c r="M184" s="36" t="str">
        <x:v>Retain read-only; current authority remains 00–34.</x:v>
      </x:c>
      <x:c r="N184" s="36" t="str">
        <x:v>33 risk/continuity context</x:v>
      </x:c>
      <x:c r="O184" s="36" t="str">
        <x:v>00_Official_Baseline/v0.5/06_Development_Records/Sprints/Sprint_01/QA/S1_Validation_Checklist.md</x:v>
      </x:c>
    </x:row>
    <x:row r="185">
      <x:c r="A185" s="27" t="str">
        <x:v>HIST-0181</x:v>
      </x:c>
      <x:c r="B185" s="27" t="str">
        <x:v>00_Official_Baseline</x:v>
      </x:c>
      <x:c r="C185" s="27" t="str">
        <x:v>v0.5</x:v>
      </x:c>
      <x:c r="D185" s="27" t="str">
        <x:v>Sprint 01</x:v>
      </x:c>
      <x:c r="E185" s="36" t="str">
        <x:v>S1_Applied_Changes_Report.md</x:v>
      </x:c>
      <x:c r="F185" s="36" t="str">
        <x:v>MD</x:v>
      </x:c>
      <x:c r="G185" s="54" t="n">
        <x:v>1306</x:v>
      </x:c>
      <x:c r="H185" s="36" t="str">
        <x:v>d557d2ff80e615e43f1a11dcbb40a4dc3fd70427a2df9662b8676b5e0dbfe6e3</x:v>
      </x:c>
      <x:c r="I185" s="36" t="n">
        <x:v>2</x:v>
      </x:c>
      <x:c r="J185" s="36" t="str">
        <x:v>Published historical baseline</x:v>
      </x:c>
      <x:c r="K185" s="36" t="str">
        <x:v>DIRECT</x:v>
      </x:c>
      <x:c r="L185" s="36" t="str">
        <x:v>adr, build, checksum, closure, release, sprint, test, validation</x:v>
      </x:c>
      <x:c r="M185" s="36" t="str">
        <x:v>Retain read-only; current authority remains 00–34.</x:v>
      </x:c>
      <x:c r="N185" s="36" t="str">
        <x:v>33 risk/continuity context</x:v>
      </x:c>
      <x:c r="O185" s="36" t="str">
        <x:v>00_Official_Baseline/v0.5/06_Development_Records/Sprints/Sprint_01/S1_Applied_Changes_Report.md</x:v>
      </x:c>
    </x:row>
    <x:row r="186">
      <x:c r="A186" s="27" t="str">
        <x:v>HIST-0182</x:v>
      </x:c>
      <x:c r="B186" s="27" t="str">
        <x:v>00_Official_Baseline</x:v>
      </x:c>
      <x:c r="C186" s="27" t="str">
        <x:v>v0.5</x:v>
      </x:c>
      <x:c r="D186" s="27" t="str">
        <x:v>Sprint 01</x:v>
      </x:c>
      <x:c r="E186" s="36" t="str">
        <x:v>Sprint_01_Closure_Record.md</x:v>
      </x:c>
      <x:c r="F186" s="36" t="str">
        <x:v>MD</x:v>
      </x:c>
      <x:c r="G186" s="54" t="n">
        <x:v>1841</x:v>
      </x:c>
      <x:c r="H186" s="36" t="str">
        <x:v>2b8dccc6fe9f2b2d9adff4bb17403626e70f533157a89d558c15549d2aaef69e</x:v>
      </x:c>
      <x:c r="I186" s="36" t="n">
        <x:v>2</x:v>
      </x:c>
      <x:c r="J186" s="36" t="str">
        <x:v>Published historical baseline</x:v>
      </x:c>
      <x:c r="K186" s="36" t="str">
        <x:v>DIRECT</x:v>
      </x:c>
      <x:c r="L186" s="36" t="str">
        <x:v>adr, build, checksum, closure, incident, release, sprint, test, validation</x:v>
      </x:c>
      <x:c r="M186" s="36" t="str">
        <x:v>Retain read-only; current authority remains 00–34.</x:v>
      </x:c>
      <x:c r="N186" s="36" t="str">
        <x:v>33 risk/continuity context</x:v>
      </x:c>
      <x:c r="O186" s="36" t="str">
        <x:v>00_Official_Baseline/v0.5/06_Development_Records/Sprints/Sprint_01/Sprint_01_Closure_Record.md</x:v>
      </x:c>
    </x:row>
    <x:row r="187">
      <x:c r="A187" s="27" t="str">
        <x:v>HIST-0183</x:v>
      </x:c>
      <x:c r="B187" s="27" t="str">
        <x:v>00_Official_Baseline</x:v>
      </x:c>
      <x:c r="C187" s="27" t="str">
        <x:v>v0.5</x:v>
      </x:c>
      <x:c r="D187" s="27" t="str">
        <x:v>Sprint 01</x:v>
      </x:c>
      <x:c r="E187" s="36" t="str">
        <x:v>S1_Document_Impact_Working_Matrix.md</x:v>
      </x:c>
      <x:c r="F187" s="36" t="str">
        <x:v>MD</x:v>
      </x:c>
      <x:c r="G187" s="54" t="n">
        <x:v>2145</x:v>
      </x:c>
      <x:c r="H187" s="36" t="str">
        <x:v>954a2469df0ccd8fda09a9a22ac33abadd2c59aedfeaed3597633c449f244648</x:v>
      </x:c>
      <x:c r="I187" s="36" t="n">
        <x:v>2</x:v>
      </x:c>
      <x:c r="J187" s="36" t="str">
        <x:v>Published historical baseline</x:v>
      </x:c>
      <x:c r="K187" s="36" t="str">
        <x:v>DIRECT</x:v>
      </x:c>
      <x:c r="L187" s="36" t="str">
        <x:v>acceptance, adr, build, closure, qa, roadmap, sprint, test</x:v>
      </x:c>
      <x:c r="M187" s="36" t="str">
        <x:v>Retain read-only; current authority remains 00–34.</x:v>
      </x:c>
      <x:c r="N187" s="36" t="str">
        <x:v>33 risk/continuity context</x:v>
      </x:c>
      <x:c r="O187" s="36" t="str">
        <x:v>00_Official_Baseline/v0.5/06_Development_Records/Sprints/Sprint_01/Traceability/S1_Document_Impact_Working_Matrix.md</x:v>
      </x:c>
    </x:row>
    <x:row r="188">
      <x:c r="A188" s="27" t="str">
        <x:v>HIST-0184</x:v>
      </x:c>
      <x:c r="B188" s="27" t="str">
        <x:v>00_Official_Baseline</x:v>
      </x:c>
      <x:c r="C188" s="27" t="str">
        <x:v>v0.5</x:v>
      </x:c>
      <x:c r="D188" s="27" t="str">
        <x:v>Sprint 01</x:v>
      </x:c>
      <x:c r="E188" s="36" t="str">
        <x:v>S1_Traceability_Entries.csv</x:v>
      </x:c>
      <x:c r="F188" s="36" t="str">
        <x:v>CSV</x:v>
      </x:c>
      <x:c r="G188" s="54" t="n">
        <x:v>1155</x:v>
      </x:c>
      <x:c r="H188" s="36" t="str">
        <x:v>aedac227bd8d99487c25becdb16546b4804200243132e405a6262c7d779fc1b7</x:v>
      </x:c>
      <x:c r="I188" s="36" t="n">
        <x:v>2</x:v>
      </x:c>
      <x:c r="J188" s="36" t="str">
        <x:v>Published historical baseline</x:v>
      </x:c>
      <x:c r="K188" s="36" t="str">
        <x:v>DIRECT</x:v>
      </x:c>
      <x:c r="L188" s="36" t="str">
        <x:v>adr, build, checksum, closure, qa, release, sprint, test</x:v>
      </x:c>
      <x:c r="M188" s="36" t="str">
        <x:v>Retain read-only; current authority remains 00–34.</x:v>
      </x:c>
      <x:c r="N188" s="36" t="str">
        <x:v>33 risk/continuity context</x:v>
      </x:c>
      <x:c r="O188" s="36" t="str">
        <x:v>00_Official_Baseline/v0.5/06_Development_Records/Sprints/Sprint_01/Traceability/S1_Traceability_Entries.csv</x:v>
      </x:c>
    </x:row>
    <x:row r="189">
      <x:c r="A189" s="27" t="str">
        <x:v>HIST-0185</x:v>
      </x:c>
      <x:c r="B189" s="27" t="str">
        <x:v>00_Official_Baseline</x:v>
      </x:c>
      <x:c r="C189" s="27" t="str">
        <x:v>v0.5</x:v>
      </x:c>
      <x:c r="D189" s="27" t="str">
        <x:v>Sprint 02</x:v>
      </x:c>
      <x:c r="E189" s="36" t="str">
        <x:v>S2_2.4_PostImplementation_Record.md</x:v>
      </x:c>
      <x:c r="F189" s="36" t="str">
        <x:v>MD</x:v>
      </x:c>
      <x:c r="G189" s="54" t="n">
        <x:v>1370</x:v>
      </x:c>
      <x:c r="H189" s="36" t="str">
        <x:v>6d8abe4b6e4fda5c39ffd60d97011f543f82a7a104941401d40120785709fc4b</x:v>
      </x:c>
      <x:c r="I189" s="36" t="n">
        <x:v>2</x:v>
      </x:c>
      <x:c r="J189" s="36" t="str">
        <x:v>Published historical baseline</x:v>
      </x:c>
      <x:c r="K189" s="36" t="str">
        <x:v>DIRECT</x:v>
      </x:c>
      <x:c r="L189" s="36" t="str">
        <x:v>acceptance, adr, build, checksum, closure, incident, qa, release, save, sprint, validation</x:v>
      </x:c>
      <x:c r="M189" s="36" t="str">
        <x:v>Retain read-only; current authority remains 00–34.</x:v>
      </x:c>
      <x:c r="N189" s="36" t="str">
        <x:v>33 risk/continuity context</x:v>
      </x:c>
      <x:c r="O189" s="36" t="str">
        <x:v>00_Official_Baseline/v0.5/06_Development_Records/Sprints/Sprint_02/Documentation/S2_2.4_PostImplementation_Record.md</x:v>
      </x:c>
    </x:row>
    <x:row r="190">
      <x:c r="A190" s="27" t="str">
        <x:v>HIST-0186</x:v>
      </x:c>
      <x:c r="B190" s="27" t="str">
        <x:v>00_Official_Baseline</x:v>
      </x:c>
      <x:c r="C190" s="27" t="str">
        <x:v>v0.5</x:v>
      </x:c>
      <x:c r="D190" s="27" t="str">
        <x:v>Sprint 02</x:v>
      </x:c>
      <x:c r="E190" s="36" t="str">
        <x:v>S2_Living_Documentation_Update.md</x:v>
      </x:c>
      <x:c r="F190" s="36" t="str">
        <x:v>MD</x:v>
      </x:c>
      <x:c r="G190" s="54" t="n">
        <x:v>1460</x:v>
      </x:c>
      <x:c r="H190" s="36" t="str">
        <x:v>2557d0a124f811aab18e38c5a5e6aebd1545e0befd0ed9d5e5d2bbb64b0b6902</x:v>
      </x:c>
      <x:c r="I190" s="36" t="n">
        <x:v>2</x:v>
      </x:c>
      <x:c r="J190" s="36" t="str">
        <x:v>Published historical baseline</x:v>
      </x:c>
      <x:c r="K190" s="36" t="str">
        <x:v>DIRECT</x:v>
      </x:c>
      <x:c r="L190" s="36" t="str">
        <x:v>backup, closure, recovery, save, sprint</x:v>
      </x:c>
      <x:c r="M190" s="36" t="str">
        <x:v>Retain read-only; current authority remains 00–34.</x:v>
      </x:c>
      <x:c r="N190" s="36" t="str">
        <x:v>33 risk/continuity context</x:v>
      </x:c>
      <x:c r="O190" s="36" t="str">
        <x:v>00_Official_Baseline/v0.5/06_Development_Records/Sprints/Sprint_02/Documentation/S2_Living_Documentation_Update.md</x:v>
      </x:c>
    </x:row>
    <x:row r="191">
      <x:c r="A191" s="27" t="str">
        <x:v>HIST-0187</x:v>
      </x:c>
      <x:c r="B191" s="27" t="str">
        <x:v>00_Official_Baseline</x:v>
      </x:c>
      <x:c r="C191" s="27" t="str">
        <x:v>v0.5</x:v>
      </x:c>
      <x:c r="D191" s="27" t="str">
        <x:v>Sprint 02</x:v>
      </x:c>
      <x:c r="E191" s="36" t="str">
        <x:v>ADR-0011_Minimal_Versioned_Save_Skeleton.md</x:v>
      </x:c>
      <x:c r="F191" s="36" t="str">
        <x:v>MD</x:v>
      </x:c>
      <x:c r="G191" s="54" t="n">
        <x:v>2505</x:v>
      </x:c>
      <x:c r="H191" s="36" t="str">
        <x:v>4048b071ec41b0d5caf4beb0d5a4ff7547e409f566a403d0e9331a604de076dd</x:v>
      </x:c>
      <x:c r="I191" s="36" t="n">
        <x:v>2</x:v>
      </x:c>
      <x:c r="J191" s="36" t="str">
        <x:v>Published historical baseline</x:v>
      </x:c>
      <x:c r="K191" s="36" t="str">
        <x:v>DIRECT</x:v>
      </x:c>
      <x:c r="L191" s="36" t="str">
        <x:v>adr, backup, build, dependency, incident, save, sprint, test, validation</x:v>
      </x:c>
      <x:c r="M191" s="36" t="str">
        <x:v>Retain read-only; current authority remains 00–34.</x:v>
      </x:c>
      <x:c r="N191" s="36" t="str">
        <x:v>33 risk/continuity context</x:v>
      </x:c>
      <x:c r="O191" s="36" t="str">
        <x:v>00_Official_Baseline/v0.5/06_Development_Records/Sprints/Sprint_02/Governance/ADR-0011_Minimal_Versioned_Save_Skeleton.md</x:v>
      </x:c>
    </x:row>
    <x:row r="192">
      <x:c r="A192" s="27" t="str">
        <x:v>HIST-0188</x:v>
      </x:c>
      <x:c r="B192" s="27" t="str">
        <x:v>00_Official_Baseline</x:v>
      </x:c>
      <x:c r="C192" s="27" t="str">
        <x:v>v0.5</x:v>
      </x:c>
      <x:c r="D192" s="27" t="str">
        <x:v>Sprint 02</x:v>
      </x:c>
      <x:c r="E192" s="36" t="str">
        <x:v>Sprint_02_Current_Status.md</x:v>
      </x:c>
      <x:c r="F192" s="36" t="str">
        <x:v>MD</x:v>
      </x:c>
      <x:c r="G192" s="54" t="n">
        <x:v>1868</x:v>
      </x:c>
      <x:c r="H192" s="36" t="str">
        <x:v>5af2cc8138ca5ef7d49e84c24974f5d1c5939f84dc9f356d6563c417067c3ef7</x:v>
      </x:c>
      <x:c r="I192" s="36" t="n">
        <x:v>2</x:v>
      </x:c>
      <x:c r="J192" s="36" t="str">
        <x:v>Published historical baseline</x:v>
      </x:c>
      <x:c r="K192" s="36" t="str">
        <x:v>DIRECT</x:v>
      </x:c>
      <x:c r="L192" s="36" t="str">
        <x:v>build, checksum, closure, current_status, qa, release, save, sprint, test, validation</x:v>
      </x:c>
      <x:c r="M192" s="36" t="str">
        <x:v>Retain read-only; current authority remains 00–34.</x:v>
      </x:c>
      <x:c r="N192" s="36" t="str">
        <x:v>33 risk/continuity context</x:v>
      </x:c>
      <x:c r="O192" s="36" t="str">
        <x:v>00_Official_Baseline/v0.5/06_Development_Records/Sprints/Sprint_02/Governance/Sprint_02_Current_Status.md</x:v>
      </x:c>
    </x:row>
    <x:row r="193">
      <x:c r="A193" s="27" t="str">
        <x:v>HIST-0189</x:v>
      </x:c>
      <x:c r="B193" s="27" t="str">
        <x:v>00_Official_Baseline</x:v>
      </x:c>
      <x:c r="C193" s="27" t="str">
        <x:v>v0.5</x:v>
      </x:c>
      <x:c r="D193" s="27" t="str">
        <x:v>Sprint 02</x:v>
      </x:c>
      <x:c r="E193" s="36" t="str">
        <x:v>S2_Acceptance_Matrix.md</x:v>
      </x:c>
      <x:c r="F193" s="36" t="str">
        <x:v>MD</x:v>
      </x:c>
      <x:c r="G193" s="54" t="n">
        <x:v>993</x:v>
      </x:c>
      <x:c r="H193" s="36" t="str">
        <x:v>1c184fd5c44de6051e83614676a1571d4d49e7cd8b4d68c8ef85167b64e2692f</x:v>
      </x:c>
      <x:c r="I193" s="36" t="n">
        <x:v>2</x:v>
      </x:c>
      <x:c r="J193" s="36" t="str">
        <x:v>Published historical baseline</x:v>
      </x:c>
      <x:c r="K193" s="36" t="str">
        <x:v>DIRECT</x:v>
      </x:c>
      <x:c r="L193" s="36" t="str">
        <x:v>acceptance, audit, build, qa, save, sprint</x:v>
      </x:c>
      <x:c r="M193" s="36" t="str">
        <x:v>Retain read-only; current authority remains 00–34.</x:v>
      </x:c>
      <x:c r="N193" s="36" t="str">
        <x:v>33 risk/continuity context</x:v>
      </x:c>
      <x:c r="O193" s="36" t="str">
        <x:v>00_Official_Baseline/v0.5/06_Development_Records/Sprints/Sprint_02/QA/S2_Acceptance_Matrix.md</x:v>
      </x:c>
    </x:row>
    <x:row r="194">
      <x:c r="A194" s="27" t="str">
        <x:v>HIST-0190</x:v>
      </x:c>
      <x:c r="B194" s="27" t="str">
        <x:v>00_Official_Baseline</x:v>
      </x:c>
      <x:c r="C194" s="27" t="str">
        <x:v>v0.5</x:v>
      </x:c>
      <x:c r="D194" s="27" t="str">
        <x:v>Sprint 02</x:v>
      </x:c>
      <x:c r="E194" s="36" t="str">
        <x:v>S2_QA_Execution_Record.md</x:v>
      </x:c>
      <x:c r="F194" s="36" t="str">
        <x:v>MD</x:v>
      </x:c>
      <x:c r="G194" s="54" t="n">
        <x:v>1827</x:v>
      </x:c>
      <x:c r="H194" s="36" t="str">
        <x:v>70ad9d5ab6b32071b69fcbb35e7f76889b95b4d84ec6c6e6174ab2d793ccea4f</x:v>
      </x:c>
      <x:c r="I194" s="36" t="n">
        <x:v>2</x:v>
      </x:c>
      <x:c r="J194" s="36" t="str">
        <x:v>Published historical baseline</x:v>
      </x:c>
      <x:c r="K194" s="36" t="str">
        <x:v>DIRECT</x:v>
      </x:c>
      <x:c r="L194" s="36" t="str">
        <x:v>backup, build, qa, save, sprint, test</x:v>
      </x:c>
      <x:c r="M194" s="36" t="str">
        <x:v>Retain read-only; current authority remains 00–34.</x:v>
      </x:c>
      <x:c r="N194" s="36" t="str">
        <x:v>33 risk/continuity context</x:v>
      </x:c>
      <x:c r="O194" s="36" t="str">
        <x:v>00_Official_Baseline/v0.5/06_Development_Records/Sprints/Sprint_02/QA/S2_QA_Execution_Record.md</x:v>
      </x:c>
    </x:row>
    <x:row r="195">
      <x:c r="A195" s="27" t="str">
        <x:v>HIST-0191</x:v>
      </x:c>
      <x:c r="B195" s="27" t="str">
        <x:v>00_Official_Baseline</x:v>
      </x:c>
      <x:c r="C195" s="27" t="str">
        <x:v>v0.5</x:v>
      </x:c>
      <x:c r="D195" s="27" t="str">
        <x:v>Sprint 02</x:v>
      </x:c>
      <x:c r="E195" s="36" t="str">
        <x:v>S2_Validation_Checklist.md</x:v>
      </x:c>
      <x:c r="F195" s="36" t="str">
        <x:v>MD</x:v>
      </x:c>
      <x:c r="G195" s="54" t="n">
        <x:v>1272</x:v>
      </x:c>
      <x:c r="H195" s="36" t="str">
        <x:v>c0a872b546a633fd2774377e613690ce0b756b0acb22eecc799f2083cb294606</x:v>
      </x:c>
      <x:c r="I195" s="36" t="n">
        <x:v>2</x:v>
      </x:c>
      <x:c r="J195" s="36" t="str">
        <x:v>Published historical baseline</x:v>
      </x:c>
      <x:c r="K195" s="36" t="str">
        <x:v>DIRECT</x:v>
      </x:c>
      <x:c r="L195" s="36" t="str">
        <x:v>acceptance, adr, build, closure, dependency, qa, save, sprint, test, validation</x:v>
      </x:c>
      <x:c r="M195" s="36" t="str">
        <x:v>Retain read-only; current authority remains 00–34.</x:v>
      </x:c>
      <x:c r="N195" s="36" t="str">
        <x:v>33 risk/continuity context</x:v>
      </x:c>
      <x:c r="O195" s="36" t="str">
        <x:v>00_Official_Baseline/v0.5/06_Development_Records/Sprints/Sprint_02/QA/S2_Validation_Checklist.md</x:v>
      </x:c>
    </x:row>
    <x:row r="196">
      <x:c r="A196" s="27" t="str">
        <x:v>HIST-0192</x:v>
      </x:c>
      <x:c r="B196" s="27" t="str">
        <x:v>00_Official_Baseline</x:v>
      </x:c>
      <x:c r="C196" s="27" t="str">
        <x:v>v0.5</x:v>
      </x:c>
      <x:c r="D196" s="27" t="str">
        <x:v>Sprint 02</x:v>
      </x:c>
      <x:c r="E196" s="36" t="str">
        <x:v>S2_Applied_Changes_Report.md</x:v>
      </x:c>
      <x:c r="F196" s="36" t="str">
        <x:v>MD</x:v>
      </x:c>
      <x:c r="G196" s="54" t="n">
        <x:v>1915</x:v>
      </x:c>
      <x:c r="H196" s="36" t="str">
        <x:v>0798b0b347296ca20893768eb0865f0e4b6eeb18d6f99df19cf436122da8285f</x:v>
      </x:c>
      <x:c r="I196" s="36" t="n">
        <x:v>2</x:v>
      </x:c>
      <x:c r="J196" s="36" t="str">
        <x:v>Published historical baseline</x:v>
      </x:c>
      <x:c r="K196" s="36" t="str">
        <x:v>DIRECT</x:v>
      </x:c>
      <x:c r="L196" s="36" t="str">
        <x:v>backup, build, incident, qa, save, sprint, test, validation</x:v>
      </x:c>
      <x:c r="M196" s="36" t="str">
        <x:v>Retain read-only; current authority remains 00–34.</x:v>
      </x:c>
      <x:c r="N196" s="36" t="str">
        <x:v>33 risk/continuity context</x:v>
      </x:c>
      <x:c r="O196" s="36" t="str">
        <x:v>00_Official_Baseline/v0.5/06_Development_Records/Sprints/Sprint_02/S2_Applied_Changes_Report.md</x:v>
      </x:c>
    </x:row>
    <x:row r="197">
      <x:c r="A197" s="27" t="str">
        <x:v>HIST-0193</x:v>
      </x:c>
      <x:c r="B197" s="27" t="str">
        <x:v>00_Official_Baseline</x:v>
      </x:c>
      <x:c r="C197" s="27" t="str">
        <x:v>v0.5</x:v>
      </x:c>
      <x:c r="D197" s="27" t="str">
        <x:v>Sprint 02</x:v>
      </x:c>
      <x:c r="E197" s="36" t="str">
        <x:v>Sprint_02_Closure_Record.md</x:v>
      </x:c>
      <x:c r="F197" s="36" t="str">
        <x:v>MD</x:v>
      </x:c>
      <x:c r="G197" s="54" t="n">
        <x:v>1900</x:v>
      </x:c>
      <x:c r="H197" s="36" t="str">
        <x:v>5be13768cf7133b2e1ccaf90c13f0fbac1186bb46125b2512559a0943d2d3bf9</x:v>
      </x:c>
      <x:c r="I197" s="36" t="n">
        <x:v>2</x:v>
      </x:c>
      <x:c r="J197" s="36" t="str">
        <x:v>Published historical baseline</x:v>
      </x:c>
      <x:c r="K197" s="36" t="str">
        <x:v>DIRECT</x:v>
      </x:c>
      <x:c r="L197" s="36" t="str">
        <x:v>build, closure, incident, qa, release, save, sprint, validation</x:v>
      </x:c>
      <x:c r="M197" s="36" t="str">
        <x:v>Retain read-only; current authority remains 00–34.</x:v>
      </x:c>
      <x:c r="N197" s="36" t="str">
        <x:v>33 risk/continuity context</x:v>
      </x:c>
      <x:c r="O197" s="36" t="str">
        <x:v>00_Official_Baseline/v0.5/06_Development_Records/Sprints/Sprint_02/Sprint_02_Closure_Record.md</x:v>
      </x:c>
    </x:row>
    <x:row r="198">
      <x:c r="A198" s="27" t="str">
        <x:v>HIST-0194</x:v>
      </x:c>
      <x:c r="B198" s="27" t="str">
        <x:v>00_Official_Baseline</x:v>
      </x:c>
      <x:c r="C198" s="27" t="str">
        <x:v>v0.5</x:v>
      </x:c>
      <x:c r="D198" s="27" t="str">
        <x:v>Sprint 02</x:v>
      </x:c>
      <x:c r="E198" s="36" t="str">
        <x:v>S2_Document_Impact_Working_Matrix.md</x:v>
      </x:c>
      <x:c r="F198" s="36" t="str">
        <x:v>MD</x:v>
      </x:c>
      <x:c r="G198" s="54" t="n">
        <x:v>1594</x:v>
      </x:c>
      <x:c r="H198" s="36" t="str">
        <x:v>b43e047a96a94ab7edc30626030648f1c5c159e8d7522afc10f107f2b0e38852</x:v>
      </x:c>
      <x:c r="I198" s="36" t="n">
        <x:v>2</x:v>
      </x:c>
      <x:c r="J198" s="36" t="str">
        <x:v>Published historical baseline</x:v>
      </x:c>
      <x:c r="K198" s="36" t="str">
        <x:v>DIRECT</x:v>
      </x:c>
      <x:c r="L198" s="36" t="str">
        <x:v>adr, build, closure, incident, qa, roadmap, save, sprint, test, validation</x:v>
      </x:c>
      <x:c r="M198" s="36" t="str">
        <x:v>Retain read-only; current authority remains 00–34.</x:v>
      </x:c>
      <x:c r="N198" s="36" t="str">
        <x:v>33 risk/continuity context</x:v>
      </x:c>
      <x:c r="O198" s="36" t="str">
        <x:v>00_Official_Baseline/v0.5/06_Development_Records/Sprints/Sprint_02/Traceability/S2_Document_Impact_Working_Matrix.md</x:v>
      </x:c>
    </x:row>
    <x:row r="199">
      <x:c r="A199" s="27" t="str">
        <x:v>HIST-0195</x:v>
      </x:c>
      <x:c r="B199" s="27" t="str">
        <x:v>00_Official_Baseline</x:v>
      </x:c>
      <x:c r="C199" s="27" t="str">
        <x:v>v0.5</x:v>
      </x:c>
      <x:c r="D199" s="27" t="str">
        <x:v>Sprint 02</x:v>
      </x:c>
      <x:c r="E199" s="36" t="str">
        <x:v>S2_Traceability_Entries.csv</x:v>
      </x:c>
      <x:c r="F199" s="36" t="str">
        <x:v>CSV</x:v>
      </x:c>
      <x:c r="G199" s="54" t="n">
        <x:v>1154</x:v>
      </x:c>
      <x:c r="H199" s="36" t="str">
        <x:v>f1d0d1ccab1084dd3975ab05236e9d7d9768595ebd5570f3fdd2e2075e0f9c50</x:v>
      </x:c>
      <x:c r="I199" s="36" t="n">
        <x:v>2</x:v>
      </x:c>
      <x:c r="J199" s="36" t="str">
        <x:v>Published historical baseline</x:v>
      </x:c>
      <x:c r="K199" s="36" t="str">
        <x:v>DIRECT</x:v>
      </x:c>
      <x:c r="L199" s="36" t="str">
        <x:v>adr, closure, incident, qa, save, sprint, test</x:v>
      </x:c>
      <x:c r="M199" s="36" t="str">
        <x:v>Retain read-only; current authority remains 00–34.</x:v>
      </x:c>
      <x:c r="N199" s="36" t="str">
        <x:v>33 risk/continuity context</x:v>
      </x:c>
      <x:c r="O199" s="36" t="str">
        <x:v>00_Official_Baseline/v0.5/06_Development_Records/Sprints/Sprint_02/Traceability/S2_Traceability_Entries.csv</x:v>
      </x:c>
    </x:row>
    <x:row r="200">
      <x:c r="A200" s="27" t="str">
        <x:v>HIST-0196</x:v>
      </x:c>
      <x:c r="B200" s="27" t="str">
        <x:v>00_Official_Baseline</x:v>
      </x:c>
      <x:c r="C200" s="27" t="str">
        <x:v>v0.5</x:v>
      </x:c>
      <x:c r="D200" s="27" t="str">
        <x:v>Sprint 03</x:v>
      </x:c>
      <x:c r="E200" s="36" t="str">
        <x:v>S3_3.4_PostImplementation_Record.md</x:v>
      </x:c>
      <x:c r="F200" s="36" t="str">
        <x:v>MD</x:v>
      </x:c>
      <x:c r="G200" s="54" t="n">
        <x:v>1620</x:v>
      </x:c>
      <x:c r="H200" s="36" t="str">
        <x:v>cf1d302783bfb7156655cc269fad60d1457fbac83048709a2d2e5b3591111969</x:v>
      </x:c>
      <x:c r="I200" s="36" t="n">
        <x:v>2</x:v>
      </x:c>
      <x:c r="J200" s="36" t="str">
        <x:v>Published historical baseline</x:v>
      </x:c>
      <x:c r="K200" s="36" t="str">
        <x:v>DIRECT</x:v>
      </x:c>
      <x:c r="L200" s="36" t="str">
        <x:v>acceptance, adr, build, checksum, closure, incident, qa, release, sprint, test, validation</x:v>
      </x:c>
      <x:c r="M200" s="36" t="str">
        <x:v>Retain read-only; current authority remains 00–34.</x:v>
      </x:c>
      <x:c r="N200" s="36" t="str">
        <x:v>33 risk/continuity context</x:v>
      </x:c>
      <x:c r="O200" s="36" t="str">
        <x:v>00_Official_Baseline/v0.5/06_Development_Records/Sprints/Sprint_03/Documentation/S3_3.4_PostImplementation_Record.md</x:v>
      </x:c>
    </x:row>
    <x:row r="201">
      <x:c r="A201" s="27" t="str">
        <x:v>HIST-0197</x:v>
      </x:c>
      <x:c r="B201" s="27" t="str">
        <x:v>00_Official_Baseline</x:v>
      </x:c>
      <x:c r="C201" s="27" t="str">
        <x:v>v0.5</x:v>
      </x:c>
      <x:c r="D201" s="27" t="str">
        <x:v>Sprint 03</x:v>
      </x:c>
      <x:c r="E201" s="36" t="str">
        <x:v>S3_Living_Documentation_Update.md</x:v>
      </x:c>
      <x:c r="F201" s="36" t="str">
        <x:v>MD</x:v>
      </x:c>
      <x:c r="G201" s="54" t="n">
        <x:v>1924</x:v>
      </x:c>
      <x:c r="H201" s="36" t="str">
        <x:v>06304b6d9cb64a6550920e046f4b0a04edf2e210e85ab19afb2631bd07f12138</x:v>
      </x:c>
      <x:c r="I201" s="36" t="n">
        <x:v>2</x:v>
      </x:c>
      <x:c r="J201" s="36" t="str">
        <x:v>Published historical baseline</x:v>
      </x:c>
      <x:c r="K201" s="36" t="str">
        <x:v>DIRECT</x:v>
      </x:c>
      <x:c r="L201" s="36" t="str">
        <x:v>build, closure, save, sprint, test</x:v>
      </x:c>
      <x:c r="M201" s="36" t="str">
        <x:v>Retain read-only; current authority remains 00–34.</x:v>
      </x:c>
      <x:c r="N201" s="36" t="str">
        <x:v>33 risk/continuity context</x:v>
      </x:c>
      <x:c r="O201" s="36" t="str">
        <x:v>00_Official_Baseline/v0.5/06_Development_Records/Sprints/Sprint_03/Documentation/S3_Living_Documentation_Update.md</x:v>
      </x:c>
    </x:row>
    <x:row r="202">
      <x:c r="A202" s="27" t="str">
        <x:v>HIST-0198</x:v>
      </x:c>
      <x:c r="B202" s="27" t="str">
        <x:v>00_Official_Baseline</x:v>
      </x:c>
      <x:c r="C202" s="27" t="str">
        <x:v>v0.5</x:v>
      </x:c>
      <x:c r="D202" s="27" t="str">
        <x:v>Sprint 03</x:v>
      </x:c>
      <x:c r="E202" s="36" t="str">
        <x:v>ADR-0012_Scene_Driven_Input_Contexts.md</x:v>
      </x:c>
      <x:c r="F202" s="36" t="str">
        <x:v>MD</x:v>
      </x:c>
      <x:c r="G202" s="54" t="n">
        <x:v>1159</x:v>
      </x:c>
      <x:c r="H202" s="36" t="str">
        <x:v>13c16537cc90fb0cdf3e74d588a585635c8b7b998433a1ed52501aad1d89af0f</x:v>
      </x:c>
      <x:c r="I202" s="36" t="n">
        <x:v>2</x:v>
      </x:c>
      <x:c r="J202" s="36" t="str">
        <x:v>Published historical baseline</x:v>
      </x:c>
      <x:c r="K202" s="36" t="str">
        <x:v>DIRECT</x:v>
      </x:c>
      <x:c r="L202" s="36" t="str">
        <x:v>adr, save, sprint, test, validation</x:v>
      </x:c>
      <x:c r="M202" s="36" t="str">
        <x:v>Retain read-only; current authority remains 00–34.</x:v>
      </x:c>
      <x:c r="N202" s="36" t="str">
        <x:v>33 risk/continuity context</x:v>
      </x:c>
      <x:c r="O202" s="36" t="str">
        <x:v>00_Official_Baseline/v0.5/06_Development_Records/Sprints/Sprint_03/Governance/ADR-0012_Scene_Driven_Input_Contexts.md</x:v>
      </x:c>
    </x:row>
    <x:row r="203">
      <x:c r="A203" s="27" t="str">
        <x:v>HIST-0199</x:v>
      </x:c>
      <x:c r="B203" s="27" t="str">
        <x:v>00_Official_Baseline</x:v>
      </x:c>
      <x:c r="C203" s="27" t="str">
        <x:v>v0.5</x:v>
      </x:c>
      <x:c r="D203" s="27" t="str">
        <x:v>Sprint 03</x:v>
      </x:c>
      <x:c r="E203" s="36" t="str">
        <x:v>ADR-0013_Direct_Planar_Click_To_Move_Foundation.md</x:v>
      </x:c>
      <x:c r="F203" s="36" t="str">
        <x:v>MD</x:v>
      </x:c>
      <x:c r="G203" s="54" t="n">
        <x:v>1449</x:v>
      </x:c>
      <x:c r="H203" s="36" t="str">
        <x:v>24601e21279c905274e2c7092c1504eae9f72be23477d15741fab33d79971059</x:v>
      </x:c>
      <x:c r="I203" s="36" t="n">
        <x:v>2</x:v>
      </x:c>
      <x:c r="J203" s="36" t="str">
        <x:v>Published historical baseline</x:v>
      </x:c>
      <x:c r="K203" s="36" t="str">
        <x:v>DIRECT</x:v>
      </x:c>
      <x:c r="L203" s="36" t="str">
        <x:v>adr, save, sprint, test, validation</x:v>
      </x:c>
      <x:c r="M203" s="36" t="str">
        <x:v>Retain read-only; current authority remains 00–34.</x:v>
      </x:c>
      <x:c r="N203" s="36" t="str">
        <x:v>33 risk/continuity context</x:v>
      </x:c>
      <x:c r="O203" s="36" t="str">
        <x:v>00_Official_Baseline/v0.5/06_Development_Records/Sprints/Sprint_03/Governance/ADR-0013_Direct_Planar_Click_To_Move_Foundation.md</x:v>
      </x:c>
    </x:row>
    <x:row r="204">
      <x:c r="A204" s="27" t="str">
        <x:v>HIST-0200</x:v>
      </x:c>
      <x:c r="B204" s="27" t="str">
        <x:v>00_Official_Baseline</x:v>
      </x:c>
      <x:c r="C204" s="27" t="str">
        <x:v>v0.5</x:v>
      </x:c>
      <x:c r="D204" s="27" t="str">
        <x:v>Sprint 03</x:v>
      </x:c>
      <x:c r="E204" s="36" t="str">
        <x:v>ADR-0014_Orbit_Zoom_Follow_Camera.md</x:v>
      </x:c>
      <x:c r="F204" s="36" t="str">
        <x:v>MD</x:v>
      </x:c>
      <x:c r="G204" s="54" t="n">
        <x:v>1331</x:v>
      </x:c>
      <x:c r="H204" s="36" t="str">
        <x:v>c7bcb3d83c5544605bac741e625f1a441f5ba10047e204e4ce6dbd9eb7468a77</x:v>
      </x:c>
      <x:c r="I204" s="36" t="n">
        <x:v>2</x:v>
      </x:c>
      <x:c r="J204" s="36" t="str">
        <x:v>Published historical baseline</x:v>
      </x:c>
      <x:c r="K204" s="36" t="str">
        <x:v>DIRECT</x:v>
      </x:c>
      <x:c r="L204" s="36" t="str">
        <x:v>adr, dependency, save, sprint, test, validation</x:v>
      </x:c>
      <x:c r="M204" s="36" t="str">
        <x:v>Retain read-only; current authority remains 00–34.</x:v>
      </x:c>
      <x:c r="N204" s="36" t="str">
        <x:v>33 risk/continuity context</x:v>
      </x:c>
      <x:c r="O204" s="36" t="str">
        <x:v>00_Official_Baseline/v0.5/06_Development_Records/Sprints/Sprint_03/Governance/ADR-0014_Orbit_Zoom_Follow_Camera.md</x:v>
      </x:c>
    </x:row>
    <x:row r="205">
      <x:c r="A205" s="27" t="str">
        <x:v>HIST-0201</x:v>
      </x:c>
      <x:c r="B205" s="27" t="str">
        <x:v>00_Official_Baseline</x:v>
      </x:c>
      <x:c r="C205" s="27" t="str">
        <x:v>v0.5</x:v>
      </x:c>
      <x:c r="D205" s="27" t="str">
        <x:v>Sprint 03</x:v>
      </x:c>
      <x:c r="E205" s="36" t="str">
        <x:v>ADR-0015_Project_Input_Actions_And_Context_Routing.md</x:v>
      </x:c>
      <x:c r="F205" s="36" t="str">
        <x:v>MD</x:v>
      </x:c>
      <x:c r="G205" s="54" t="n">
        <x:v>1653</x:v>
      </x:c>
      <x:c r="H205" s="36" t="str">
        <x:v>b665c0f33852bfb4ae7d0de42fac1636487181e19c28593c1d728d412e21954e</x:v>
      </x:c>
      <x:c r="I205" s="36" t="n">
        <x:v>2</x:v>
      </x:c>
      <x:c r="J205" s="36" t="str">
        <x:v>Published historical baseline</x:v>
      </x:c>
      <x:c r="K205" s="36" t="str">
        <x:v>DIRECT</x:v>
      </x:c>
      <x:c r="L205" s="36" t="str">
        <x:v>adr, build, save, sprint, test, validation</x:v>
      </x:c>
      <x:c r="M205" s="36" t="str">
        <x:v>Retain read-only; current authority remains 00–34.</x:v>
      </x:c>
      <x:c r="N205" s="36" t="str">
        <x:v>33 risk/continuity context</x:v>
      </x:c>
      <x:c r="O205" s="36" t="str">
        <x:v>00_Official_Baseline/v0.5/06_Development_Records/Sprints/Sprint_03/Governance/ADR-0015_Project_Input_Actions_And_Context_Routing.md</x:v>
      </x:c>
    </x:row>
    <x:row r="206">
      <x:c r="A206" s="27" t="str">
        <x:v>HIST-0202</x:v>
      </x:c>
      <x:c r="B206" s="27" t="str">
        <x:v>00_Official_Baseline</x:v>
      </x:c>
      <x:c r="C206" s="27" t="str">
        <x:v>v0.5</x:v>
      </x:c>
      <x:c r="D206" s="27" t="str">
        <x:v>Sprint 03</x:v>
      </x:c>
      <x:c r="E206" s="36" t="str">
        <x:v>Sprint_03_Charter.md</x:v>
      </x:c>
      <x:c r="F206" s="36" t="str">
        <x:v>MD</x:v>
      </x:c>
      <x:c r="G206" s="54" t="n">
        <x:v>1705</x:v>
      </x:c>
      <x:c r="H206" s="36" t="str">
        <x:v>126a9ef68bf789045c3ec9d23b5e8a1643ebe6023784c6d9b43df1e9aa8fd15c</x:v>
      </x:c>
      <x:c r="I206" s="36" t="n">
        <x:v>2</x:v>
      </x:c>
      <x:c r="J206" s="36" t="str">
        <x:v>Published historical baseline</x:v>
      </x:c>
      <x:c r="K206" s="36" t="str">
        <x:v>DIRECT</x:v>
      </x:c>
      <x:c r="L206" s="36" t="str">
        <x:v>build, closure, dependency, qa, save, sprint, test, validation</x:v>
      </x:c>
      <x:c r="M206" s="36" t="str">
        <x:v>Retain read-only; current authority remains 00–34.</x:v>
      </x:c>
      <x:c r="N206" s="36" t="str">
        <x:v>33 risk/continuity context</x:v>
      </x:c>
      <x:c r="O206" s="36" t="str">
        <x:v>00_Official_Baseline/v0.5/06_Development_Records/Sprints/Sprint_03/Governance/Sprint_03_Charter.md</x:v>
      </x:c>
    </x:row>
    <x:row r="207">
      <x:c r="A207" s="27" t="str">
        <x:v>HIST-0203</x:v>
      </x:c>
      <x:c r="B207" s="27" t="str">
        <x:v>00_Official_Baseline</x:v>
      </x:c>
      <x:c r="C207" s="27" t="str">
        <x:v>v0.5</x:v>
      </x:c>
      <x:c r="D207" s="27" t="str">
        <x:v>Sprint 03</x:v>
      </x:c>
      <x:c r="E207" s="36" t="str">
        <x:v>Sprint_03_Current_Status.md</x:v>
      </x:c>
      <x:c r="F207" s="36" t="str">
        <x:v>MD</x:v>
      </x:c>
      <x:c r="G207" s="54" t="n">
        <x:v>1914</x:v>
      </x:c>
      <x:c r="H207" s="36" t="str">
        <x:v>45e1fcd518bdb144ab357425bf1e3e37b14f33f61900b34942835d4f3a568235</x:v>
      </x:c>
      <x:c r="I207" s="36" t="n">
        <x:v>2</x:v>
      </x:c>
      <x:c r="J207" s="36" t="str">
        <x:v>Published historical baseline</x:v>
      </x:c>
      <x:c r="K207" s="36" t="str">
        <x:v>DIRECT</x:v>
      </x:c>
      <x:c r="L207" s="36" t="str">
        <x:v>build, checksum, closure, current_status, release, sprint, test</x:v>
      </x:c>
      <x:c r="M207" s="36" t="str">
        <x:v>Retain read-only; current authority remains 00–34.</x:v>
      </x:c>
      <x:c r="N207" s="36" t="str">
        <x:v>33 risk/continuity context</x:v>
      </x:c>
      <x:c r="O207" s="36" t="str">
        <x:v>00_Official_Baseline/v0.5/06_Development_Records/Sprints/Sprint_03/Governance/Sprint_03_Current_Status.md</x:v>
      </x:c>
    </x:row>
    <x:row r="208">
      <x:c r="A208" s="27" t="str">
        <x:v>HIST-0204</x:v>
      </x:c>
      <x:c r="B208" s="27" t="str">
        <x:v>00_Official_Baseline</x:v>
      </x:c>
      <x:c r="C208" s="27" t="str">
        <x:v>v0.5</x:v>
      </x:c>
      <x:c r="D208" s="27" t="str">
        <x:v>Sprint 03</x:v>
      </x:c>
      <x:c r="E208" s="36" t="str">
        <x:v>S3.1_Validation_Checklist.md</x:v>
      </x:c>
      <x:c r="F208" s="36" t="str">
        <x:v>MD</x:v>
      </x:c>
      <x:c r="G208" s="54" t="n">
        <x:v>572</x:v>
      </x:c>
      <x:c r="H208" s="36" t="str">
        <x:v>504a5c5285be528dd826475d48095d89f3e9ef702c59ebab2408debe90246aa7</x:v>
      </x:c>
      <x:c r="I208" s="36" t="n">
        <x:v>2</x:v>
      </x:c>
      <x:c r="J208" s="36" t="str">
        <x:v>Published historical baseline</x:v>
      </x:c>
      <x:c r="K208" s="36" t="str">
        <x:v>DIRECT</x:v>
      </x:c>
      <x:c r="L208" s="36" t="str">
        <x:v>build, qa, sprint, test, validation</x:v>
      </x:c>
      <x:c r="M208" s="36" t="str">
        <x:v>Retain read-only; current authority remains 00–34.</x:v>
      </x:c>
      <x:c r="N208" s="36" t="str">
        <x:v>33 risk/continuity context</x:v>
      </x:c>
      <x:c r="O208" s="36" t="str">
        <x:v>00_Official_Baseline/v0.5/06_Development_Records/Sprints/Sprint_03/QA/S3.1_Validation_Checklist.md</x:v>
      </x:c>
    </x:row>
    <x:row r="209">
      <x:c r="A209" s="27" t="str">
        <x:v>HIST-0205</x:v>
      </x:c>
      <x:c r="B209" s="27" t="str">
        <x:v>00_Official_Baseline</x:v>
      </x:c>
      <x:c r="C209" s="27" t="str">
        <x:v>v0.5</x:v>
      </x:c>
      <x:c r="D209" s="27" t="str">
        <x:v>Sprint 03</x:v>
      </x:c>
      <x:c r="E209" s="36" t="str">
        <x:v>S3.2_Validation_Checklist.md</x:v>
      </x:c>
      <x:c r="F209" s="36" t="str">
        <x:v>MD</x:v>
      </x:c>
      <x:c r="G209" s="54" t="n">
        <x:v>869</x:v>
      </x:c>
      <x:c r="H209" s="36" t="str">
        <x:v>40c1fcb0f866cbe4f549fdd6fb510200c537a172b368c89cb851be0e75d7d6ba</x:v>
      </x:c>
      <x:c r="I209" s="36" t="n">
        <x:v>2</x:v>
      </x:c>
      <x:c r="J209" s="36" t="str">
        <x:v>Published historical baseline</x:v>
      </x:c>
      <x:c r="K209" s="36" t="str">
        <x:v>SUPPORTING</x:v>
      </x:c>
      <x:c r="L209" s="36" t="str">
        <x:v>qa, sprint, test, validation</x:v>
      </x:c>
      <x:c r="M209" s="36" t="str">
        <x:v>Retain read-only; current authority remains 00–34.</x:v>
      </x:c>
      <x:c r="N209" s="36" t="str">
        <x:v>33 risk/continuity context</x:v>
      </x:c>
      <x:c r="O209" s="36" t="str">
        <x:v>00_Official_Baseline/v0.5/06_Development_Records/Sprints/Sprint_03/QA/S3.2_Validation_Checklist.md</x:v>
      </x:c>
    </x:row>
    <x:row r="210">
      <x:c r="A210" s="27" t="str">
        <x:v>HIST-0206</x:v>
      </x:c>
      <x:c r="B210" s="27" t="str">
        <x:v>00_Official_Baseline</x:v>
      </x:c>
      <x:c r="C210" s="27" t="str">
        <x:v>v0.5</x:v>
      </x:c>
      <x:c r="D210" s="27" t="str">
        <x:v>Sprint 03</x:v>
      </x:c>
      <x:c r="E210" s="36" t="str">
        <x:v>S3.3_Validation_Checklist.md</x:v>
      </x:c>
      <x:c r="F210" s="36" t="str">
        <x:v>MD</x:v>
      </x:c>
      <x:c r="G210" s="54" t="n">
        <x:v>848</x:v>
      </x:c>
      <x:c r="H210" s="36" t="str">
        <x:v>9ba60442d1b478ccf14f8185361528a5bedb267e7102ea8a963696dc6eee0123</x:v>
      </x:c>
      <x:c r="I210" s="36" t="n">
        <x:v>2</x:v>
      </x:c>
      <x:c r="J210" s="36" t="str">
        <x:v>Published historical baseline</x:v>
      </x:c>
      <x:c r="K210" s="36" t="str">
        <x:v>SUPPORTING</x:v>
      </x:c>
      <x:c r="L210" s="36" t="str">
        <x:v>qa, sprint, test, validation</x:v>
      </x:c>
      <x:c r="M210" s="36" t="str">
        <x:v>Retain read-only; current authority remains 00–34.</x:v>
      </x:c>
      <x:c r="N210" s="36" t="str">
        <x:v>33 risk/continuity context</x:v>
      </x:c>
      <x:c r="O210" s="36" t="str">
        <x:v>00_Official_Baseline/v0.5/06_Development_Records/Sprints/Sprint_03/QA/S3.3_Validation_Checklist.md</x:v>
      </x:c>
    </x:row>
    <x:row r="211">
      <x:c r="A211" s="27" t="str">
        <x:v>HIST-0207</x:v>
      </x:c>
      <x:c r="B211" s="27" t="str">
        <x:v>00_Official_Baseline</x:v>
      </x:c>
      <x:c r="C211" s="27" t="str">
        <x:v>v0.5</x:v>
      </x:c>
      <x:c r="D211" s="27" t="str">
        <x:v>Sprint 03</x:v>
      </x:c>
      <x:c r="E211" s="36" t="str">
        <x:v>S3.4_Build_Execution_Record.md</x:v>
      </x:c>
      <x:c r="F211" s="36" t="str">
        <x:v>MD</x:v>
      </x:c>
      <x:c r="G211" s="54" t="n">
        <x:v>1303</x:v>
      </x:c>
      <x:c r="H211" s="36" t="str">
        <x:v>bdbcbe899c627a7abf1f302f7db42ce29de1f0809c8373a454e3bc070984ab7d</x:v>
      </x:c>
      <x:c r="I211" s="36" t="n">
        <x:v>2</x:v>
      </x:c>
      <x:c r="J211" s="36" t="str">
        <x:v>Published historical baseline</x:v>
      </x:c>
      <x:c r="K211" s="36" t="str">
        <x:v>DIRECT</x:v>
      </x:c>
      <x:c r="L211" s="36" t="str">
        <x:v>build, checksum, qa, sprint, test</x:v>
      </x:c>
      <x:c r="M211" s="36" t="str">
        <x:v>Retain read-only; current authority remains 00–34.</x:v>
      </x:c>
      <x:c r="N211" s="36" t="str">
        <x:v>33 risk/continuity context</x:v>
      </x:c>
      <x:c r="O211" s="36" t="str">
        <x:v>00_Official_Baseline/v0.5/06_Development_Records/Sprints/Sprint_03/QA/S3.4_Build_Execution_Record.md</x:v>
      </x:c>
    </x:row>
    <x:row r="212">
      <x:c r="A212" s="27" t="str">
        <x:v>HIST-0208</x:v>
      </x:c>
      <x:c r="B212" s="27" t="str">
        <x:v>00_Official_Baseline</x:v>
      </x:c>
      <x:c r="C212" s="27" t="str">
        <x:v>v0.5</x:v>
      </x:c>
      <x:c r="D212" s="27" t="str">
        <x:v>Sprint 03</x:v>
      </x:c>
      <x:c r="E212" s="36" t="str">
        <x:v>S3.4_Validation_Checklist.md</x:v>
      </x:c>
      <x:c r="F212" s="36" t="str">
        <x:v>MD</x:v>
      </x:c>
      <x:c r="G212" s="54" t="n">
        <x:v>1892</x:v>
      </x:c>
      <x:c r="H212" s="36" t="str">
        <x:v>52fce0bcde72678d3b864e12c3ab0a0a39eef2f3d1c321d94d7c55c21ab65027</x:v>
      </x:c>
      <x:c r="I212" s="36" t="n">
        <x:v>2</x:v>
      </x:c>
      <x:c r="J212" s="36" t="str">
        <x:v>Published historical baseline</x:v>
      </x:c>
      <x:c r="K212" s="36" t="str">
        <x:v>DIRECT</x:v>
      </x:c>
      <x:c r="L212" s="36" t="str">
        <x:v>build, closure, qa, sprint, test, validation</x:v>
      </x:c>
      <x:c r="M212" s="36" t="str">
        <x:v>Retain read-only; current authority remains 00–34.</x:v>
      </x:c>
      <x:c r="N212" s="36" t="str">
        <x:v>33 risk/continuity context</x:v>
      </x:c>
      <x:c r="O212" s="36" t="str">
        <x:v>00_Official_Baseline/v0.5/06_Development_Records/Sprints/Sprint_03/QA/S3.4_Validation_Checklist.md</x:v>
      </x:c>
    </x:row>
    <x:row r="213">
      <x:c r="A213" s="27" t="str">
        <x:v>HIST-0209</x:v>
      </x:c>
      <x:c r="B213" s="27" t="str">
        <x:v>00_Official_Baseline</x:v>
      </x:c>
      <x:c r="C213" s="27" t="str">
        <x:v>v0.5</x:v>
      </x:c>
      <x:c r="D213" s="27" t="str">
        <x:v>Sprint 03</x:v>
      </x:c>
      <x:c r="E213" s="36" t="str">
        <x:v>S3_Acceptance_Matrix.md</x:v>
      </x:c>
      <x:c r="F213" s="36" t="str">
        <x:v>MD</x:v>
      </x:c>
      <x:c r="G213" s="54" t="n">
        <x:v>1643</x:v>
      </x:c>
      <x:c r="H213" s="36" t="str">
        <x:v>dcd3a753ec03bf462ed61fee96f551716970f05a54702fcec5ebdc271bda15b7</x:v>
      </x:c>
      <x:c r="I213" s="36" t="n">
        <x:v>2</x:v>
      </x:c>
      <x:c r="J213" s="36" t="str">
        <x:v>Published historical baseline</x:v>
      </x:c>
      <x:c r="K213" s="36" t="str">
        <x:v>SUPPORTING</x:v>
      </x:c>
      <x:c r="L213" s="36" t="str">
        <x:v>acceptance, build, qa, sprint</x:v>
      </x:c>
      <x:c r="M213" s="36" t="str">
        <x:v>Retain read-only; current authority remains 00–34.</x:v>
      </x:c>
      <x:c r="N213" s="36" t="str">
        <x:v>33 risk/continuity context</x:v>
      </x:c>
      <x:c r="O213" s="36" t="str">
        <x:v>00_Official_Baseline/v0.5/06_Development_Records/Sprints/Sprint_03/QA/S3_Acceptance_Matrix.md</x:v>
      </x:c>
    </x:row>
    <x:row r="214">
      <x:c r="A214" s="27" t="str">
        <x:v>HIST-0210</x:v>
      </x:c>
      <x:c r="B214" s="27" t="str">
        <x:v>00_Official_Baseline</x:v>
      </x:c>
      <x:c r="C214" s="27" t="str">
        <x:v>v0.5</x:v>
      </x:c>
      <x:c r="D214" s="27" t="str">
        <x:v>Sprint 03</x:v>
      </x:c>
      <x:c r="E214" s="36" t="str">
        <x:v>S3_QA_Execution_Record.md</x:v>
      </x:c>
      <x:c r="F214" s="36" t="str">
        <x:v>MD</x:v>
      </x:c>
      <x:c r="G214" s="54" t="n">
        <x:v>2573</x:v>
      </x:c>
      <x:c r="H214" s="36" t="str">
        <x:v>c36caf9cccc1d762ab9f201d7eaedf2e07ae88f1787d7ed0df6bf13305850116</x:v>
      </x:c>
      <x:c r="I214" s="36" t="n">
        <x:v>2</x:v>
      </x:c>
      <x:c r="J214" s="36" t="str">
        <x:v>Published historical baseline</x:v>
      </x:c>
      <x:c r="K214" s="36" t="str">
        <x:v>DIRECT</x:v>
      </x:c>
      <x:c r="L214" s="36" t="str">
        <x:v>build, incident, qa, sprint, test, validation</x:v>
      </x:c>
      <x:c r="M214" s="36" t="str">
        <x:v>Retain read-only; current authority remains 00–34.</x:v>
      </x:c>
      <x:c r="N214" s="36" t="str">
        <x:v>33 risk/continuity context</x:v>
      </x:c>
      <x:c r="O214" s="36" t="str">
        <x:v>00_Official_Baseline/v0.5/06_Development_Records/Sprints/Sprint_03/QA/S3_QA_Execution_Record.md</x:v>
      </x:c>
    </x:row>
    <x:row r="215">
      <x:c r="A215" s="27" t="str">
        <x:v>HIST-0211</x:v>
      </x:c>
      <x:c r="B215" s="27" t="str">
        <x:v>00_Official_Baseline</x:v>
      </x:c>
      <x:c r="C215" s="27" t="str">
        <x:v>v0.5</x:v>
      </x:c>
      <x:c r="D215" s="27" t="str">
        <x:v>Sprint 03</x:v>
      </x:c>
      <x:c r="E215" s="36" t="str">
        <x:v>S3_Applied_Changes_Report.md</x:v>
      </x:c>
      <x:c r="F215" s="36" t="str">
        <x:v>MD</x:v>
      </x:c>
      <x:c r="G215" s="54" t="n">
        <x:v>2337</x:v>
      </x:c>
      <x:c r="H215" s="36" t="str">
        <x:v>4c3a236418697f0ad9746eb7042a6beca9a5df75d617a6f814f2c042b1f38a44</x:v>
      </x:c>
      <x:c r="I215" s="36" t="n">
        <x:v>2</x:v>
      </x:c>
      <x:c r="J215" s="36" t="str">
        <x:v>Published historical baseline</x:v>
      </x:c>
      <x:c r="K215" s="36" t="str">
        <x:v>DIRECT</x:v>
      </x:c>
      <x:c r="L215" s="36" t="str">
        <x:v>build, closure, incident, sprint, test, validation</x:v>
      </x:c>
      <x:c r="M215" s="36" t="str">
        <x:v>Retain read-only; current authority remains 00–34.</x:v>
      </x:c>
      <x:c r="N215" s="36" t="str">
        <x:v>33 risk/continuity context</x:v>
      </x:c>
      <x:c r="O215" s="36" t="str">
        <x:v>00_Official_Baseline/v0.5/06_Development_Records/Sprints/Sprint_03/S3_Applied_Changes_Report.md</x:v>
      </x:c>
    </x:row>
    <x:row r="216">
      <x:c r="A216" s="27" t="str">
        <x:v>HIST-0212</x:v>
      </x:c>
      <x:c r="B216" s="27" t="str">
        <x:v>00_Official_Baseline</x:v>
      </x:c>
      <x:c r="C216" s="27" t="str">
        <x:v>v0.5</x:v>
      </x:c>
      <x:c r="D216" s="27" t="str">
        <x:v>Sprint 03</x:v>
      </x:c>
      <x:c r="E216" s="36" t="str">
        <x:v>Sprint_03_Closure_Report.md</x:v>
      </x:c>
      <x:c r="F216" s="36" t="str">
        <x:v>MD</x:v>
      </x:c>
      <x:c r="G216" s="54" t="n">
        <x:v>2034</x:v>
      </x:c>
      <x:c r="H216" s="36" t="str">
        <x:v>48d29b9fe0b1c87abd372919283cf390565a14d55092d5793e178cf431b1795a</x:v>
      </x:c>
      <x:c r="I216" s="36" t="n">
        <x:v>2</x:v>
      </x:c>
      <x:c r="J216" s="36" t="str">
        <x:v>Published historical baseline</x:v>
      </x:c>
      <x:c r="K216" s="36" t="str">
        <x:v>DIRECT</x:v>
      </x:c>
      <x:c r="L216" s="36" t="str">
        <x:v>build, closure, dependency, incident, qa, release, roadmap, sprint, test, validation</x:v>
      </x:c>
      <x:c r="M216" s="36" t="str">
        <x:v>Retain read-only; current authority remains 00–34.</x:v>
      </x:c>
      <x:c r="N216" s="36" t="str">
        <x:v>33 risk/continuity context</x:v>
      </x:c>
      <x:c r="O216" s="36" t="str">
        <x:v>00_Official_Baseline/v0.5/06_Development_Records/Sprints/Sprint_03/Sprint_03_Closure_Report.md</x:v>
      </x:c>
    </x:row>
    <x:row r="217">
      <x:c r="A217" s="27" t="str">
        <x:v>HIST-0213</x:v>
      </x:c>
      <x:c r="B217" s="27" t="str">
        <x:v>00_Official_Baseline</x:v>
      </x:c>
      <x:c r="C217" s="27" t="str">
        <x:v>v0.5</x:v>
      </x:c>
      <x:c r="D217" s="27" t="str">
        <x:v>Sprint 03</x:v>
      </x:c>
      <x:c r="E217" s="36" t="str">
        <x:v>S3_Document_Impact_Working_Matrix.md</x:v>
      </x:c>
      <x:c r="F217" s="36" t="str">
        <x:v>MD</x:v>
      </x:c>
      <x:c r="G217" s="54" t="n">
        <x:v>1866</x:v>
      </x:c>
      <x:c r="H217" s="36" t="str">
        <x:v>fe4330b2e7baf6e2285595b8373e6859890c24fd5cc358c71752bb41ba471ecf</x:v>
      </x:c>
      <x:c r="I217" s="36" t="n">
        <x:v>2</x:v>
      </x:c>
      <x:c r="J217" s="36" t="str">
        <x:v>Published historical baseline</x:v>
      </x:c>
      <x:c r="K217" s="36" t="str">
        <x:v>DIRECT</x:v>
      </x:c>
      <x:c r="L217" s="36" t="str">
        <x:v>adr, build, closure, incident, qa, roadmap, sprint, test, validation</x:v>
      </x:c>
      <x:c r="M217" s="36" t="str">
        <x:v>Retain read-only; current authority remains 00–34.</x:v>
      </x:c>
      <x:c r="N217" s="36" t="str">
        <x:v>33 risk/continuity context</x:v>
      </x:c>
      <x:c r="O217" s="36" t="str">
        <x:v>00_Official_Baseline/v0.5/06_Development_Records/Sprints/Sprint_03/Traceability/S3_Document_Impact_Working_Matrix.md</x:v>
      </x:c>
    </x:row>
    <x:row r="218">
      <x:c r="A218" s="27" t="str">
        <x:v>HIST-0214</x:v>
      </x:c>
      <x:c r="B218" s="27" t="str">
        <x:v>00_Official_Baseline</x:v>
      </x:c>
      <x:c r="C218" s="27" t="str">
        <x:v>v0.5</x:v>
      </x:c>
      <x:c r="D218" s="27" t="str">
        <x:v>Sprint 03</x:v>
      </x:c>
      <x:c r="E218" s="36" t="str">
        <x:v>S3_Traceability_Entries.csv</x:v>
      </x:c>
      <x:c r="F218" s="36" t="str">
        <x:v>CSV</x:v>
      </x:c>
      <x:c r="G218" s="54" t="n">
        <x:v>2919</x:v>
      </x:c>
      <x:c r="H218" s="36" t="str">
        <x:v>1291d4483711d8633014f762760dfa4fb29be3ff6a0888daa49f304618a29e9e</x:v>
      </x:c>
      <x:c r="I218" s="36" t="n">
        <x:v>2</x:v>
      </x:c>
      <x:c r="J218" s="36" t="str">
        <x:v>Published historical baseline</x:v>
      </x:c>
      <x:c r="K218" s="36" t="str">
        <x:v>DIRECT</x:v>
      </x:c>
      <x:c r="L218" s="36" t="str">
        <x:v>adr, build, closure, incident, qa, sprint, test</x:v>
      </x:c>
      <x:c r="M218" s="36" t="str">
        <x:v>Retain read-only; current authority remains 00–34.</x:v>
      </x:c>
      <x:c r="N218" s="36" t="str">
        <x:v>33 risk/continuity context</x:v>
      </x:c>
      <x:c r="O218" s="36" t="str">
        <x:v>00_Official_Baseline/v0.5/06_Development_Records/Sprints/Sprint_03/Traceability/S3_Traceability_Entries.csv</x:v>
      </x:c>
    </x:row>
    <x:row r="219">
      <x:c r="A219" s="27" t="str">
        <x:v>HIST-0215</x:v>
      </x:c>
      <x:c r="B219" s="27" t="str">
        <x:v>00_Official_Baseline</x:v>
      </x:c>
      <x:c r="C219" s="27" t="str">
        <x:v>v0.5</x:v>
      </x:c>
      <x:c r="D219" s="27" t="str">
        <x:v>Sprint 04</x:v>
      </x:c>
      <x:c r="E219" s="36" t="str">
        <x:v>S4_4.4_PostImplementation_Record.md</x:v>
      </x:c>
      <x:c r="F219" s="36" t="str">
        <x:v>MD</x:v>
      </x:c>
      <x:c r="G219" s="54" t="n">
        <x:v>1186</x:v>
      </x:c>
      <x:c r="H219" s="36" t="str">
        <x:v>561dc5549c7c89740905004bd43c03d73737f0c5b8c63843784712cebcf07828</x:v>
      </x:c>
      <x:c r="I219" s="36" t="n">
        <x:v>2</x:v>
      </x:c>
      <x:c r="J219" s="36" t="str">
        <x:v>Published historical baseline</x:v>
      </x:c>
      <x:c r="K219" s="36" t="str">
        <x:v>DIRECT</x:v>
      </x:c>
      <x:c r="L219" s="36" t="str">
        <x:v>acceptance, build, closure, qa, sprint, test, validation</x:v>
      </x:c>
      <x:c r="M219" s="36" t="str">
        <x:v>Retain read-only; current authority remains 00–34.</x:v>
      </x:c>
      <x:c r="N219" s="36" t="str">
        <x:v>33 risk/continuity context</x:v>
      </x:c>
      <x:c r="O219" s="36" t="str">
        <x:v>00_Official_Baseline/v0.5/06_Development_Records/Sprints/Sprint_04/Documentation/S4_4.4_PostImplementation_Record.md</x:v>
      </x:c>
    </x:row>
    <x:row r="220">
      <x:c r="A220" s="27" t="str">
        <x:v>HIST-0216</x:v>
      </x:c>
      <x:c r="B220" s="27" t="str">
        <x:v>00_Official_Baseline</x:v>
      </x:c>
      <x:c r="C220" s="27" t="str">
        <x:v>v0.5</x:v>
      </x:c>
      <x:c r="D220" s="27" t="str">
        <x:v>Sprint 04</x:v>
      </x:c>
      <x:c r="E220" s="36" t="str">
        <x:v>S4_Living_Documentation_Update.md</x:v>
      </x:c>
      <x:c r="F220" s="36" t="str">
        <x:v>MD</x:v>
      </x:c>
      <x:c r="G220" s="54" t="n">
        <x:v>1127</x:v>
      </x:c>
      <x:c r="H220" s="36" t="str">
        <x:v>8a1bf9903a94e17fe199a67468adf1c986bc2e7a5593413d737e8eefdbb4ab84</x:v>
      </x:c>
      <x:c r="I220" s="36" t="n">
        <x:v>2</x:v>
      </x:c>
      <x:c r="J220" s="36" t="str">
        <x:v>Published historical baseline</x:v>
      </x:c>
      <x:c r="K220" s="36" t="str">
        <x:v>SUPPORTING</x:v>
      </x:c>
      <x:c r="L220" s="36" t="str">
        <x:v>roadmap, sprint, test, validation</x:v>
      </x:c>
      <x:c r="M220" s="36" t="str">
        <x:v>Retain read-only; current authority remains 00–34.</x:v>
      </x:c>
      <x:c r="N220" s="36" t="str">
        <x:v>33 risk/continuity context</x:v>
      </x:c>
      <x:c r="O220" s="36" t="str">
        <x:v>00_Official_Baseline/v0.5/06_Development_Records/Sprints/Sprint_04/Documentation/S4_Living_Documentation_Update.md</x:v>
      </x:c>
    </x:row>
    <x:row r="221">
      <x:c r="A221" s="27" t="str">
        <x:v>HIST-0217</x:v>
      </x:c>
      <x:c r="B221" s="27" t="str">
        <x:v>00_Official_Baseline</x:v>
      </x:c>
      <x:c r="C221" s="27" t="str">
        <x:v>v0.5</x:v>
      </x:c>
      <x:c r="D221" s="27" t="str">
        <x:v>Sprint 04</x:v>
      </x:c>
      <x:c r="E221" s="36" t="str">
        <x:v>ADR-0016_Grid_Coordinate_And_Footprint_Foundation.md</x:v>
      </x:c>
      <x:c r="F221" s="36" t="str">
        <x:v>MD</x:v>
      </x:c>
      <x:c r="G221" s="54" t="n">
        <x:v>1157</x:v>
      </x:c>
      <x:c r="H221" s="36" t="str">
        <x:v>84ffb0f806ec18937785dc30f5410a0be471ea75deeeb3d23021657ff513d622</x:v>
      </x:c>
      <x:c r="I221" s="36" t="n">
        <x:v>2</x:v>
      </x:c>
      <x:c r="J221" s="36" t="str">
        <x:v>Published historical baseline</x:v>
      </x:c>
      <x:c r="K221" s="36" t="str">
        <x:v>SUPPORTING</x:v>
      </x:c>
      <x:c r="L221" s="36" t="str">
        <x:v>adr, sprint, validation</x:v>
      </x:c>
      <x:c r="M221" s="36" t="str">
        <x:v>Retain read-only; current authority remains 00–34.</x:v>
      </x:c>
      <x:c r="N221" s="36" t="str">
        <x:v>33 risk/continuity context</x:v>
      </x:c>
      <x:c r="O221" s="36" t="str">
        <x:v>00_Official_Baseline/v0.5/06_Development_Records/Sprints/Sprint_04/Governance/ADR-0016_Grid_Coordinate_And_Footprint_Foundation.md</x:v>
      </x:c>
    </x:row>
    <x:row r="222">
      <x:c r="A222" s="27" t="str">
        <x:v>HIST-0218</x:v>
      </x:c>
      <x:c r="B222" s="27" t="str">
        <x:v>00_Official_Baseline</x:v>
      </x:c>
      <x:c r="C222" s="27" t="str">
        <x:v>v0.5</x:v>
      </x:c>
      <x:c r="D222" s="27" t="str">
        <x:v>Sprint 04</x:v>
      </x:c>
      <x:c r="E222" s="36" t="str">
        <x:v>ADR-0017_Placement_Preview_And_Rotation.md</x:v>
      </x:c>
      <x:c r="F222" s="36" t="str">
        <x:v>MD</x:v>
      </x:c>
      <x:c r="G222" s="54" t="n">
        <x:v>1125</x:v>
      </x:c>
      <x:c r="H222" s="36" t="str">
        <x:v>996ccbe4400bc1971fea44b1d1e89b7a0cbe30437fa660283af16e79b8f18965</x:v>
      </x:c>
      <x:c r="I222" s="36" t="n">
        <x:v>2</x:v>
      </x:c>
      <x:c r="J222" s="36" t="str">
        <x:v>Published historical baseline</x:v>
      </x:c>
      <x:c r="K222" s="36" t="str">
        <x:v>SUPPORTING</x:v>
      </x:c>
      <x:c r="L222" s="36" t="str">
        <x:v>adr, sprint, test, validation</x:v>
      </x:c>
      <x:c r="M222" s="36" t="str">
        <x:v>Retain read-only; current authority remains 00–34.</x:v>
      </x:c>
      <x:c r="N222" s="36" t="str">
        <x:v>33 risk/continuity context</x:v>
      </x:c>
      <x:c r="O222" s="36" t="str">
        <x:v>00_Official_Baseline/v0.5/06_Development_Records/Sprints/Sprint_04/Governance/ADR-0017_Placement_Preview_And_Rotation.md</x:v>
      </x:c>
    </x:row>
    <x:row r="223">
      <x:c r="A223" s="27" t="str">
        <x:v>HIST-0219</x:v>
      </x:c>
      <x:c r="B223" s="27" t="str">
        <x:v>00_Official_Baseline</x:v>
      </x:c>
      <x:c r="C223" s="27" t="str">
        <x:v>v0.5</x:v>
      </x:c>
      <x:c r="D223" s="27" t="str">
        <x:v>Sprint 04</x:v>
      </x:c>
      <x:c r="E223" s="36" t="str">
        <x:v>ADR-0018_Atomic_Occupancy_And_Placement_Mode.md</x:v>
      </x:c>
      <x:c r="F223" s="36" t="str">
        <x:v>MD</x:v>
      </x:c>
      <x:c r="G223" s="54" t="n">
        <x:v>1439</x:v>
      </x:c>
      <x:c r="H223" s="36" t="str">
        <x:v>3cdafe143aedd7a015756ec256b6c92be2aaaa918c33499421589d3fb51177e1</x:v>
      </x:c>
      <x:c r="I223" s="36" t="n">
        <x:v>2</x:v>
      </x:c>
      <x:c r="J223" s="36" t="str">
        <x:v>Published historical baseline</x:v>
      </x:c>
      <x:c r="K223" s="36" t="str">
        <x:v>DIRECT</x:v>
      </x:c>
      <x:c r="L223" s="36" t="str">
        <x:v>adr, release, sprint, test, validation</x:v>
      </x:c>
      <x:c r="M223" s="36" t="str">
        <x:v>Retain read-only; current authority remains 00–34.</x:v>
      </x:c>
      <x:c r="N223" s="36" t="str">
        <x:v>33 risk/continuity context</x:v>
      </x:c>
      <x:c r="O223" s="36" t="str">
        <x:v>00_Official_Baseline/v0.5/06_Development_Records/Sprints/Sprint_04/Governance/ADR-0018_Atomic_Occupancy_And_Placement_Mode.md</x:v>
      </x:c>
    </x:row>
    <x:row r="224">
      <x:c r="A224" s="27" t="str">
        <x:v>HIST-0220</x:v>
      </x:c>
      <x:c r="B224" s="27" t="str">
        <x:v>00_Official_Baseline</x:v>
      </x:c>
      <x:c r="C224" s="27" t="str">
        <x:v>v0.5</x:v>
      </x:c>
      <x:c r="D224" s="27" t="str">
        <x:v>Sprint 04</x:v>
      </x:c>
      <x:c r="E224" s="36" t="str">
        <x:v>ADR-0019_Sprint_04_Final_Integration_And_Build_Gate.md</x:v>
      </x:c>
      <x:c r="F224" s="36" t="str">
        <x:v>MD</x:v>
      </x:c>
      <x:c r="G224" s="54" t="n">
        <x:v>1324</x:v>
      </x:c>
      <x:c r="H224" s="36" t="str">
        <x:v>f78c4971ab6969d8d3f302b93ceb5dbf30f2d553f433122bd8d24eb12fa7dff3</x:v>
      </x:c>
      <x:c r="I224" s="36" t="n">
        <x:v>2</x:v>
      </x:c>
      <x:c r="J224" s="36" t="str">
        <x:v>Published historical baseline</x:v>
      </x:c>
      <x:c r="K224" s="36" t="str">
        <x:v>DIRECT</x:v>
      </x:c>
      <x:c r="L224" s="36" t="str">
        <x:v>adr, build, risk, sprint, test, validation</x:v>
      </x:c>
      <x:c r="M224" s="36" t="str">
        <x:v>Retain read-only; current authority remains 00–34.</x:v>
      </x:c>
      <x:c r="N224" s="36" t="str">
        <x:v>33 risk/continuity context</x:v>
      </x:c>
      <x:c r="O224" s="36" t="str">
        <x:v>00_Official_Baseline/v0.5/06_Development_Records/Sprints/Sprint_04/Governance/ADR-0019_Sprint_04_Final_Integration_And_Build_Gate.md</x:v>
      </x:c>
    </x:row>
    <x:row r="225">
      <x:c r="A225" s="27" t="str">
        <x:v>HIST-0221</x:v>
      </x:c>
      <x:c r="B225" s="27" t="str">
        <x:v>00_Official_Baseline</x:v>
      </x:c>
      <x:c r="C225" s="27" t="str">
        <x:v>v0.5</x:v>
      </x:c>
      <x:c r="D225" s="27" t="str">
        <x:v>Sprint 04</x:v>
      </x:c>
      <x:c r="E225" s="36" t="str">
        <x:v>Sprint_04_Charter.md</x:v>
      </x:c>
      <x:c r="F225" s="36" t="str">
        <x:v>MD</x:v>
      </x:c>
      <x:c r="G225" s="54" t="n">
        <x:v>2582</x:v>
      </x:c>
      <x:c r="H225" s="36" t="str">
        <x:v>637c1436311f22acccbe165c186729d1f652a84a9c913eda06e0b4124ce90aa7</x:v>
      </x:c>
      <x:c r="I225" s="36" t="n">
        <x:v>2</x:v>
      </x:c>
      <x:c r="J225" s="36" t="str">
        <x:v>Published historical baseline</x:v>
      </x:c>
      <x:c r="K225" s="36" t="str">
        <x:v>DIRECT</x:v>
      </x:c>
      <x:c r="L225" s="36" t="str">
        <x:v>build, closure, dependency, qa, save, sprint, test, validation</x:v>
      </x:c>
      <x:c r="M225" s="36" t="str">
        <x:v>Retain read-only; current authority remains 00–34.</x:v>
      </x:c>
      <x:c r="N225" s="36" t="str">
        <x:v>33 risk/continuity context</x:v>
      </x:c>
      <x:c r="O225" s="36" t="str">
        <x:v>00_Official_Baseline/v0.5/06_Development_Records/Sprints/Sprint_04/Governance/Sprint_04_Charter.md</x:v>
      </x:c>
    </x:row>
    <x:row r="226">
      <x:c r="A226" s="27" t="str">
        <x:v>HIST-0222</x:v>
      </x:c>
      <x:c r="B226" s="27" t="str">
        <x:v>00_Official_Baseline</x:v>
      </x:c>
      <x:c r="C226" s="27" t="str">
        <x:v>v0.5</x:v>
      </x:c>
      <x:c r="D226" s="27" t="str">
        <x:v>Sprint 04</x:v>
      </x:c>
      <x:c r="E226" s="36" t="str">
        <x:v>Sprint_04_Current_Status.md</x:v>
      </x:c>
      <x:c r="F226" s="36" t="str">
        <x:v>MD</x:v>
      </x:c>
      <x:c r="G226" s="54" t="n">
        <x:v>2339</x:v>
      </x:c>
      <x:c r="H226" s="36" t="str">
        <x:v>aa5c70956ee39b9b3d3ac6bfa075cc267f0544f776de636fb49e5abe03d8998d</x:v>
      </x:c>
      <x:c r="I226" s="36" t="n">
        <x:v>2</x:v>
      </x:c>
      <x:c r="J226" s="36" t="str">
        <x:v>Published historical baseline</x:v>
      </x:c>
      <x:c r="K226" s="36" t="str">
        <x:v>DIRECT</x:v>
      </x:c>
      <x:c r="L226" s="36" t="str">
        <x:v>build, checksum, closure, current_status, release, sprint, test, validation</x:v>
      </x:c>
      <x:c r="M226" s="36" t="str">
        <x:v>Retain read-only; current authority remains 00–34.</x:v>
      </x:c>
      <x:c r="N226" s="36" t="str">
        <x:v>33 risk/continuity context</x:v>
      </x:c>
      <x:c r="O226" s="36" t="str">
        <x:v>00_Official_Baseline/v0.5/06_Development_Records/Sprints/Sprint_04/Governance/Sprint_04_Current_Status.md</x:v>
      </x:c>
    </x:row>
    <x:row r="227">
      <x:c r="A227" s="27" t="str">
        <x:v>HIST-0223</x:v>
      </x:c>
      <x:c r="B227" s="27" t="str">
        <x:v>00_Official_Baseline</x:v>
      </x:c>
      <x:c r="C227" s="27" t="str">
        <x:v>v0.5</x:v>
      </x:c>
      <x:c r="D227" s="27" t="str">
        <x:v>Sprint 04</x:v>
      </x:c>
      <x:c r="E227" s="36" t="str">
        <x:v>S4.1_Validation_Checklist.md</x:v>
      </x:c>
      <x:c r="F227" s="36" t="str">
        <x:v>MD</x:v>
      </x:c>
      <x:c r="G227" s="54" t="n">
        <x:v>594</x:v>
      </x:c>
      <x:c r="H227" s="36" t="str">
        <x:v>4daee65527260559801d1bcb435232c0c1f15966f4f45bde43628a95c577dbe8</x:v>
      </x:c>
      <x:c r="I227" s="36" t="n">
        <x:v>2</x:v>
      </x:c>
      <x:c r="J227" s="36" t="str">
        <x:v>Published historical baseline</x:v>
      </x:c>
      <x:c r="K227" s="36" t="str">
        <x:v>DIRECT</x:v>
      </x:c>
      <x:c r="L227" s="36" t="str">
        <x:v>build, qa, sprint, test, validation</x:v>
      </x:c>
      <x:c r="M227" s="36" t="str">
        <x:v>Retain read-only; current authority remains 00–34.</x:v>
      </x:c>
      <x:c r="N227" s="36" t="str">
        <x:v>33 risk/continuity context</x:v>
      </x:c>
      <x:c r="O227" s="36" t="str">
        <x:v>00_Official_Baseline/v0.5/06_Development_Records/Sprints/Sprint_04/QA/S4.1_Validation_Checklist.md</x:v>
      </x:c>
    </x:row>
    <x:row r="228">
      <x:c r="A228" s="27" t="str">
        <x:v>HIST-0224</x:v>
      </x:c>
      <x:c r="B228" s="27" t="str">
        <x:v>00_Official_Baseline</x:v>
      </x:c>
      <x:c r="C228" s="27" t="str">
        <x:v>v0.5</x:v>
      </x:c>
      <x:c r="D228" s="27" t="str">
        <x:v>Sprint 04</x:v>
      </x:c>
      <x:c r="E228" s="36" t="str">
        <x:v>S4.2_Validation_Checklist.md</x:v>
      </x:c>
      <x:c r="F228" s="36" t="str">
        <x:v>MD</x:v>
      </x:c>
      <x:c r="G228" s="54" t="n">
        <x:v>672</x:v>
      </x:c>
      <x:c r="H228" s="36" t="str">
        <x:v>7947d8708859cc6b5175331acf6e36cf44438788f243c179b53e6818cdb7f466</x:v>
      </x:c>
      <x:c r="I228" s="36" t="n">
        <x:v>2</x:v>
      </x:c>
      <x:c r="J228" s="36" t="str">
        <x:v>Published historical baseline</x:v>
      </x:c>
      <x:c r="K228" s="36" t="str">
        <x:v>SUPPORTING</x:v>
      </x:c>
      <x:c r="L228" s="36" t="str">
        <x:v>qa, sprint, test, validation</x:v>
      </x:c>
      <x:c r="M228" s="36" t="str">
        <x:v>Retain read-only; current authority remains 00–34.</x:v>
      </x:c>
      <x:c r="N228" s="36" t="str">
        <x:v>33 risk/continuity context</x:v>
      </x:c>
      <x:c r="O228" s="36" t="str">
        <x:v>00_Official_Baseline/v0.5/06_Development_Records/Sprints/Sprint_04/QA/S4.2_Validation_Checklist.md</x:v>
      </x:c>
    </x:row>
    <x:row r="229">
      <x:c r="A229" s="27" t="str">
        <x:v>HIST-0225</x:v>
      </x:c>
      <x:c r="B229" s="27" t="str">
        <x:v>00_Official_Baseline</x:v>
      </x:c>
      <x:c r="C229" s="27" t="str">
        <x:v>v0.5</x:v>
      </x:c>
      <x:c r="D229" s="27" t="str">
        <x:v>Sprint 04</x:v>
      </x:c>
      <x:c r="E229" s="36" t="str">
        <x:v>S4.3_Validation_Checklist.md</x:v>
      </x:c>
      <x:c r="F229" s="36" t="str">
        <x:v>MD</x:v>
      </x:c>
      <x:c r="G229" s="54" t="n">
        <x:v>830</x:v>
      </x:c>
      <x:c r="H229" s="36" t="str">
        <x:v>9d54905170c7ae7daffda84bc479882bd5b7a25667e30ce31dd4aadf38a1cdda</x:v>
      </x:c>
      <x:c r="I229" s="36" t="n">
        <x:v>2</x:v>
      </x:c>
      <x:c r="J229" s="36" t="str">
        <x:v>Published historical baseline</x:v>
      </x:c>
      <x:c r="K229" s="36" t="str">
        <x:v>SUPPORTING</x:v>
      </x:c>
      <x:c r="L229" s="36" t="str">
        <x:v>qa, sprint, test, validation</x:v>
      </x:c>
      <x:c r="M229" s="36" t="str">
        <x:v>Retain read-only; current authority remains 00–34.</x:v>
      </x:c>
      <x:c r="N229" s="36" t="str">
        <x:v>33 risk/continuity context</x:v>
      </x:c>
      <x:c r="O229" s="36" t="str">
        <x:v>00_Official_Baseline/v0.5/06_Development_Records/Sprints/Sprint_04/QA/S4.3_Validation_Checklist.md</x:v>
      </x:c>
    </x:row>
    <x:row r="230">
      <x:c r="A230" s="27" t="str">
        <x:v>HIST-0226</x:v>
      </x:c>
      <x:c r="B230" s="27" t="str">
        <x:v>00_Official_Baseline</x:v>
      </x:c>
      <x:c r="C230" s="27" t="str">
        <x:v>v0.5</x:v>
      </x:c>
      <x:c r="D230" s="27" t="str">
        <x:v>Sprint 04</x:v>
      </x:c>
      <x:c r="E230" s="36" t="str">
        <x:v>S4.4_Build_Execution_Record.md</x:v>
      </x:c>
      <x:c r="F230" s="36" t="str">
        <x:v>MD</x:v>
      </x:c>
      <x:c r="G230" s="54" t="n">
        <x:v>1164</x:v>
      </x:c>
      <x:c r="H230" s="36" t="str">
        <x:v>6f662c5fe7ccef7a3080584798ccf51c720d4ade1dc50b1be2f8c4c107da529d</x:v>
      </x:c>
      <x:c r="I230" s="36" t="n">
        <x:v>2</x:v>
      </x:c>
      <x:c r="J230" s="36" t="str">
        <x:v>Published historical baseline</x:v>
      </x:c>
      <x:c r="K230" s="36" t="str">
        <x:v>SUPPORTING</x:v>
      </x:c>
      <x:c r="L230" s="36" t="str">
        <x:v>build, checksum, qa, sprint</x:v>
      </x:c>
      <x:c r="M230" s="36" t="str">
        <x:v>Retain read-only; current authority remains 00–34.</x:v>
      </x:c>
      <x:c r="N230" s="36" t="str">
        <x:v>33 risk/continuity context</x:v>
      </x:c>
      <x:c r="O230" s="36" t="str">
        <x:v>00_Official_Baseline/v0.5/06_Development_Records/Sprints/Sprint_04/QA/S4.4_Build_Execution_Record.md</x:v>
      </x:c>
    </x:row>
    <x:row r="231">
      <x:c r="A231" s="27" t="str">
        <x:v>HIST-0227</x:v>
      </x:c>
      <x:c r="B231" s="27" t="str">
        <x:v>00_Official_Baseline</x:v>
      </x:c>
      <x:c r="C231" s="27" t="str">
        <x:v>v0.5</x:v>
      </x:c>
      <x:c r="D231" s="27" t="str">
        <x:v>Sprint 04</x:v>
      </x:c>
      <x:c r="E231" s="36" t="str">
        <x:v>S4.4_Validation_Checklist.md</x:v>
      </x:c>
      <x:c r="F231" s="36" t="str">
        <x:v>MD</x:v>
      </x:c>
      <x:c r="G231" s="54" t="n">
        <x:v>1638</x:v>
      </x:c>
      <x:c r="H231" s="36" t="str">
        <x:v>b24bd7794a9e1143df30f7930936e6e08dbd8e4a6614384b13e493fbd31972a7</x:v>
      </x:c>
      <x:c r="I231" s="36" t="n">
        <x:v>2</x:v>
      </x:c>
      <x:c r="J231" s="36" t="str">
        <x:v>Published historical baseline</x:v>
      </x:c>
      <x:c r="K231" s="36" t="str">
        <x:v>DIRECT</x:v>
      </x:c>
      <x:c r="L231" s="36" t="str">
        <x:v>build, closure, qa, sprint, test, validation</x:v>
      </x:c>
      <x:c r="M231" s="36" t="str">
        <x:v>Retain read-only; current authority remains 00–34.</x:v>
      </x:c>
      <x:c r="N231" s="36" t="str">
        <x:v>33 risk/continuity context</x:v>
      </x:c>
      <x:c r="O231" s="36" t="str">
        <x:v>00_Official_Baseline/v0.5/06_Development_Records/Sprints/Sprint_04/QA/S4.4_Validation_Checklist.md</x:v>
      </x:c>
    </x:row>
    <x:row r="232">
      <x:c r="A232" s="27" t="str">
        <x:v>HIST-0228</x:v>
      </x:c>
      <x:c r="B232" s="27" t="str">
        <x:v>00_Official_Baseline</x:v>
      </x:c>
      <x:c r="C232" s="27" t="str">
        <x:v>v0.5</x:v>
      </x:c>
      <x:c r="D232" s="27" t="str">
        <x:v>Sprint 04</x:v>
      </x:c>
      <x:c r="E232" s="36" t="str">
        <x:v>S4_Acceptance_Matrix.md</x:v>
      </x:c>
      <x:c r="F232" s="36" t="str">
        <x:v>MD</x:v>
      </x:c>
      <x:c r="G232" s="54" t="n">
        <x:v>2209</x:v>
      </x:c>
      <x:c r="H232" s="36" t="str">
        <x:v>30a86d51980351f806ef30aa6187ce90857bde474c163d47a6a3396b60522f89</x:v>
      </x:c>
      <x:c r="I232" s="36" t="n">
        <x:v>2</x:v>
      </x:c>
      <x:c r="J232" s="36" t="str">
        <x:v>Published historical baseline</x:v>
      </x:c>
      <x:c r="K232" s="36" t="str">
        <x:v>DIRECT</x:v>
      </x:c>
      <x:c r="L232" s="36" t="str">
        <x:v>acceptance, build, qa, sprint, test</x:v>
      </x:c>
      <x:c r="M232" s="36" t="str">
        <x:v>Retain read-only; current authority remains 00–34.</x:v>
      </x:c>
      <x:c r="N232" s="36" t="str">
        <x:v>33 risk/continuity context</x:v>
      </x:c>
      <x:c r="O232" s="36" t="str">
        <x:v>00_Official_Baseline/v0.5/06_Development_Records/Sprints/Sprint_04/QA/S4_Acceptance_Matrix.md</x:v>
      </x:c>
    </x:row>
    <x:row r="233">
      <x:c r="A233" s="27" t="str">
        <x:v>HIST-0229</x:v>
      </x:c>
      <x:c r="B233" s="27" t="str">
        <x:v>00_Official_Baseline</x:v>
      </x:c>
      <x:c r="C233" s="27" t="str">
        <x:v>v0.5</x:v>
      </x:c>
      <x:c r="D233" s="27" t="str">
        <x:v>Sprint 04</x:v>
      </x:c>
      <x:c r="E233" s="36" t="str">
        <x:v>S4_QA_Execution_Record.md</x:v>
      </x:c>
      <x:c r="F233" s="36" t="str">
        <x:v>MD</x:v>
      </x:c>
      <x:c r="G233" s="54" t="n">
        <x:v>2537</x:v>
      </x:c>
      <x:c r="H233" s="36" t="str">
        <x:v>0c5ec51188fd94404436c7093e01ed0a0d0d75fc466da104e777fd7494aa0603</x:v>
      </x:c>
      <x:c r="I233" s="36" t="n">
        <x:v>2</x:v>
      </x:c>
      <x:c r="J233" s="36" t="str">
        <x:v>Published historical baseline</x:v>
      </x:c>
      <x:c r="K233" s="36" t="str">
        <x:v>DIRECT</x:v>
      </x:c>
      <x:c r="L233" s="36" t="str">
        <x:v>acceptance, build, closure, incident, qa, release, sprint, test</x:v>
      </x:c>
      <x:c r="M233" s="36" t="str">
        <x:v>Retain read-only; current authority remains 00–34.</x:v>
      </x:c>
      <x:c r="N233" s="36" t="str">
        <x:v>33 risk/continuity context</x:v>
      </x:c>
      <x:c r="O233" s="36" t="str">
        <x:v>00_Official_Baseline/v0.5/06_Development_Records/Sprints/Sprint_04/QA/S4_QA_Execution_Record.md</x:v>
      </x:c>
    </x:row>
    <x:row r="234">
      <x:c r="A234" s="27" t="str">
        <x:v>HIST-0230</x:v>
      </x:c>
      <x:c r="B234" s="27" t="str">
        <x:v>00_Official_Baseline</x:v>
      </x:c>
      <x:c r="C234" s="27" t="str">
        <x:v>v0.5</x:v>
      </x:c>
      <x:c r="D234" s="27" t="str">
        <x:v>Sprint 04</x:v>
      </x:c>
      <x:c r="E234" s="36" t="str">
        <x:v>S4_Applied_Changes_Report.md</x:v>
      </x:c>
      <x:c r="F234" s="36" t="str">
        <x:v>MD</x:v>
      </x:c>
      <x:c r="G234" s="54" t="n">
        <x:v>2242</x:v>
      </x:c>
      <x:c r="H234" s="36" t="str">
        <x:v>3518ed53406549356ff971505c94317e56a4630dbeb139f2f38ca1992c9aceba</x:v>
      </x:c>
      <x:c r="I234" s="36" t="n">
        <x:v>2</x:v>
      </x:c>
      <x:c r="J234" s="36" t="str">
        <x:v>Published historical baseline</x:v>
      </x:c>
      <x:c r="K234" s="36" t="str">
        <x:v>DIRECT</x:v>
      </x:c>
      <x:c r="L234" s="36" t="str">
        <x:v>build, closure, dependency, sprint, test, validation</x:v>
      </x:c>
      <x:c r="M234" s="36" t="str">
        <x:v>Retain read-only; current authority remains 00–34.</x:v>
      </x:c>
      <x:c r="N234" s="36" t="str">
        <x:v>33 risk/continuity context</x:v>
      </x:c>
      <x:c r="O234" s="36" t="str">
        <x:v>00_Official_Baseline/v0.5/06_Development_Records/Sprints/Sprint_04/S4_Applied_Changes_Report.md</x:v>
      </x:c>
    </x:row>
    <x:row r="235">
      <x:c r="A235" s="27" t="str">
        <x:v>HIST-0231</x:v>
      </x:c>
      <x:c r="B235" s="27" t="str">
        <x:v>00_Official_Baseline</x:v>
      </x:c>
      <x:c r="C235" s="27" t="str">
        <x:v>v0.5</x:v>
      </x:c>
      <x:c r="D235" s="27" t="str">
        <x:v>Sprint 04</x:v>
      </x:c>
      <x:c r="E235" s="36" t="str">
        <x:v>Sprint_04_Closure_Report.md</x:v>
      </x:c>
      <x:c r="F235" s="36" t="str">
        <x:v>MD</x:v>
      </x:c>
      <x:c r="G235" s="54" t="n">
        <x:v>2350</x:v>
      </x:c>
      <x:c r="H235" s="36" t="str">
        <x:v>caa820477ab6fee79beb3b54d913463b98021e84b6e83f8cfe9f63849b577039</x:v>
      </x:c>
      <x:c r="I235" s="36" t="n">
        <x:v>2</x:v>
      </x:c>
      <x:c r="J235" s="36" t="str">
        <x:v>Published historical baseline</x:v>
      </x:c>
      <x:c r="K235" s="36" t="str">
        <x:v>DIRECT</x:v>
      </x:c>
      <x:c r="L235" s="36" t="str">
        <x:v>acceptance, build, closure, incident, qa, release, sprint, test, validation</x:v>
      </x:c>
      <x:c r="M235" s="36" t="str">
        <x:v>Retain read-only; current authority remains 00–34.</x:v>
      </x:c>
      <x:c r="N235" s="36" t="str">
        <x:v>33 risk/continuity context</x:v>
      </x:c>
      <x:c r="O235" s="36" t="str">
        <x:v>00_Official_Baseline/v0.5/06_Development_Records/Sprints/Sprint_04/Sprint_04_Closure_Report.md</x:v>
      </x:c>
    </x:row>
    <x:row r="236">
      <x:c r="A236" s="27" t="str">
        <x:v>HIST-0232</x:v>
      </x:c>
      <x:c r="B236" s="27" t="str">
        <x:v>00_Official_Baseline</x:v>
      </x:c>
      <x:c r="C236" s="27" t="str">
        <x:v>v0.5</x:v>
      </x:c>
      <x:c r="D236" s="27" t="str">
        <x:v>Sprint 04</x:v>
      </x:c>
      <x:c r="E236" s="36" t="str">
        <x:v>S4_Document_Impact_Working_Matrix.md</x:v>
      </x:c>
      <x:c r="F236" s="36" t="str">
        <x:v>MD</x:v>
      </x:c>
      <x:c r="G236" s="54" t="n">
        <x:v>1258</x:v>
      </x:c>
      <x:c r="H236" s="36" t="str">
        <x:v>34ee42b468d3a8dd9246337d92843efcac8b61edb232464cc63bb3628e39b946</x:v>
      </x:c>
      <x:c r="I236" s="36" t="n">
        <x:v>2</x:v>
      </x:c>
      <x:c r="J236" s="36" t="str">
        <x:v>Published historical baseline</x:v>
      </x:c>
      <x:c r="K236" s="36" t="str">
        <x:v>DIRECT</x:v>
      </x:c>
      <x:c r="L236" s="36" t="str">
        <x:v>acceptance, build, closure, qa, roadmap, sprint, test</x:v>
      </x:c>
      <x:c r="M236" s="36" t="str">
        <x:v>Retain read-only; current authority remains 00–34.</x:v>
      </x:c>
      <x:c r="N236" s="36" t="str">
        <x:v>33 risk/continuity context</x:v>
      </x:c>
      <x:c r="O236" s="36" t="str">
        <x:v>00_Official_Baseline/v0.5/06_Development_Records/Sprints/Sprint_04/Traceability/S4_Document_Impact_Working_Matrix.md</x:v>
      </x:c>
    </x:row>
    <x:row r="237">
      <x:c r="A237" s="27" t="str">
        <x:v>HIST-0233</x:v>
      </x:c>
      <x:c r="B237" s="27" t="str">
        <x:v>00_Official_Baseline</x:v>
      </x:c>
      <x:c r="C237" s="27" t="str">
        <x:v>v0.5</x:v>
      </x:c>
      <x:c r="D237" s="27" t="str">
        <x:v>Sprint 04</x:v>
      </x:c>
      <x:c r="E237" s="36" t="str">
        <x:v>S4_Traceability_Entries.csv</x:v>
      </x:c>
      <x:c r="F237" s="36" t="str">
        <x:v>CSV</x:v>
      </x:c>
      <x:c r="G237" s="54" t="n">
        <x:v>1853</x:v>
      </x:c>
      <x:c r="H237" s="36" t="str">
        <x:v>c2dd2b16a70f7b52a38c76c67f1c0777b6e619dbdd2cf4975d7656dfb9f410ff</x:v>
      </x:c>
      <x:c r="I237" s="36" t="n">
        <x:v>2</x:v>
      </x:c>
      <x:c r="J237" s="36" t="str">
        <x:v>Published historical baseline</x:v>
      </x:c>
      <x:c r="K237" s="36" t="str">
        <x:v>DIRECT</x:v>
      </x:c>
      <x:c r="L237" s="36" t="str">
        <x:v>build, closure, qa, sprint, test, validation</x:v>
      </x:c>
      <x:c r="M237" s="36" t="str">
        <x:v>Retain read-only; current authority remains 00–34.</x:v>
      </x:c>
      <x:c r="N237" s="36" t="str">
        <x:v>33 risk/continuity context</x:v>
      </x:c>
      <x:c r="O237" s="36" t="str">
        <x:v>00_Official_Baseline/v0.5/06_Development_Records/Sprints/Sprint_04/Traceability/S4_Traceability_Entries.csv</x:v>
      </x:c>
    </x:row>
    <x:row r="238">
      <x:c r="A238" s="27" t="str">
        <x:v>HIST-0234</x:v>
      </x:c>
      <x:c r="B238" s="27" t="str">
        <x:v>00_Official_Baseline</x:v>
      </x:c>
      <x:c r="C238" s="27" t="str">
        <x:v>v0.5</x:v>
      </x:c>
      <x:c r="D238" s="27" t="str">
        <x:v>Sprint 05</x:v>
      </x:c>
      <x:c r="E238" s="36" t="str">
        <x:v>S5_5.4_PostImplementation_Record.md</x:v>
      </x:c>
      <x:c r="F238" s="36" t="str">
        <x:v>MD</x:v>
      </x:c>
      <x:c r="G238" s="54" t="n">
        <x:v>1625</x:v>
      </x:c>
      <x:c r="H238" s="36" t="str">
        <x:v>80578149d99d8d19960522a7ad446f1da1464c98f5d7ab300f2e8083ba6f3a30</x:v>
      </x:c>
      <x:c r="I238" s="36" t="n">
        <x:v>2</x:v>
      </x:c>
      <x:c r="J238" s="36" t="str">
        <x:v>Published historical baseline</x:v>
      </x:c>
      <x:c r="K238" s="36" t="str">
        <x:v>DIRECT</x:v>
      </x:c>
      <x:c r="L238" s="36" t="str">
        <x:v>build, closure, sprint, test, validation</x:v>
      </x:c>
      <x:c r="M238" s="36" t="str">
        <x:v>Retain read-only; current authority remains 00–34.</x:v>
      </x:c>
      <x:c r="N238" s="36" t="str">
        <x:v>33 risk/continuity context</x:v>
      </x:c>
      <x:c r="O238" s="36" t="str">
        <x:v>00_Official_Baseline/v0.5/06_Development_Records/Sprints/Sprint_05/Documentation/S5_5.4_PostImplementation_Record.md</x:v>
      </x:c>
    </x:row>
    <x:row r="239">
      <x:c r="A239" s="27" t="str">
        <x:v>HIST-0235</x:v>
      </x:c>
      <x:c r="B239" s="27" t="str">
        <x:v>00_Official_Baseline</x:v>
      </x:c>
      <x:c r="C239" s="27" t="str">
        <x:v>v0.5</x:v>
      </x:c>
      <x:c r="D239" s="27" t="str">
        <x:v>Sprint 05</x:v>
      </x:c>
      <x:c r="E239" s="36" t="str">
        <x:v>S5_Living_Documentation_Update.md</x:v>
      </x:c>
      <x:c r="F239" s="36" t="str">
        <x:v>MD</x:v>
      </x:c>
      <x:c r="G239" s="54" t="n">
        <x:v>1402</x:v>
      </x:c>
      <x:c r="H239" s="36" t="str">
        <x:v>6398fa2f46e55bb31a76c426e72b13ed617745fa8b8ac6d2f44ff00aaae9f5ea</x:v>
      </x:c>
      <x:c r="I239" s="36" t="n">
        <x:v>2</x:v>
      </x:c>
      <x:c r="J239" s="36" t="str">
        <x:v>Published historical baseline</x:v>
      </x:c>
      <x:c r="K239" s="36" t="str">
        <x:v>SUPPORTING</x:v>
      </x:c>
      <x:c r="L239" s="36" t="str">
        <x:v>sprint, test</x:v>
      </x:c>
      <x:c r="M239" s="36" t="str">
        <x:v>Retain read-only; current authority remains 00–34.</x:v>
      </x:c>
      <x:c r="N239" s="36" t="str">
        <x:v>33 risk/continuity context</x:v>
      </x:c>
      <x:c r="O239" s="36" t="str">
        <x:v>00_Official_Baseline/v0.5/06_Development_Records/Sprints/Sprint_05/Documentation/S5_Living_Documentation_Update.md</x:v>
      </x:c>
    </x:row>
    <x:row r="240">
      <x:c r="A240" s="27" t="str">
        <x:v>HIST-0236</x:v>
      </x:c>
      <x:c r="B240" s="27" t="str">
        <x:v>00_Official_Baseline</x:v>
      </x:c>
      <x:c r="C240" s="27" t="str">
        <x:v>v0.5</x:v>
      </x:c>
      <x:c r="D240" s="27" t="str">
        <x:v>Sprint 05</x:v>
      </x:c>
      <x:c r="E240" s="36" t="str">
        <x:v>ADR-0020_Initial_Store_Shell_Dimensions_And_Entrance.md</x:v>
      </x:c>
      <x:c r="F240" s="36" t="str">
        <x:v>MD</x:v>
      </x:c>
      <x:c r="G240" s="54" t="n">
        <x:v>870</x:v>
      </x:c>
      <x:c r="H240" s="36" t="str">
        <x:v>af706a1741b657833a36805700e10d25e2b66264438b488c1a8983e883799e3d</x:v>
      </x:c>
      <x:c r="I240" s="36" t="n">
        <x:v>2</x:v>
      </x:c>
      <x:c r="J240" s="36" t="str">
        <x:v>Published historical baseline</x:v>
      </x:c>
      <x:c r="K240" s="36" t="str">
        <x:v>SUPPORTING</x:v>
      </x:c>
      <x:c r="L240" s="36" t="str">
        <x:v>adr, sprint</x:v>
      </x:c>
      <x:c r="M240" s="36" t="str">
        <x:v>Retain read-only; current authority remains 00–34.</x:v>
      </x:c>
      <x:c r="N240" s="36" t="str">
        <x:v>33 risk/continuity context</x:v>
      </x:c>
      <x:c r="O240" s="36" t="str">
        <x:v>00_Official_Baseline/v0.5/06_Development_Records/Sprints/Sprint_05/Governance/ADR-0020_Initial_Store_Shell_Dimensions_And_Entrance.md</x:v>
      </x:c>
    </x:row>
    <x:row r="241">
      <x:c r="A241" s="27" t="str">
        <x:v>HIST-0237</x:v>
      </x:c>
      <x:c r="B241" s="27" t="str">
        <x:v>00_Official_Baseline</x:v>
      </x:c>
      <x:c r="C241" s="27" t="str">
        <x:v>v0.5</x:v>
      </x:c>
      <x:c r="D241" s="27" t="str">
        <x:v>Sprint 05</x:v>
      </x:c>
      <x:c r="E241" s="36" t="str">
        <x:v>ADR-0021_Logical_Store_Access_Validation.md</x:v>
      </x:c>
      <x:c r="F241" s="36" t="str">
        <x:v>MD</x:v>
      </x:c>
      <x:c r="G241" s="54" t="n">
        <x:v>1131</x:v>
      </x:c>
      <x:c r="H241" s="36" t="str">
        <x:v>079eab3c8041ef624f17ba35976f8ac46627ed9ff192a910e1f0f4f63fee5fe7</x:v>
      </x:c>
      <x:c r="I241" s="36" t="n">
        <x:v>2</x:v>
      </x:c>
      <x:c r="J241" s="36" t="str">
        <x:v>Published historical baseline</x:v>
      </x:c>
      <x:c r="K241" s="36" t="str">
        <x:v>SUPPORTING</x:v>
      </x:c>
      <x:c r="L241" s="36" t="str">
        <x:v>adr, sprint, validation</x:v>
      </x:c>
      <x:c r="M241" s="36" t="str">
        <x:v>Retain read-only; current authority remains 00–34.</x:v>
      </x:c>
      <x:c r="N241" s="36" t="str">
        <x:v>33 risk/continuity context</x:v>
      </x:c>
      <x:c r="O241" s="36" t="str">
        <x:v>00_Official_Baseline/v0.5/06_Development_Records/Sprints/Sprint_05/Governance/ADR-0021_Logical_Store_Access_Validation.md</x:v>
      </x:c>
    </x:row>
    <x:row r="242">
      <x:c r="A242" s="27" t="str">
        <x:v>HIST-0238</x:v>
      </x:c>
      <x:c r="B242" s="27" t="str">
        <x:v>00_Official_Baseline</x:v>
      </x:c>
      <x:c r="C242" s="27" t="str">
        <x:v>v0.5</x:v>
      </x:c>
      <x:c r="D242" s="27" t="str">
        <x:v>Sprint 05</x:v>
      </x:c>
      <x:c r="E242" s="36" t="str">
        <x:v>ADR-0022_Store_Placement_And_Access_Integration.md</x:v>
      </x:c>
      <x:c r="F242" s="36" t="str">
        <x:v>MD</x:v>
      </x:c>
      <x:c r="G242" s="54" t="n">
        <x:v>1085</x:v>
      </x:c>
      <x:c r="H242" s="36" t="str">
        <x:v>f180b5eac43281274d001667b8fc49f39febfbacfeb78fec7d686b9e07546524</x:v>
      </x:c>
      <x:c r="I242" s="36" t="n">
        <x:v>2</x:v>
      </x:c>
      <x:c r="J242" s="36" t="str">
        <x:v>Published historical baseline</x:v>
      </x:c>
      <x:c r="K242" s="36" t="str">
        <x:v>SUPPORTING</x:v>
      </x:c>
      <x:c r="L242" s="36" t="str">
        <x:v>adr, sprint, test, validation</x:v>
      </x:c>
      <x:c r="M242" s="36" t="str">
        <x:v>Retain read-only; current authority remains 00–34.</x:v>
      </x:c>
      <x:c r="N242" s="36" t="str">
        <x:v>33 risk/continuity context</x:v>
      </x:c>
      <x:c r="O242" s="36" t="str">
        <x:v>00_Official_Baseline/v0.5/06_Development_Records/Sprints/Sprint_05/Governance/ADR-0022_Store_Placement_And_Access_Integration.md</x:v>
      </x:c>
    </x:row>
    <x:row r="243">
      <x:c r="A243" s="27" t="str">
        <x:v>HIST-0239</x:v>
      </x:c>
      <x:c r="B243" s="27" t="str">
        <x:v>00_Official_Baseline</x:v>
      </x:c>
      <x:c r="C243" s="27" t="str">
        <x:v>v0.5</x:v>
      </x:c>
      <x:c r="D243" s="27" t="str">
        <x:v>Sprint 05</x:v>
      </x:c>
      <x:c r="E243" s="36" t="str">
        <x:v>ADR-0023_Sprint_05_Final_Integration_And_Build_Gate.md</x:v>
      </x:c>
      <x:c r="F243" s="36" t="str">
        <x:v>MD</x:v>
      </x:c>
      <x:c r="G243" s="54" t="n">
        <x:v>972</x:v>
      </x:c>
      <x:c r="H243" s="36" t="str">
        <x:v>86eaea910888d35b0bb89c6a30aef788d767f38b95283339487890c29844f476</x:v>
      </x:c>
      <x:c r="I243" s="36" t="n">
        <x:v>2</x:v>
      </x:c>
      <x:c r="J243" s="36" t="str">
        <x:v>Published historical baseline</x:v>
      </x:c>
      <x:c r="K243" s="36" t="str">
        <x:v>DIRECT</x:v>
      </x:c>
      <x:c r="L243" s="36" t="str">
        <x:v>adr, build, checksum, closure, release, sprint, validation</x:v>
      </x:c>
      <x:c r="M243" s="36" t="str">
        <x:v>Retain read-only; current authority remains 00–34.</x:v>
      </x:c>
      <x:c r="N243" s="36" t="str">
        <x:v>33 risk/continuity context</x:v>
      </x:c>
      <x:c r="O243" s="36" t="str">
        <x:v>00_Official_Baseline/v0.5/06_Development_Records/Sprints/Sprint_05/Governance/ADR-0023_Sprint_05_Final_Integration_And_Build_Gate.md</x:v>
      </x:c>
    </x:row>
    <x:row r="244">
      <x:c r="A244" s="27" t="str">
        <x:v>HIST-0240</x:v>
      </x:c>
      <x:c r="B244" s="27" t="str">
        <x:v>00_Official_Baseline</x:v>
      </x:c>
      <x:c r="C244" s="27" t="str">
        <x:v>v0.5</x:v>
      </x:c>
      <x:c r="D244" s="27" t="str">
        <x:v>Sprint 05</x:v>
      </x:c>
      <x:c r="E244" s="36" t="str">
        <x:v>Sprint_05_Charter.md</x:v>
      </x:c>
      <x:c r="F244" s="36" t="str">
        <x:v>MD</x:v>
      </x:c>
      <x:c r="G244" s="54" t="n">
        <x:v>1571</x:v>
      </x:c>
      <x:c r="H244" s="36" t="str">
        <x:v>0d05eccfe0a61885dd779cb55bb2179cfadc7cbfdc730c697eea516d0b603632</x:v>
      </x:c>
      <x:c r="I244" s="36" t="n">
        <x:v>2</x:v>
      </x:c>
      <x:c r="J244" s="36" t="str">
        <x:v>Published historical baseline</x:v>
      </x:c>
      <x:c r="K244" s="36" t="str">
        <x:v>DIRECT</x:v>
      </x:c>
      <x:c r="L244" s="36" t="str">
        <x:v>build, closure, sprint, test, validation</x:v>
      </x:c>
      <x:c r="M244" s="36" t="str">
        <x:v>Retain read-only; current authority remains 00–34.</x:v>
      </x:c>
      <x:c r="N244" s="36" t="str">
        <x:v>33 risk/continuity context</x:v>
      </x:c>
      <x:c r="O244" s="36" t="str">
        <x:v>00_Official_Baseline/v0.5/06_Development_Records/Sprints/Sprint_05/Governance/Sprint_05_Charter.md</x:v>
      </x:c>
    </x:row>
    <x:row r="245">
      <x:c r="A245" s="27" t="str">
        <x:v>HIST-0241</x:v>
      </x:c>
      <x:c r="B245" s="27" t="str">
        <x:v>00_Official_Baseline</x:v>
      </x:c>
      <x:c r="C245" s="27" t="str">
        <x:v>v0.5</x:v>
      </x:c>
      <x:c r="D245" s="27" t="str">
        <x:v>Sprint 05</x:v>
      </x:c>
      <x:c r="E245" s="36" t="str">
        <x:v>Sprint_05_Current_Status.md</x:v>
      </x:c>
      <x:c r="F245" s="36" t="str">
        <x:v>MD</x:v>
      </x:c>
      <x:c r="G245" s="54" t="n">
        <x:v>2280</x:v>
      </x:c>
      <x:c r="H245" s="36" t="str">
        <x:v>2a2ca166756565fd85ea0bcbd05a5025bc352562fb251a42050ab35e9809b241</x:v>
      </x:c>
      <x:c r="I245" s="36" t="n">
        <x:v>2</x:v>
      </x:c>
      <x:c r="J245" s="36" t="str">
        <x:v>Published historical baseline</x:v>
      </x:c>
      <x:c r="K245" s="36" t="str">
        <x:v>DIRECT</x:v>
      </x:c>
      <x:c r="L245" s="36" t="str">
        <x:v>build, checksum, closure, current_status, release, restore, sprint, test, validation</x:v>
      </x:c>
      <x:c r="M245" s="36" t="str">
        <x:v>Retain read-only; current authority remains 00–34.</x:v>
      </x:c>
      <x:c r="N245" s="36" t="str">
        <x:v>33 risk/continuity context</x:v>
      </x:c>
      <x:c r="O245" s="36" t="str">
        <x:v>00_Official_Baseline/v0.5/06_Development_Records/Sprints/Sprint_05/Governance/Sprint_05_Current_Status.md</x:v>
      </x:c>
    </x:row>
    <x:row r="246">
      <x:c r="A246" s="27" t="str">
        <x:v>HIST-0242</x:v>
      </x:c>
      <x:c r="B246" s="27" t="str">
        <x:v>00_Official_Baseline</x:v>
      </x:c>
      <x:c r="C246" s="27" t="str">
        <x:v>v0.5</x:v>
      </x:c>
      <x:c r="D246" s="27" t="str">
        <x:v>Sprint 05</x:v>
      </x:c>
      <x:c r="E246" s="36" t="str">
        <x:v>S5.1_Validation_Checklist.md</x:v>
      </x:c>
      <x:c r="F246" s="36" t="str">
        <x:v>MD</x:v>
      </x:c>
      <x:c r="G246" s="54" t="n">
        <x:v>871</x:v>
      </x:c>
      <x:c r="H246" s="36" t="str">
        <x:v>dba681ba566172cebf50f3be75fb1945018e196ebe93fcd9b4407267bb699c08</x:v>
      </x:c>
      <x:c r="I246" s="36" t="n">
        <x:v>2</x:v>
      </x:c>
      <x:c r="J246" s="36" t="str">
        <x:v>Published historical baseline</x:v>
      </x:c>
      <x:c r="K246" s="36" t="str">
        <x:v>SUPPORTING</x:v>
      </x:c>
      <x:c r="L246" s="36" t="str">
        <x:v>qa, sprint, test, validation</x:v>
      </x:c>
      <x:c r="M246" s="36" t="str">
        <x:v>Retain read-only; current authority remains 00–34.</x:v>
      </x:c>
      <x:c r="N246" s="36" t="str">
        <x:v>33 risk/continuity context</x:v>
      </x:c>
      <x:c r="O246" s="36" t="str">
        <x:v>00_Official_Baseline/v0.5/06_Development_Records/Sprints/Sprint_05/QA/S5.1_Validation_Checklist.md</x:v>
      </x:c>
    </x:row>
    <x:row r="247">
      <x:c r="A247" s="27" t="str">
        <x:v>HIST-0243</x:v>
      </x:c>
      <x:c r="B247" s="27" t="str">
        <x:v>00_Official_Baseline</x:v>
      </x:c>
      <x:c r="C247" s="27" t="str">
        <x:v>v0.5</x:v>
      </x:c>
      <x:c r="D247" s="27" t="str">
        <x:v>Sprint 05</x:v>
      </x:c>
      <x:c r="E247" s="36" t="str">
        <x:v>S5.2_Validation_Checklist.md</x:v>
      </x:c>
      <x:c r="F247" s="36" t="str">
        <x:v>MD</x:v>
      </x:c>
      <x:c r="G247" s="54" t="n">
        <x:v>1340</x:v>
      </x:c>
      <x:c r="H247" s="36" t="str">
        <x:v>b5397d64a2dd02e76abf1c6a2a2f1b8be245c7b0993593de4d9d0147c22e39c0</x:v>
      </x:c>
      <x:c r="I247" s="36" t="n">
        <x:v>2</x:v>
      </x:c>
      <x:c r="J247" s="36" t="str">
        <x:v>Published historical baseline</x:v>
      </x:c>
      <x:c r="K247" s="36" t="str">
        <x:v>DIRECT</x:v>
      </x:c>
      <x:c r="L247" s="36" t="str">
        <x:v>qa, restore, sprint, test, validation</x:v>
      </x:c>
      <x:c r="M247" s="36" t="str">
        <x:v>Retain read-only; current authority remains 00–34.</x:v>
      </x:c>
      <x:c r="N247" s="36" t="str">
        <x:v>33 risk/continuity context</x:v>
      </x:c>
      <x:c r="O247" s="36" t="str">
        <x:v>00_Official_Baseline/v0.5/06_Development_Records/Sprints/Sprint_05/QA/S5.2_Validation_Checklist.md</x:v>
      </x:c>
    </x:row>
    <x:row r="248">
      <x:c r="A248" s="27" t="str">
        <x:v>HIST-0244</x:v>
      </x:c>
      <x:c r="B248" s="27" t="str">
        <x:v>00_Official_Baseline</x:v>
      </x:c>
      <x:c r="C248" s="27" t="str">
        <x:v>v0.5</x:v>
      </x:c>
      <x:c r="D248" s="27" t="str">
        <x:v>Sprint 05</x:v>
      </x:c>
      <x:c r="E248" s="36" t="str">
        <x:v>S5.3_Validation_Checklist.md</x:v>
      </x:c>
      <x:c r="F248" s="36" t="str">
        <x:v>MD</x:v>
      </x:c>
      <x:c r="G248" s="54" t="n">
        <x:v>1306</x:v>
      </x:c>
      <x:c r="H248" s="36" t="str">
        <x:v>e443533c5c2372eb4f308301e7b20c93c2c64f44c55738dda64bb5c7510ce209</x:v>
      </x:c>
      <x:c r="I248" s="36" t="n">
        <x:v>2</x:v>
      </x:c>
      <x:c r="J248" s="36" t="str">
        <x:v>Published historical baseline</x:v>
      </x:c>
      <x:c r="K248" s="36" t="str">
        <x:v>DIRECT</x:v>
      </x:c>
      <x:c r="L248" s="36" t="str">
        <x:v>qa, restore, sprint, test, validation</x:v>
      </x:c>
      <x:c r="M248" s="36" t="str">
        <x:v>Retain read-only; current authority remains 00–34.</x:v>
      </x:c>
      <x:c r="N248" s="36" t="str">
        <x:v>33 risk/continuity context</x:v>
      </x:c>
      <x:c r="O248" s="36" t="str">
        <x:v>00_Official_Baseline/v0.5/06_Development_Records/Sprints/Sprint_05/QA/S5.3_Validation_Checklist.md</x:v>
      </x:c>
    </x:row>
    <x:row r="249">
      <x:c r="A249" s="27" t="str">
        <x:v>HIST-0245</x:v>
      </x:c>
      <x:c r="B249" s="27" t="str">
        <x:v>00_Official_Baseline</x:v>
      </x:c>
      <x:c r="C249" s="27" t="str">
        <x:v>v0.5</x:v>
      </x:c>
      <x:c r="D249" s="27" t="str">
        <x:v>Sprint 05</x:v>
      </x:c>
      <x:c r="E249" s="36" t="str">
        <x:v>S5.4_Build_Execution_Record.md</x:v>
      </x:c>
      <x:c r="F249" s="36" t="str">
        <x:v>MD</x:v>
      </x:c>
      <x:c r="G249" s="54" t="n">
        <x:v>1347</x:v>
      </x:c>
      <x:c r="H249" s="36" t="str">
        <x:v>83700192228af99fb4487bdf4cdd1332d13a194be7cd5fb197278013952f8fe1</x:v>
      </x:c>
      <x:c r="I249" s="36" t="n">
        <x:v>2</x:v>
      </x:c>
      <x:c r="J249" s="36" t="str">
        <x:v>Published historical baseline</x:v>
      </x:c>
      <x:c r="K249" s="36" t="str">
        <x:v>SUPPORTING</x:v>
      </x:c>
      <x:c r="L249" s="36" t="str">
        <x:v>build, qa, sprint, validation</x:v>
      </x:c>
      <x:c r="M249" s="36" t="str">
        <x:v>Retain read-only; current authority remains 00–34.</x:v>
      </x:c>
      <x:c r="N249" s="36" t="str">
        <x:v>33 risk/continuity context</x:v>
      </x:c>
      <x:c r="O249" s="36" t="str">
        <x:v>00_Official_Baseline/v0.5/06_Development_Records/Sprints/Sprint_05/QA/S5.4_Build_Execution_Record.md</x:v>
      </x:c>
    </x:row>
    <x:row r="250">
      <x:c r="A250" s="27" t="str">
        <x:v>HIST-0246</x:v>
      </x:c>
      <x:c r="B250" s="27" t="str">
        <x:v>00_Official_Baseline</x:v>
      </x:c>
      <x:c r="C250" s="27" t="str">
        <x:v>v0.5</x:v>
      </x:c>
      <x:c r="D250" s="27" t="str">
        <x:v>Sprint 05</x:v>
      </x:c>
      <x:c r="E250" s="36" t="str">
        <x:v>S5.4_Validation_Checklist.md</x:v>
      </x:c>
      <x:c r="F250" s="36" t="str">
        <x:v>MD</x:v>
      </x:c>
      <x:c r="G250" s="54" t="n">
        <x:v>1839</x:v>
      </x:c>
      <x:c r="H250" s="36" t="str">
        <x:v>99d648322bc2b6f6ca1dff0fae525dae89f84c6726bf4ed749bb09bd1a1f155c</x:v>
      </x:c>
      <x:c r="I250" s="36" t="n">
        <x:v>2</x:v>
      </x:c>
      <x:c r="J250" s="36" t="str">
        <x:v>Published historical baseline</x:v>
      </x:c>
      <x:c r="K250" s="36" t="str">
        <x:v>DIRECT</x:v>
      </x:c>
      <x:c r="L250" s="36" t="str">
        <x:v>build, closure, qa, sprint, test, validation</x:v>
      </x:c>
      <x:c r="M250" s="36" t="str">
        <x:v>Retain read-only; current authority remains 00–34.</x:v>
      </x:c>
      <x:c r="N250" s="36" t="str">
        <x:v>33 risk/continuity context</x:v>
      </x:c>
      <x:c r="O250" s="36" t="str">
        <x:v>00_Official_Baseline/v0.5/06_Development_Records/Sprints/Sprint_05/QA/S5.4_Validation_Checklist.md</x:v>
      </x:c>
    </x:row>
    <x:row r="251">
      <x:c r="A251" s="27" t="str">
        <x:v>HIST-0247</x:v>
      </x:c>
      <x:c r="B251" s="27" t="str">
        <x:v>00_Official_Baseline</x:v>
      </x:c>
      <x:c r="C251" s="27" t="str">
        <x:v>v0.5</x:v>
      </x:c>
      <x:c r="D251" s="27" t="str">
        <x:v>Sprint 05</x:v>
      </x:c>
      <x:c r="E251" s="36" t="str">
        <x:v>S5_Acceptance_Matrix.md</x:v>
      </x:c>
      <x:c r="F251" s="36" t="str">
        <x:v>MD</x:v>
      </x:c>
      <x:c r="G251" s="54" t="n">
        <x:v>2498</x:v>
      </x:c>
      <x:c r="H251" s="36" t="str">
        <x:v>3c265e9509b133370788c1ea024e4de481f773b526a524f2ec880d60abe053b6</x:v>
      </x:c>
      <x:c r="I251" s="36" t="n">
        <x:v>2</x:v>
      </x:c>
      <x:c r="J251" s="36" t="str">
        <x:v>Published historical baseline</x:v>
      </x:c>
      <x:c r="K251" s="36" t="str">
        <x:v>DIRECT</x:v>
      </x:c>
      <x:c r="L251" s="36" t="str">
        <x:v>acceptance, build, qa, sprint, test</x:v>
      </x:c>
      <x:c r="M251" s="36" t="str">
        <x:v>Retain read-only; current authority remains 00–34.</x:v>
      </x:c>
      <x:c r="N251" s="36" t="str">
        <x:v>33 risk/continuity context</x:v>
      </x:c>
      <x:c r="O251" s="36" t="str">
        <x:v>00_Official_Baseline/v0.5/06_Development_Records/Sprints/Sprint_05/QA/S5_Acceptance_Matrix.md</x:v>
      </x:c>
    </x:row>
    <x:row r="252">
      <x:c r="A252" s="27" t="str">
        <x:v>HIST-0248</x:v>
      </x:c>
      <x:c r="B252" s="27" t="str">
        <x:v>00_Official_Baseline</x:v>
      </x:c>
      <x:c r="C252" s="27" t="str">
        <x:v>v0.5</x:v>
      </x:c>
      <x:c r="D252" s="27" t="str">
        <x:v>Sprint 05</x:v>
      </x:c>
      <x:c r="E252" s="36" t="str">
        <x:v>S5_QA_Execution_Record.md</x:v>
      </x:c>
      <x:c r="F252" s="36" t="str">
        <x:v>MD</x:v>
      </x:c>
      <x:c r="G252" s="54" t="n">
        <x:v>2607</x:v>
      </x:c>
      <x:c r="H252" s="36" t="str">
        <x:v>28e52cfc1189efc63cafabf899b0b94924bf2fb3edb92a43973797fcb77616d4</x:v>
      </x:c>
      <x:c r="I252" s="36" t="n">
        <x:v>2</x:v>
      </x:c>
      <x:c r="J252" s="36" t="str">
        <x:v>Published historical baseline</x:v>
      </x:c>
      <x:c r="K252" s="36" t="str">
        <x:v>DIRECT</x:v>
      </x:c>
      <x:c r="L252" s="36" t="str">
        <x:v>build, closure, dependency, incident, qa, risk, sprint, test, validation</x:v>
      </x:c>
      <x:c r="M252" s="36" t="str">
        <x:v>Retain read-only; current authority remains 00–34.</x:v>
      </x:c>
      <x:c r="N252" s="36" t="str">
        <x:v>33 risk/continuity context</x:v>
      </x:c>
      <x:c r="O252" s="36" t="str">
        <x:v>00_Official_Baseline/v0.5/06_Development_Records/Sprints/Sprint_05/QA/S5_QA_Execution_Record.md</x:v>
      </x:c>
    </x:row>
    <x:row r="253">
      <x:c r="A253" s="27" t="str">
        <x:v>HIST-0249</x:v>
      </x:c>
      <x:c r="B253" s="27" t="str">
        <x:v>00_Official_Baseline</x:v>
      </x:c>
      <x:c r="C253" s="27" t="str">
        <x:v>v0.5</x:v>
      </x:c>
      <x:c r="D253" s="27" t="str">
        <x:v>Sprint 05</x:v>
      </x:c>
      <x:c r="E253" s="36" t="str">
        <x:v>S5_Applied_Changes_Report.md</x:v>
      </x:c>
      <x:c r="F253" s="36" t="str">
        <x:v>MD</x:v>
      </x:c>
      <x:c r="G253" s="54" t="n">
        <x:v>2024</x:v>
      </x:c>
      <x:c r="H253" s="36" t="str">
        <x:v>cd78c06fec02733a316a904135cabc94d84af31640488c558d62da9227708c72</x:v>
      </x:c>
      <x:c r="I253" s="36" t="n">
        <x:v>2</x:v>
      </x:c>
      <x:c r="J253" s="36" t="str">
        <x:v>Published historical baseline</x:v>
      </x:c>
      <x:c r="K253" s="36" t="str">
        <x:v>DIRECT</x:v>
      </x:c>
      <x:c r="L253" s="36" t="str">
        <x:v>build, closure, sprint, test, validation</x:v>
      </x:c>
      <x:c r="M253" s="36" t="str">
        <x:v>Retain read-only; current authority remains 00–34.</x:v>
      </x:c>
      <x:c r="N253" s="36" t="str">
        <x:v>33 risk/continuity context</x:v>
      </x:c>
      <x:c r="O253" s="36" t="str">
        <x:v>00_Official_Baseline/v0.5/06_Development_Records/Sprints/Sprint_05/S5_Applied_Changes_Report.md</x:v>
      </x:c>
    </x:row>
    <x:row r="254">
      <x:c r="A254" s="27" t="str">
        <x:v>HIST-0250</x:v>
      </x:c>
      <x:c r="B254" s="27" t="str">
        <x:v>00_Official_Baseline</x:v>
      </x:c>
      <x:c r="C254" s="27" t="str">
        <x:v>v0.5</x:v>
      </x:c>
      <x:c r="D254" s="27" t="str">
        <x:v>Sprint 05</x:v>
      </x:c>
      <x:c r="E254" s="36" t="str">
        <x:v>Sprint_05_Closure_Report.md</x:v>
      </x:c>
      <x:c r="F254" s="36" t="str">
        <x:v>MD</x:v>
      </x:c>
      <x:c r="G254" s="54" t="n">
        <x:v>2620</x:v>
      </x:c>
      <x:c r="H254" s="36" t="str">
        <x:v>8065ffa0649ba8c67d0c754cc551d1db3f721aeedc071e9f8317a9c97264e11c</x:v>
      </x:c>
      <x:c r="I254" s="36" t="n">
        <x:v>2</x:v>
      </x:c>
      <x:c r="J254" s="36" t="str">
        <x:v>Published historical baseline</x:v>
      </x:c>
      <x:c r="K254" s="36" t="str">
        <x:v>DIRECT</x:v>
      </x:c>
      <x:c r="L254" s="36" t="str">
        <x:v>build, closure, dependency, incident, qa, release, risk, roadmap, sprint, test, validation</x:v>
      </x:c>
      <x:c r="M254" s="36" t="str">
        <x:v>Retain read-only; current authority remains 00–34.</x:v>
      </x:c>
      <x:c r="N254" s="36" t="str">
        <x:v>33 risk/continuity context</x:v>
      </x:c>
      <x:c r="O254" s="36" t="str">
        <x:v>00_Official_Baseline/v0.5/06_Development_Records/Sprints/Sprint_05/Sprint_05_Closure_Report.md</x:v>
      </x:c>
    </x:row>
    <x:row r="255">
      <x:c r="A255" s="27" t="str">
        <x:v>HIST-0251</x:v>
      </x:c>
      <x:c r="B255" s="27" t="str">
        <x:v>00_Official_Baseline</x:v>
      </x:c>
      <x:c r="C255" s="27" t="str">
        <x:v>v0.5</x:v>
      </x:c>
      <x:c r="D255" s="27" t="str">
        <x:v>Sprint 05</x:v>
      </x:c>
      <x:c r="E255" s="36" t="str">
        <x:v>S5_Document_Impact_Working_Matrix.md</x:v>
      </x:c>
      <x:c r="F255" s="36" t="str">
        <x:v>MD</x:v>
      </x:c>
      <x:c r="G255" s="54" t="n">
        <x:v>1243</x:v>
      </x:c>
      <x:c r="H255" s="36" t="str">
        <x:v>3383c88a53d814e3d128959ce907fc91d89eae8adbe22d936baa9408fec79b14</x:v>
      </x:c>
      <x:c r="I255" s="36" t="n">
        <x:v>2</x:v>
      </x:c>
      <x:c r="J255" s="36" t="str">
        <x:v>Published historical baseline</x:v>
      </x:c>
      <x:c r="K255" s="36" t="str">
        <x:v>DIRECT</x:v>
      </x:c>
      <x:c r="L255" s="36" t="str">
        <x:v>build, closure, qa, roadmap, sprint, test</x:v>
      </x:c>
      <x:c r="M255" s="36" t="str">
        <x:v>Retain read-only; current authority remains 00–34.</x:v>
      </x:c>
      <x:c r="N255" s="36" t="str">
        <x:v>33 risk/continuity context</x:v>
      </x:c>
      <x:c r="O255" s="36" t="str">
        <x:v>00_Official_Baseline/v0.5/06_Development_Records/Sprints/Sprint_05/Traceability/S5_Document_Impact_Working_Matrix.md</x:v>
      </x:c>
    </x:row>
    <x:row r="256">
      <x:c r="A256" s="27" t="str">
        <x:v>HIST-0252</x:v>
      </x:c>
      <x:c r="B256" s="27" t="str">
        <x:v>00_Official_Baseline</x:v>
      </x:c>
      <x:c r="C256" s="27" t="str">
        <x:v>v0.5</x:v>
      </x:c>
      <x:c r="D256" s="27" t="str">
        <x:v>Sprint 05</x:v>
      </x:c>
      <x:c r="E256" s="36" t="str">
        <x:v>S5_Traceability_Entries.csv</x:v>
      </x:c>
      <x:c r="F256" s="36" t="str">
        <x:v>CSV</x:v>
      </x:c>
      <x:c r="G256" s="54" t="n">
        <x:v>1761</x:v>
      </x:c>
      <x:c r="H256" s="36" t="str">
        <x:v>c7135697cfaadadf20f3639103c0bfdadbed24fc67a499aff27b460cffb2602b</x:v>
      </x:c>
      <x:c r="I256" s="36" t="n">
        <x:v>2</x:v>
      </x:c>
      <x:c r="J256" s="36" t="str">
        <x:v>Published historical baseline</x:v>
      </x:c>
      <x:c r="K256" s="36" t="str">
        <x:v>DIRECT</x:v>
      </x:c>
      <x:c r="L256" s="36" t="str">
        <x:v>build, closure, qa, sprint, test, validation</x:v>
      </x:c>
      <x:c r="M256" s="36" t="str">
        <x:v>Retain read-only; current authority remains 00–34.</x:v>
      </x:c>
      <x:c r="N256" s="36" t="str">
        <x:v>33 risk/continuity context</x:v>
      </x:c>
      <x:c r="O256" s="36" t="str">
        <x:v>00_Official_Baseline/v0.5/06_Development_Records/Sprints/Sprint_05/Traceability/S5_Traceability_Entries.csv</x:v>
      </x:c>
    </x:row>
    <x:row r="257">
      <x:c r="A257" s="27" t="str">
        <x:v>HIST-0253</x:v>
      </x:c>
      <x:c r="B257" s="27" t="str">
        <x:v>00_Official_Baseline</x:v>
      </x:c>
      <x:c r="C257" s="27" t="str">
        <x:v>v0.5</x:v>
      </x:c>
      <x:c r="D257" s="27" t="str"/>
      <x:c r="E257" s="36" t="str">
        <x:v>00_Cartridge_And_Cloud_Guide_v0.5.md</x:v>
      </x:c>
      <x:c r="F257" s="36" t="str">
        <x:v>MD</x:v>
      </x:c>
      <x:c r="G257" s="54" t="n">
        <x:v>6916</x:v>
      </x:c>
      <x:c r="H257" s="36" t="str">
        <x:v>1774286d76e6fef44bd4f38f054ed334ae6bf969fe9b477fc81d7392f9033e54</x:v>
      </x:c>
      <x:c r="I257" s="36" t="n">
        <x:v>1</x:v>
      </x:c>
      <x:c r="J257" s="36" t="str">
        <x:v>Authoring source</x:v>
      </x:c>
      <x:c r="K257" s="36" t="str">
        <x:v>DIRECT</x:v>
      </x:c>
      <x:c r="L257" s="36" t="str">
        <x:v>build, checksum, closure, dependencia, handoff, qa, release, roadmap, save, sprint, steam, test, validation</x:v>
      </x:c>
      <x:c r="M257" s="36" t="str">
        <x:v>Retain read-only; current authority remains 00–34.</x:v>
      </x:c>
      <x:c r="N257" s="36" t="str">
        <x:v>33 risk/continuity context</x:v>
      </x:c>
      <x:c r="O257" s="36" t="str">
        <x:v>00_Official_Baseline/v0.5/99_Source_Markdown/00_Cartridge_And_Cloud_Guide_v0.5.md</x:v>
      </x:c>
    </x:row>
    <x:row r="258">
      <x:c r="A258" s="27" t="str">
        <x:v>HIST-0254</x:v>
      </x:c>
      <x:c r="B258" s="27" t="str">
        <x:v>00_Official_Baseline</x:v>
      </x:c>
      <x:c r="C258" s="27" t="str">
        <x:v>v0.5</x:v>
      </x:c>
      <x:c r="D258" s="27" t="str"/>
      <x:c r="E258" s="36" t="str">
        <x:v>Cartridge_And_Cloud_Art_Bible_v0.4.md</x:v>
      </x:c>
      <x:c r="F258" s="36" t="str">
        <x:v>MD</x:v>
      </x:c>
      <x:c r="G258" s="54" t="n">
        <x:v>2426</x:v>
      </x:c>
      <x:c r="H258" s="36" t="str">
        <x:v>85241caca78cbac42e40a735b73a116ee47e5937605952cebb092272bb3a1979</x:v>
      </x:c>
      <x:c r="I258" s="36" t="n">
        <x:v>1</x:v>
      </x:c>
      <x:c r="J258" s="36" t="str">
        <x:v>Authoring source</x:v>
      </x:c>
      <x:c r="K258" s="36" t="str">
        <x:v>SUPPORTING</x:v>
      </x:c>
      <x:c r="L258" s="36" t="str">
        <x:v>sprint, steam</x:v>
      </x:c>
      <x:c r="M258" s="36" t="str">
        <x:v>Retain read-only; current authority remains 00–34.</x:v>
      </x:c>
      <x:c r="N258" s="36" t="str">
        <x:v>33 risk/continuity context</x:v>
      </x:c>
      <x:c r="O258" s="36" t="str">
        <x:v>00_Official_Baseline/v0.5/99_Source_Markdown/Cartridge_And_Cloud_Art_Bible_v0.4.md</x:v>
      </x:c>
    </x:row>
    <x:row r="259">
      <x:c r="A259" s="27" t="str">
        <x:v>HIST-0255</x:v>
      </x:c>
      <x:c r="B259" s="27" t="str">
        <x:v>00_Official_Baseline</x:v>
      </x:c>
      <x:c r="C259" s="27" t="str">
        <x:v>v0.5</x:v>
      </x:c>
      <x:c r="D259" s="27" t="str"/>
      <x:c r="E259" s="36" t="str">
        <x:v>Cartridge_And_Cloud_Audio_Bible_v0.4.md</x:v>
      </x:c>
      <x:c r="F259" s="36" t="str">
        <x:v>MD</x:v>
      </x:c>
      <x:c r="G259" s="54" t="n">
        <x:v>1955</x:v>
      </x:c>
      <x:c r="H259" s="36" t="str">
        <x:v>b63eff2e7197d01df8375a9d815ddf046d123a222fdaf70079a8356d58c9e092</x:v>
      </x:c>
      <x:c r="I259" s="36" t="n">
        <x:v>1</x:v>
      </x:c>
      <x:c r="J259" s="36" t="str">
        <x:v>Authoring source</x:v>
      </x:c>
      <x:c r="K259" s="36" t="str">
        <x:v>SUPPORTING</x:v>
      </x:c>
      <x:c r="L259" s="36" t="str">
        <x:v>sprint, steam</x:v>
      </x:c>
      <x:c r="M259" s="36" t="str">
        <x:v>Retain read-only; current authority remains 00–34.</x:v>
      </x:c>
      <x:c r="N259" s="36" t="str">
        <x:v>33 risk/continuity context</x:v>
      </x:c>
      <x:c r="O259" s="36" t="str">
        <x:v>00_Official_Baseline/v0.5/99_Source_Markdown/Cartridge_And_Cloud_Audio_Bible_v0.4.md</x:v>
      </x:c>
    </x:row>
    <x:row r="260">
      <x:c r="A260" s="27" t="str">
        <x:v>HIST-0256</x:v>
      </x:c>
      <x:c r="B260" s="27" t="str">
        <x:v>00_Official_Baseline</x:v>
      </x:c>
      <x:c r="C260" s="27" t="str">
        <x:v>v0.5</x:v>
      </x:c>
      <x:c r="D260" s="27" t="str"/>
      <x:c r="E260" s="36" t="str">
        <x:v>Cartridge_And_Cloud_Build_Versioning_Guide_v0.5.md</x:v>
      </x:c>
      <x:c r="F260" s="36" t="str">
        <x:v>MD</x:v>
      </x:c>
      <x:c r="G260" s="54" t="n">
        <x:v>2384</x:v>
      </x:c>
      <x:c r="H260" s="36" t="str">
        <x:v>3df0fc5321a57c528f6386bcd922c2e930ba194736af94f064262c371bb63be6</x:v>
      </x:c>
      <x:c r="I260" s="36" t="n">
        <x:v>1</x:v>
      </x:c>
      <x:c r="J260" s="36" t="str">
        <x:v>Authoring source</x:v>
      </x:c>
      <x:c r="K260" s="36" t="str">
        <x:v>DIRECT</x:v>
      </x:c>
      <x:c r="L260" s="36" t="str">
        <x:v>build, checksum, release, sprint, steam</x:v>
      </x:c>
      <x:c r="M260" s="36" t="str">
        <x:v>Retain read-only; current authority remains 00–34.</x:v>
      </x:c>
      <x:c r="N260" s="36" t="str">
        <x:v>33 risk/continuity context</x:v>
      </x:c>
      <x:c r="O260" s="36" t="str">
        <x:v>00_Official_Baseline/v0.5/99_Source_Markdown/Cartridge_And_Cloud_Build_Versioning_Guide_v0.5.md</x:v>
      </x:c>
    </x:row>
    <x:row r="261">
      <x:c r="A261" s="27" t="str">
        <x:v>HIST-0257</x:v>
      </x:c>
      <x:c r="B261" s="27" t="str">
        <x:v>00_Official_Baseline</x:v>
      </x:c>
      <x:c r="C261" s="27" t="str">
        <x:v>v0.5</x:v>
      </x:c>
      <x:c r="D261" s="27" t="str"/>
      <x:c r="E261" s="36" t="str">
        <x:v>Cartridge_And_Cloud_CSharp_Coding_Standards_v0.4.md</x:v>
      </x:c>
      <x:c r="F261" s="36" t="str">
        <x:v>MD</x:v>
      </x:c>
      <x:c r="G261" s="54" t="n">
        <x:v>2940</x:v>
      </x:c>
      <x:c r="H261" s="36" t="str">
        <x:v>e83ba0009eda604345b2939a8cddf7f8d1a4b8b3ab2445bfcf79996889844e6d</x:v>
      </x:c>
      <x:c r="I261" s="36" t="n">
        <x:v>1</x:v>
      </x:c>
      <x:c r="J261" s="36" t="str">
        <x:v>Authoring source</x:v>
      </x:c>
      <x:c r="K261" s="36" t="str">
        <x:v>SUPPORTING</x:v>
      </x:c>
      <x:c r="L261" s="36" t="str">
        <x:v>sprint, steam, test</x:v>
      </x:c>
      <x:c r="M261" s="36" t="str">
        <x:v>Retain read-only; current authority remains 00–34.</x:v>
      </x:c>
      <x:c r="N261" s="36" t="str">
        <x:v>33 risk/continuity context</x:v>
      </x:c>
      <x:c r="O261" s="36" t="str">
        <x:v>00_Official_Baseline/v0.5/99_Source_Markdown/Cartridge_And_Cloud_CSharp_Coding_Standards_v0.4.md</x:v>
      </x:c>
    </x:row>
    <x:row r="262">
      <x:c r="A262" s="27" t="str">
        <x:v>HIST-0258</x:v>
      </x:c>
      <x:c r="B262" s="27" t="str">
        <x:v>00_Official_Baseline</x:v>
      </x:c>
      <x:c r="C262" s="27" t="str">
        <x:v>v0.5</x:v>
      </x:c>
      <x:c r="D262" s="27" t="str"/>
      <x:c r="E262" s="36" t="str">
        <x:v>Cartridge_And_Cloud_Document_Migration_Plan_v0.2.md</x:v>
      </x:c>
      <x:c r="F262" s="36" t="str">
        <x:v>MD</x:v>
      </x:c>
      <x:c r="G262" s="54" t="n">
        <x:v>2508</x:v>
      </x:c>
      <x:c r="H262" s="36" t="str">
        <x:v>125794b93ecfa0ba466066a84f7b543b8fbcf2407d577d2583211db9e0c09ae1</x:v>
      </x:c>
      <x:c r="I262" s="36" t="n">
        <x:v>1</x:v>
      </x:c>
      <x:c r="J262" s="36" t="str">
        <x:v>Authoring source</x:v>
      </x:c>
      <x:c r="K262" s="36" t="str">
        <x:v>DIRECT</x:v>
      </x:c>
      <x:c r="L262" s="36" t="str">
        <x:v>checksum, continuidad, handoff, qa, roadmap, sprint, steam</x:v>
      </x:c>
      <x:c r="M262" s="36" t="str">
        <x:v>Retain read-only; current authority remains 00–34.</x:v>
      </x:c>
      <x:c r="N262" s="36" t="str">
        <x:v>33 risk/continuity context</x:v>
      </x:c>
      <x:c r="O262" s="36" t="str">
        <x:v>00_Official_Baseline/v0.5/99_Source_Markdown/Cartridge_And_Cloud_Document_Migration_Plan_v0.2.md</x:v>
      </x:c>
    </x:row>
    <x:row r="263">
      <x:c r="A263" s="27" t="str">
        <x:v>HIST-0259</x:v>
      </x:c>
      <x:c r="B263" s="27" t="str">
        <x:v>00_Official_Baseline</x:v>
      </x:c>
      <x:c r="C263" s="27" t="str">
        <x:v>v0.5</x:v>
      </x:c>
      <x:c r="D263" s="27" t="str"/>
      <x:c r="E263" s="36" t="str">
        <x:v>Cartridge_And_Cloud_Documentation_Validation_Report_v0.3.md</x:v>
      </x:c>
      <x:c r="F263" s="36" t="str">
        <x:v>MD</x:v>
      </x:c>
      <x:c r="G263" s="54" t="n">
        <x:v>1944</x:v>
      </x:c>
      <x:c r="H263" s="36" t="str">
        <x:v>f0580c1ab55321eefc1ff3f1f57ec2337ca1c313c1c98f24b19d2967f73cf010</x:v>
      </x:c>
      <x:c r="I263" s="36" t="n">
        <x:v>1</x:v>
      </x:c>
      <x:c r="J263" s="36" t="str">
        <x:v>Authoring source</x:v>
      </x:c>
      <x:c r="K263" s="36" t="str">
        <x:v>DIRECT</x:v>
      </x:c>
      <x:c r="L263" s="36" t="str">
        <x:v>checksum, handoff, qa, sprint, steam, validation</x:v>
      </x:c>
      <x:c r="M263" s="36" t="str">
        <x:v>Retain read-only; current authority remains 00–34.</x:v>
      </x:c>
      <x:c r="N263" s="36" t="str">
        <x:v>33 risk/continuity context</x:v>
      </x:c>
      <x:c r="O263" s="36" t="str">
        <x:v>00_Official_Baseline/v0.5/99_Source_Markdown/Cartridge_And_Cloud_Documentation_Validation_Report_v0.3.md</x:v>
      </x:c>
    </x:row>
    <x:row r="264">
      <x:c r="A264" s="27" t="str">
        <x:v>HIST-0260</x:v>
      </x:c>
      <x:c r="B264" s="27" t="str">
        <x:v>00_Official_Baseline</x:v>
      </x:c>
      <x:c r="C264" s="27" t="str">
        <x:v>v0.5</x:v>
      </x:c>
      <x:c r="D264" s="27" t="str"/>
      <x:c r="E264" s="36" t="str">
        <x:v>Cartridge_And_Cloud_Economy_Balance_Specification_v0.2.md</x:v>
      </x:c>
      <x:c r="F264" s="36" t="str">
        <x:v>MD</x:v>
      </x:c>
      <x:c r="G264" s="54" t="n">
        <x:v>2773</x:v>
      </x:c>
      <x:c r="H264" s="36" t="str">
        <x:v>06c11a0e1ea6a93a2f3fd18794007ce2160fbbee1658d43456d4b16fecd8c484</x:v>
      </x:c>
      <x:c r="I264" s="36" t="n">
        <x:v>1</x:v>
      </x:c>
      <x:c r="J264" s="36" t="str">
        <x:v>Authoring source</x:v>
      </x:c>
      <x:c r="K264" s="36" t="str">
        <x:v>SUPPORTING</x:v>
      </x:c>
      <x:c r="L264" s="36" t="str">
        <x:v>sprint, steam</x:v>
      </x:c>
      <x:c r="M264" s="36" t="str">
        <x:v>Retain read-only; current authority remains 00–34.</x:v>
      </x:c>
      <x:c r="N264" s="36" t="str">
        <x:v>33 risk/continuity context</x:v>
      </x:c>
      <x:c r="O264" s="36" t="str">
        <x:v>00_Official_Baseline/v0.5/99_Source_Markdown/Cartridge_And_Cloud_Economy_Balance_Specification_v0.2.md</x:v>
      </x:c>
    </x:row>
    <x:row r="265">
      <x:c r="A265" s="27" t="str">
        <x:v>HIST-0261</x:v>
      </x:c>
      <x:c r="B265" s="27" t="str">
        <x:v>00_Official_Baseline</x:v>
      </x:c>
      <x:c r="C265" s="27" t="str">
        <x:v>v0.5</x:v>
      </x:c>
      <x:c r="D265" s="27" t="str"/>
      <x:c r="E265" s="36" t="str">
        <x:v>Cartridge_And_Cloud_Enfoque_v0.7.md</x:v>
      </x:c>
      <x:c r="F265" s="36" t="str">
        <x:v>MD</x:v>
      </x:c>
      <x:c r="G265" s="54" t="n">
        <x:v>4112</x:v>
      </x:c>
      <x:c r="H265" s="36" t="str">
        <x:v>dff2fd6d5ae6a688ae147c6eebc2e81b5667cf2433198204867ed51559cc11ea</x:v>
      </x:c>
      <x:c r="I265" s="36" t="n">
        <x:v>2</x:v>
      </x:c>
      <x:c r="J265" s="36" t="str">
        <x:v>Authoring source</x:v>
      </x:c>
      <x:c r="K265" s="36" t="str">
        <x:v>SUPPORTING</x:v>
      </x:c>
      <x:c r="L265" s="36" t="str">
        <x:v>build, sprint, steam, test</x:v>
      </x:c>
      <x:c r="M265" s="36" t="str">
        <x:v>Retain read-only; current authority remains 00–34.</x:v>
      </x:c>
      <x:c r="N265" s="36" t="str">
        <x:v>33 risk/continuity context</x:v>
      </x:c>
      <x:c r="O265" s="36" t="str">
        <x:v>00_Official_Baseline/v0.5/99_Source_Markdown/Cartridge_And_Cloud_Enfoque_v0.7.md</x:v>
      </x:c>
    </x:row>
    <x:row r="266">
      <x:c r="A266" s="27" t="str">
        <x:v>HIST-0262</x:v>
      </x:c>
      <x:c r="B266" s="27" t="str">
        <x:v>00_Official_Baseline</x:v>
      </x:c>
      <x:c r="C266" s="27" t="str">
        <x:v>v0.5</x:v>
      </x:c>
      <x:c r="D266" s="27" t="str"/>
      <x:c r="E266" s="36" t="str">
        <x:v>Cartridge_And_Cloud_GDD_v0.5_PCSteam.md</x:v>
      </x:c>
      <x:c r="F266" s="36" t="str">
        <x:v>MD</x:v>
      </x:c>
      <x:c r="G266" s="54" t="n">
        <x:v>4208</x:v>
      </x:c>
      <x:c r="H266" s="36" t="str">
        <x:v>17284e1e8d67332d5a8e76e56d194b7e176225dfb49e2729caf6664a96c6aa09</x:v>
      </x:c>
      <x:c r="I266" s="36" t="n">
        <x:v>1</x:v>
      </x:c>
      <x:c r="J266" s="36" t="str">
        <x:v>Authoring source</x:v>
      </x:c>
      <x:c r="K266" s="36" t="str">
        <x:v>SUPPORTING</x:v>
      </x:c>
      <x:c r="L266" s="36" t="str">
        <x:v>build, sprint, steam</x:v>
      </x:c>
      <x:c r="M266" s="36" t="str">
        <x:v>Retain read-only; current authority remains 00–34.</x:v>
      </x:c>
      <x:c r="N266" s="36" t="str">
        <x:v>33 risk/continuity context</x:v>
      </x:c>
      <x:c r="O266" s="36" t="str">
        <x:v>00_Official_Baseline/v0.5/99_Source_Markdown/Cartridge_And_Cloud_GDD_v0.5_PCSteam.md</x:v>
      </x:c>
    </x:row>
    <x:row r="267">
      <x:c r="A267" s="27" t="str">
        <x:v>HIST-0263</x:v>
      </x:c>
      <x:c r="B267" s="27" t="str">
        <x:v>00_Official_Baseline</x:v>
      </x:c>
      <x:c r="C267" s="27" t="str">
        <x:v>v0.5</x:v>
      </x:c>
      <x:c r="D267" s="27" t="str"/>
      <x:c r="E267" s="36" t="str">
        <x:v>Cartridge_And_Cloud_Initial_Content_Catalog_v0.2.md</x:v>
      </x:c>
      <x:c r="F267" s="36" t="str">
        <x:v>MD</x:v>
      </x:c>
      <x:c r="G267" s="54" t="n">
        <x:v>2513</x:v>
      </x:c>
      <x:c r="H267" s="36" t="str">
        <x:v>02439c64569896a24e292ec42717612412828e784bf7c1c701fbc477d57b0d51</x:v>
      </x:c>
      <x:c r="I267" s="36" t="n">
        <x:v>1</x:v>
      </x:c>
      <x:c r="J267" s="36" t="str">
        <x:v>Authoring source</x:v>
      </x:c>
      <x:c r="K267" s="36" t="str">
        <x:v>SUPPORTING</x:v>
      </x:c>
      <x:c r="L267" s="36" t="str">
        <x:v>sprint, steam</x:v>
      </x:c>
      <x:c r="M267" s="36" t="str">
        <x:v>Retain read-only; current authority remains 00–34.</x:v>
      </x:c>
      <x:c r="N267" s="36" t="str">
        <x:v>33 risk/continuity context</x:v>
      </x:c>
      <x:c r="O267" s="36" t="str">
        <x:v>00_Official_Baseline/v0.5/99_Source_Markdown/Cartridge_And_Cloud_Initial_Content_Catalog_v0.2.md</x:v>
      </x:c>
    </x:row>
    <x:row r="268">
      <x:c r="A268" s="27" t="str">
        <x:v>HIST-0264</x:v>
      </x:c>
      <x:c r="B268" s="27" t="str">
        <x:v>00_Official_Baseline</x:v>
      </x:c>
      <x:c r="C268" s="27" t="str">
        <x:v>v0.5</x:v>
      </x:c>
      <x:c r="D268" s="27" t="str"/>
      <x:c r="E268" s="36" t="str">
        <x:v>Cartridge_And_Cloud_Legal_Credits_Licenses_Register_v0.4.md</x:v>
      </x:c>
      <x:c r="F268" s="36" t="str">
        <x:v>MD</x:v>
      </x:c>
      <x:c r="G268" s="54" t="n">
        <x:v>2001</x:v>
      </x:c>
      <x:c r="H268" s="36" t="str">
        <x:v>18f78b69a56edee6f8783d32859d6e231d061422d24abd6feefdbf06fe68567b</x:v>
      </x:c>
      <x:c r="I268" s="36" t="n">
        <x:v>1</x:v>
      </x:c>
      <x:c r="J268" s="36" t="str">
        <x:v>Authoring source</x:v>
      </x:c>
      <x:c r="K268" s="36" t="str">
        <x:v>SUPPORTING</x:v>
      </x:c>
      <x:c r="L268" s="36" t="str">
        <x:v>legal, license, sprint, steam</x:v>
      </x:c>
      <x:c r="M268" s="36" t="str">
        <x:v>Retain read-only; current authority remains 00–34.</x:v>
      </x:c>
      <x:c r="N268" s="36" t="str">
        <x:v>33 risk/continuity context</x:v>
      </x:c>
      <x:c r="O268" s="36" t="str">
        <x:v>00_Official_Baseline/v0.5/99_Source_Markdown/Cartridge_And_Cloud_Legal_Credits_Licenses_Register_v0.4.md</x:v>
      </x:c>
    </x:row>
    <x:row r="269">
      <x:c r="A269" s="27" t="str">
        <x:v>HIST-0265</x:v>
      </x:c>
      <x:c r="B269" s="27" t="str">
        <x:v>00_Official_Baseline</x:v>
      </x:c>
      <x:c r="C269" s="27" t="str">
        <x:v>v0.5</x:v>
      </x:c>
      <x:c r="D269" s="27" t="str"/>
      <x:c r="E269" s="36" t="str">
        <x:v>Cartridge_And_Cloud_Localization_Plan_v0.4.md</x:v>
      </x:c>
      <x:c r="F269" s="36" t="str">
        <x:v>MD</x:v>
      </x:c>
      <x:c r="G269" s="54" t="n">
        <x:v>1892</x:v>
      </x:c>
      <x:c r="H269" s="36" t="str">
        <x:v>01a3ddb286f975644985bc0c034eab75ef2ba4a283cd200f2e5dfd673732839f</x:v>
      </x:c>
      <x:c r="I269" s="36" t="n">
        <x:v>1</x:v>
      </x:c>
      <x:c r="J269" s="36" t="str">
        <x:v>Authoring source</x:v>
      </x:c>
      <x:c r="K269" s="36" t="str">
        <x:v>SUPPORTING</x:v>
      </x:c>
      <x:c r="L269" s="36" t="str">
        <x:v>release, sprint, steam</x:v>
      </x:c>
      <x:c r="M269" s="36" t="str">
        <x:v>Retain read-only; current authority remains 00–34.</x:v>
      </x:c>
      <x:c r="N269" s="36" t="str">
        <x:v>33 risk/continuity context</x:v>
      </x:c>
      <x:c r="O269" s="36" t="str">
        <x:v>00_Official_Baseline/v0.5/99_Source_Markdown/Cartridge_And_Cloud_Localization_Plan_v0.4.md</x:v>
      </x:c>
    </x:row>
    <x:row r="270">
      <x:c r="A270" s="27" t="str">
        <x:v>HIST-0266</x:v>
      </x:c>
      <x:c r="B270" s="27" t="str">
        <x:v>00_Official_Baseline</x:v>
      </x:c>
      <x:c r="C270" s="27" t="str">
        <x:v>v0.5</x:v>
      </x:c>
      <x:c r="D270" s="27" t="str"/>
      <x:c r="E270" s="36" t="str">
        <x:v>Cartridge_And_Cloud_Marketing_Plan_v0.4.md</x:v>
      </x:c>
      <x:c r="F270" s="36" t="str">
        <x:v>MD</x:v>
      </x:c>
      <x:c r="G270" s="54" t="n">
        <x:v>2049</x:v>
      </x:c>
      <x:c r="H270" s="36" t="str">
        <x:v>dad726385bd8f67c059d6a77413a82accff668d5502367f7dee52b5dfbb2ac59</x:v>
      </x:c>
      <x:c r="I270" s="36" t="n">
        <x:v>1</x:v>
      </x:c>
      <x:c r="J270" s="36" t="str">
        <x:v>Authoring source</x:v>
      </x:c>
      <x:c r="K270" s="36" t="str">
        <x:v>SUPPORTING</x:v>
      </x:c>
      <x:c r="L270" s="36" t="str">
        <x:v>sprint, steam</x:v>
      </x:c>
      <x:c r="M270" s="36" t="str">
        <x:v>Retain read-only; current authority remains 00–34.</x:v>
      </x:c>
      <x:c r="N270" s="36" t="str">
        <x:v>33 risk/continuity context</x:v>
      </x:c>
      <x:c r="O270" s="36" t="str">
        <x:v>00_Official_Baseline/v0.5/99_Source_Markdown/Cartridge_And_Cloud_Marketing_Plan_v0.4.md</x:v>
      </x:c>
    </x:row>
    <x:row r="271">
      <x:c r="A271" s="27" t="str">
        <x:v>HIST-0267</x:v>
      </x:c>
      <x:c r="B271" s="27" t="str">
        <x:v>00_Official_Baseline</x:v>
      </x:c>
      <x:c r="C271" s="27" t="str">
        <x:v>v0.5</x:v>
      </x:c>
      <x:c r="D271" s="27" t="str"/>
      <x:c r="E271" s="36" t="str">
        <x:v>Cartridge_And_Cloud_Modelo_de_Datos_v0.4.md</x:v>
      </x:c>
      <x:c r="F271" s="36" t="str">
        <x:v>MD</x:v>
      </x:c>
      <x:c r="G271" s="54" t="n">
        <x:v>3193</x:v>
      </x:c>
      <x:c r="H271" s="36" t="str">
        <x:v>e657c304a8f9572abfd1e8240c23860b4feb42b9b314f6384d31993f2f5a01a3</x:v>
      </x:c>
      <x:c r="I271" s="36" t="n">
        <x:v>1</x:v>
      </x:c>
      <x:c r="J271" s="36" t="str">
        <x:v>Authoring source</x:v>
      </x:c>
      <x:c r="K271" s="36" t="str">
        <x:v>SUPPORTING</x:v>
      </x:c>
      <x:c r="L271" s="36" t="str">
        <x:v>save, sprint, steam, validation</x:v>
      </x:c>
      <x:c r="M271" s="36" t="str">
        <x:v>Retain read-only; current authority remains 00–34.</x:v>
      </x:c>
      <x:c r="N271" s="36" t="str">
        <x:v>33 risk/continuity context</x:v>
      </x:c>
      <x:c r="O271" s="36" t="str">
        <x:v>00_Official_Baseline/v0.5/99_Source_Markdown/Cartridge_And_Cloud_Modelo_de_Datos_v0.4.md</x:v>
      </x:c>
    </x:row>
    <x:row r="272">
      <x:c r="A272" s="27" t="str">
        <x:v>HIST-0268</x:v>
      </x:c>
      <x:c r="B272" s="27" t="str">
        <x:v>00_Official_Baseline</x:v>
      </x:c>
      <x:c r="C272" s="27" t="str">
        <x:v>v0.5</x:v>
      </x:c>
      <x:c r="D272" s="27" t="str"/>
      <x:c r="E272" s="36" t="str">
        <x:v>Cartridge_And_Cloud_Package_Manifest_v0.3.md</x:v>
      </x:c>
      <x:c r="F272" s="36" t="str">
        <x:v>MD</x:v>
      </x:c>
      <x:c r="G272" s="54" t="n">
        <x:v>1783</x:v>
      </x:c>
      <x:c r="H272" s="36" t="str">
        <x:v>7ae705ca39b1e39345748c208af4274cbbe9eaf887a249e5666bceefadf9d0d2</x:v>
      </x:c>
      <x:c r="I272" s="36" t="n">
        <x:v>1</x:v>
      </x:c>
      <x:c r="J272" s="36" t="str">
        <x:v>Authoring source</x:v>
      </x:c>
      <x:c r="K272" s="36" t="str">
        <x:v>DIRECT</x:v>
      </x:c>
      <x:c r="L272" s="36" t="str">
        <x:v>build, checksum, handoff, manifest, qa, release, sprint, steam</x:v>
      </x:c>
      <x:c r="M272" s="36" t="str">
        <x:v>Retain read-only; current authority remains 00–34.</x:v>
      </x:c>
      <x:c r="N272" s="36" t="str">
        <x:v>33 risk/continuity context</x:v>
      </x:c>
      <x:c r="O272" s="36" t="str">
        <x:v>00_Official_Baseline/v0.5/99_Source_Markdown/Cartridge_And_Cloud_Package_Manifest_v0.3.md</x:v>
      </x:c>
    </x:row>
    <x:row r="273">
      <x:c r="A273" s="27" t="str">
        <x:v>HIST-0269</x:v>
      </x:c>
      <x:c r="B273" s="27" t="str">
        <x:v>00_Official_Baseline</x:v>
      </x:c>
      <x:c r="C273" s="27" t="str">
        <x:v>v0.5</x:v>
      </x:c>
      <x:c r="D273" s="27" t="str"/>
      <x:c r="E273" s="36" t="str">
        <x:v>Cartridge_And_Cloud_Production_Roadmap_Sprint_Plan_v0.5.md</x:v>
      </x:c>
      <x:c r="F273" s="36" t="str">
        <x:v>MD</x:v>
      </x:c>
      <x:c r="G273" s="54" t="n">
        <x:v>3654</x:v>
      </x:c>
      <x:c r="H273" s="36" t="str">
        <x:v>d0623a03b2ff75fa95ecd6bbaa5fcba0fa8faada31fc2a6b4a569caa50f0e285</x:v>
      </x:c>
      <x:c r="I273" s="36" t="n">
        <x:v>1</x:v>
      </x:c>
      <x:c r="J273" s="36" t="str">
        <x:v>Authoring source</x:v>
      </x:c>
      <x:c r="K273" s="36" t="str">
        <x:v>DIRECT</x:v>
      </x:c>
      <x:c r="L273" s="36" t="str">
        <x:v>acceptance, backup, build, closure, dependencia, qa, roadmap, save, sprint, steam, test, validation</x:v>
      </x:c>
      <x:c r="M273" s="36" t="str">
        <x:v>Retain read-only; current authority remains 00–34.</x:v>
      </x:c>
      <x:c r="N273" s="36" t="str">
        <x:v>33 risk/continuity context</x:v>
      </x:c>
      <x:c r="O273" s="36" t="str">
        <x:v>00_Official_Baseline/v0.5/99_Source_Markdown/Cartridge_And_Cloud_Production_Roadmap_Sprint_Plan_v0.5.md</x:v>
      </x:c>
    </x:row>
    <x:row r="274">
      <x:c r="A274" s="27" t="str">
        <x:v>HIST-0270</x:v>
      </x:c>
      <x:c r="B274" s="27" t="str">
        <x:v>00_Official_Baseline</x:v>
      </x:c>
      <x:c r="C274" s="27" t="str">
        <x:v>v0.5</x:v>
      </x:c>
      <x:c r="D274" s="27" t="str"/>
      <x:c r="E274" s="36" t="str">
        <x:v>Cartridge_And_Cloud_Project_Binder_Indice_Maestro_v0.5.md</x:v>
      </x:c>
      <x:c r="F274" s="36" t="str">
        <x:v>MD</x:v>
      </x:c>
      <x:c r="G274" s="54" t="n">
        <x:v>2844</x:v>
      </x:c>
      <x:c r="H274" s="36" t="str">
        <x:v>fa8494254188fa107542500dc097635c85cdc6b92152b41538cb61af7f7f4802</x:v>
      </x:c>
      <x:c r="I274" s="36" t="n">
        <x:v>1</x:v>
      </x:c>
      <x:c r="J274" s="36" t="str">
        <x:v>Authoring source</x:v>
      </x:c>
      <x:c r="K274" s="36" t="str">
        <x:v>DIRECT</x:v>
      </x:c>
      <x:c r="L274" s="36" t="str">
        <x:v>adr, build, closure, handoff, legal, qa, release, roadmap, sprint, steam, test</x:v>
      </x:c>
      <x:c r="M274" s="36" t="str">
        <x:v>Retain read-only; current authority remains 00–34.</x:v>
      </x:c>
      <x:c r="N274" s="36" t="str">
        <x:v>33 risk/continuity context</x:v>
      </x:c>
      <x:c r="O274" s="36" t="str">
        <x:v>00_Official_Baseline/v0.5/99_Source_Markdown/Cartridge_And_Cloud_Project_Binder_Indice_Maestro_v0.5.md</x:v>
      </x:c>
    </x:row>
    <x:row r="275">
      <x:c r="A275" s="27" t="str">
        <x:v>HIST-0271</x:v>
      </x:c>
      <x:c r="B275" s="27" t="str">
        <x:v>00_Official_Baseline</x:v>
      </x:c>
      <x:c r="C275" s="27" t="str">
        <x:v>v0.5</x:v>
      </x:c>
      <x:c r="D275" s="27" t="str"/>
      <x:c r="E275" s="36" t="str">
        <x:v>Cartridge_And_Cloud_QA_Testing_Plan_v0.5.md</x:v>
      </x:c>
      <x:c r="F275" s="36" t="str">
        <x:v>MD</x:v>
      </x:c>
      <x:c r="G275" s="54" t="n">
        <x:v>2853</x:v>
      </x:c>
      <x:c r="H275" s="36" t="str">
        <x:v>c19ab67f26aae4b44fd5c6d431fb163ddbfccefcbcc0ca68518826040b534f1c</x:v>
      </x:c>
      <x:c r="I275" s="36" t="n">
        <x:v>1</x:v>
      </x:c>
      <x:c r="J275" s="36" t="str">
        <x:v>Authoring source</x:v>
      </x:c>
      <x:c r="K275" s="36" t="str">
        <x:v>DIRECT</x:v>
      </x:c>
      <x:c r="L275" s="36" t="str">
        <x:v>acceptance, build, qa, save, sprint, steam, test</x:v>
      </x:c>
      <x:c r="M275" s="36" t="str">
        <x:v>Retain read-only; current authority remains 00–34.</x:v>
      </x:c>
      <x:c r="N275" s="36" t="str">
        <x:v>33 risk/continuity context</x:v>
      </x:c>
      <x:c r="O275" s="36" t="str">
        <x:v>00_Official_Baseline/v0.5/99_Source_Markdown/Cartridge_And_Cloud_QA_Testing_Plan_v0.5.md</x:v>
      </x:c>
    </x:row>
    <x:row r="276">
      <x:c r="A276" s="27" t="str">
        <x:v>HIST-0272</x:v>
      </x:c>
      <x:c r="B276" s="27" t="str">
        <x:v>00_Official_Baseline</x:v>
      </x:c>
      <x:c r="C276" s="27" t="str">
        <x:v>v0.5</x:v>
      </x:c>
      <x:c r="D276" s="27" t="str"/>
      <x:c r="E276" s="36" t="str">
        <x:v>Cartridge_And_Cloud_Steam_Publishing_Plan_v0.4.md</x:v>
      </x:c>
      <x:c r="F276" s="36" t="str">
        <x:v>MD</x:v>
      </x:c>
      <x:c r="G276" s="54" t="n">
        <x:v>2025</x:v>
      </x:c>
      <x:c r="H276" s="36" t="str">
        <x:v>19664d4092ea89898c5bc37483a0b1aba6f473abbfa02c2794df8f2dd482058d</x:v>
      </x:c>
      <x:c r="I276" s="36" t="n">
        <x:v>1</x:v>
      </x:c>
      <x:c r="J276" s="36" t="str">
        <x:v>Authoring source</x:v>
      </x:c>
      <x:c r="K276" s="36" t="str">
        <x:v>DIRECT</x:v>
      </x:c>
      <x:c r="L276" s="36" t="str">
        <x:v>build, legal, release, sprint, steam</x:v>
      </x:c>
      <x:c r="M276" s="36" t="str">
        <x:v>Retain read-only; current authority remains 00–34.</x:v>
      </x:c>
      <x:c r="N276" s="36" t="str">
        <x:v>33 risk/continuity context</x:v>
      </x:c>
      <x:c r="O276" s="36" t="str">
        <x:v>00_Official_Baseline/v0.5/99_Source_Markdown/Cartridge_And_Cloud_Steam_Publishing_Plan_v0.4.md</x:v>
      </x:c>
    </x:row>
    <x:row r="277">
      <x:c r="A277" s="27" t="str">
        <x:v>HIST-0273</x:v>
      </x:c>
      <x:c r="B277" s="27" t="str">
        <x:v>00_Official_Baseline</x:v>
      </x:c>
      <x:c r="C277" s="27" t="str">
        <x:v>v0.5</x:v>
      </x:c>
      <x:c r="D277" s="27" t="str"/>
      <x:c r="E277" s="36" t="str">
        <x:v>Cartridge_And_Cloud_TDD_v0.5_Technical_Design_Document.md</x:v>
      </x:c>
      <x:c r="F277" s="36" t="str">
        <x:v>MD</x:v>
      </x:c>
      <x:c r="G277" s="54" t="n">
        <x:v>4246</x:v>
      </x:c>
      <x:c r="H277" s="36" t="str">
        <x:v>2067d16cac0aae694c69895371dca234c4daaa5258f13922844214283bd09e25</x:v>
      </x:c>
      <x:c r="I277" s="36" t="n">
        <x:v>1</x:v>
      </x:c>
      <x:c r="J277" s="36" t="str">
        <x:v>Authoring source</x:v>
      </x:c>
      <x:c r="K277" s="36" t="str">
        <x:v>DIRECT</x:v>
      </x:c>
      <x:c r="L277" s="36" t="str">
        <x:v>build, dependencia, riesgo, save, sprint, steam, test</x:v>
      </x:c>
      <x:c r="M277" s="36" t="str">
        <x:v>Retain read-only; current authority remains 00–34.</x:v>
      </x:c>
      <x:c r="N277" s="36" t="str">
        <x:v>33 risk/continuity context</x:v>
      </x:c>
      <x:c r="O277" s="36" t="str">
        <x:v>00_Official_Baseline/v0.5/99_Source_Markdown/Cartridge_And_Cloud_TDD_v0.5_Technical_Design_Document.md</x:v>
      </x:c>
    </x:row>
    <x:row r="278">
      <x:c r="A278" s="27" t="str">
        <x:v>HIST-0274</x:v>
      </x:c>
      <x:c r="B278" s="27" t="str">
        <x:v>00_Official_Baseline</x:v>
      </x:c>
      <x:c r="C278" s="27" t="str">
        <x:v>v0.5</x:v>
      </x:c>
      <x:c r="D278" s="27" t="str"/>
      <x:c r="E278" s="36" t="str">
        <x:v>Cartridge_And_Cloud_UI_Style_Guide_v0.4.md</x:v>
      </x:c>
      <x:c r="F278" s="36" t="str">
        <x:v>MD</x:v>
      </x:c>
      <x:c r="G278" s="54" t="n">
        <x:v>2262</x:v>
      </x:c>
      <x:c r="H278" s="36" t="str">
        <x:v>8b3346d21414eb370a5e98eb7871f5083cf7bc8d4214ab5cff7ae87ff0b46a22</x:v>
      </x:c>
      <x:c r="I278" s="36" t="n">
        <x:v>1</x:v>
      </x:c>
      <x:c r="J278" s="36" t="str">
        <x:v>Authoring source</x:v>
      </x:c>
      <x:c r="K278" s="36" t="str">
        <x:v>SUPPORTING</x:v>
      </x:c>
      <x:c r="L278" s="36" t="str">
        <x:v>sprint, steam</x:v>
      </x:c>
      <x:c r="M278" s="36" t="str">
        <x:v>Retain read-only; current authority remains 00–34.</x:v>
      </x:c>
      <x:c r="N278" s="36" t="str">
        <x:v>33 risk/continuity context</x:v>
      </x:c>
      <x:c r="O278" s="36" t="str">
        <x:v>00_Official_Baseline/v0.5/99_Source_Markdown/Cartridge_And_Cloud_UI_Style_Guide_v0.4.md</x:v>
      </x:c>
    </x:row>
    <x:row r="279">
      <x:c r="A279" s="27" t="str">
        <x:v>HIST-0275</x:v>
      </x:c>
      <x:c r="B279" s="27" t="str">
        <x:v>00_Official_Baseline</x:v>
      </x:c>
      <x:c r="C279" s="27" t="str">
        <x:v>v0.5</x:v>
      </x:c>
      <x:c r="D279" s="27" t="str"/>
      <x:c r="E279" s="36" t="str">
        <x:v>Cartridge_And_Cloud_Unity_Project_Setup_Guide_v0.5.md</x:v>
      </x:c>
      <x:c r="F279" s="36" t="str">
        <x:v>MD</x:v>
      </x:c>
      <x:c r="G279" s="54" t="n">
        <x:v>2491</x:v>
      </x:c>
      <x:c r="H279" s="36" t="str">
        <x:v>cb4a9ea65fc1c8b95df59019c3bf6887cf220606980d221904494dfb057cf6ca</x:v>
      </x:c>
      <x:c r="I279" s="36" t="n">
        <x:v>1</x:v>
      </x:c>
      <x:c r="J279" s="36" t="str">
        <x:v>Authoring source</x:v>
      </x:c>
      <x:c r="K279" s="36" t="str">
        <x:v>SUPPORTING</x:v>
      </x:c>
      <x:c r="L279" s="36" t="str">
        <x:v>build, sprint, steam, test</x:v>
      </x:c>
      <x:c r="M279" s="36" t="str">
        <x:v>Retain read-only; current authority remains 00–34.</x:v>
      </x:c>
      <x:c r="N279" s="36" t="str">
        <x:v>33 risk/continuity context</x:v>
      </x:c>
      <x:c r="O279" s="36" t="str">
        <x:v>00_Official_Baseline/v0.5/99_Source_Markdown/Cartridge_And_Cloud_Unity_Project_Setup_Guide_v0.5.md</x:v>
      </x:c>
    </x:row>
    <x:row r="280">
      <x:c r="A280" s="27" t="str">
        <x:v>HIST-0276</x:v>
      </x:c>
      <x:c r="B280" s="27" t="str">
        <x:v>00_Official_Baseline</x:v>
      </x:c>
      <x:c r="C280" s="27" t="str">
        <x:v>v0.5</x:v>
      </x:c>
      <x:c r="D280" s="27" t="str"/>
      <x:c r="E280" s="36" t="str">
        <x:v>Cartridge_And_Cloud_UX_Flow_v0.4.md</x:v>
      </x:c>
      <x:c r="F280" s="36" t="str">
        <x:v>MD</x:v>
      </x:c>
      <x:c r="G280" s="54" t="n">
        <x:v>3023</x:v>
      </x:c>
      <x:c r="H280" s="36" t="str">
        <x:v>43143ab9e7504624ffdb4a2e9612332ee795f91ae05ea5d6448e5ce2f018bba8</x:v>
      </x:c>
      <x:c r="I280" s="36" t="n">
        <x:v>1</x:v>
      </x:c>
      <x:c r="J280" s="36" t="str">
        <x:v>Authoring source</x:v>
      </x:c>
      <x:c r="K280" s="36" t="str">
        <x:v>SUPPORTING</x:v>
      </x:c>
      <x:c r="L280" s="36" t="str">
        <x:v>sprint, steam, test</x:v>
      </x:c>
      <x:c r="M280" s="36" t="str">
        <x:v>Retain read-only; current authority remains 00–34.</x:v>
      </x:c>
      <x:c r="N280" s="36" t="str">
        <x:v>33 risk/continuity context</x:v>
      </x:c>
      <x:c r="O280" s="36" t="str">
        <x:v>00_Official_Baseline/v0.5/99_Source_Markdown/Cartridge_And_Cloud_UX_Flow_v0.4.md</x:v>
      </x:c>
    </x:row>
    <x:row r="281">
      <x:c r="A281" s="27" t="str">
        <x:v>HIST-0277</x:v>
      </x:c>
      <x:c r="B281" s="27" t="str">
        <x:v>00_Official_Baseline</x:v>
      </x:c>
      <x:c r="C281" s="27" t="str">
        <x:v>v0.5</x:v>
      </x:c>
      <x:c r="D281" s="27" t="str"/>
      <x:c r="E281" s="36" t="str">
        <x:v>Cartridge_And_Cloud_Vertical_Slice_Specification_v0.3.md</x:v>
      </x:c>
      <x:c r="F281" s="36" t="str">
        <x:v>MD</x:v>
      </x:c>
      <x:c r="G281" s="54" t="n">
        <x:v>2813</x:v>
      </x:c>
      <x:c r="H281" s="36" t="str">
        <x:v>17213417be3b7b2b95f8e3841d09a6679eee689bb62a35335e3f318135c15e46</x:v>
      </x:c>
      <x:c r="I281" s="36" t="n">
        <x:v>1</x:v>
      </x:c>
      <x:c r="J281" s="36" t="str">
        <x:v>Authoring source</x:v>
      </x:c>
      <x:c r="K281" s="36" t="str">
        <x:v>DIRECT</x:v>
      </x:c>
      <x:c r="L281" s="36" t="str">
        <x:v>build, save, sprint, steam, test</x:v>
      </x:c>
      <x:c r="M281" s="36" t="str">
        <x:v>Retain read-only; current authority remains 00–34.</x:v>
      </x:c>
      <x:c r="N281" s="36" t="str">
        <x:v>33 risk/continuity context</x:v>
      </x:c>
      <x:c r="O281" s="36" t="str">
        <x:v>00_Official_Baseline/v0.5/99_Source_Markdown/Cartridge_And_Cloud_Vertical_Slice_Specification_v0.3.md</x:v>
      </x:c>
    </x:row>
    <x:row r="282">
      <x:c r="A282" s="27" t="str">
        <x:v>HIST-0278</x:v>
      </x:c>
      <x:c r="B282" s="27" t="str">
        <x:v>00_Official_Baseline</x:v>
      </x:c>
      <x:c r="C282" s="27" t="str">
        <x:v>v0.5</x:v>
      </x:c>
      <x:c r="D282" s="27" t="str"/>
      <x:c r="E282" s="36" t="str">
        <x:v>cc_pdf.css</x:v>
      </x:c>
      <x:c r="F282" s="36" t="str">
        <x:v>CSS</x:v>
      </x:c>
      <x:c r="G282" s="54" t="n">
        <x:v>1616</x:v>
      </x:c>
      <x:c r="H282" s="36" t="str">
        <x:v>536f2b11a0c24e052a559a7376f714389a4f6f6f533fc40d5fdbf82054dd7a34</x:v>
      </x:c>
      <x:c r="I282" s="36" t="n">
        <x:v>1</x:v>
      </x:c>
      <x:c r="J282" s="36" t="str">
        <x:v>Authoring source</x:v>
      </x:c>
      <x:c r="K282" s="36" t="str">
        <x:v>CONTEXT / PRESERVED</x:v>
      </x:c>
      <x:c r="L282" s="36" t="str"/>
      <x:c r="M282" s="36" t="str">
        <x:v>Retain read-only; current authority remains 00–34.</x:v>
      </x:c>
      <x:c r="N282" s="36" t="str">
        <x:v>Preserved context; not mined as normative authority.</x:v>
      </x:c>
      <x:c r="O282" s="36" t="str">
        <x:v>00_Official_Baseline/v0.5/99_Source_Markdown/cc_pdf.css</x:v>
      </x:c>
    </x:row>
    <x:row r="283">
      <x:c r="A283" s="27" t="str">
        <x:v>HIST-0279</x:v>
      </x:c>
      <x:c r="B283" s="27" t="str">
        <x:v>00_Official_Baseline</x:v>
      </x:c>
      <x:c r="C283" s="27" t="str">
        <x:v>v0.5</x:v>
      </x:c>
      <x:c r="D283" s="27" t="str"/>
      <x:c r="E283" s="36" t="str">
        <x:v>cc_style.css</x:v>
      </x:c>
      <x:c r="F283" s="36" t="str">
        <x:v>CSS</x:v>
      </x:c>
      <x:c r="G283" s="54" t="n">
        <x:v>197</x:v>
      </x:c>
      <x:c r="H283" s="36" t="str">
        <x:v>67c21749d4e37c23fdef4c0916f4429f2519aa7c8f69730b6cfcabc5fac488b8</x:v>
      </x:c>
      <x:c r="I283" s="36" t="n">
        <x:v>1</x:v>
      </x:c>
      <x:c r="J283" s="36" t="str">
        <x:v>Authoring source</x:v>
      </x:c>
      <x:c r="K283" s="36" t="str">
        <x:v>CONTEXT / PRESERVED</x:v>
      </x:c>
      <x:c r="L283" s="36" t="str"/>
      <x:c r="M283" s="36" t="str">
        <x:v>Retain read-only; current authority remains 00–34.</x:v>
      </x:c>
      <x:c r="N283" s="36" t="str">
        <x:v>Preserved context; not mined as normative authority.</x:v>
      </x:c>
      <x:c r="O283" s="36" t="str">
        <x:v>00_Official_Baseline/v0.5/99_Source_Markdown/cc_style.css</x:v>
      </x:c>
    </x:row>
    <x:row r="284">
      <x:c r="A284" s="27" t="str">
        <x:v>HIST-0280</x:v>
      </x:c>
      <x:c r="B284" s="27" t="str">
        <x:v>00_Official_Baseline</x:v>
      </x:c>
      <x:c r="C284" s="27" t="str">
        <x:v>v0.5</x:v>
      </x:c>
      <x:c r="D284" s="27" t="str"/>
      <x:c r="E284" s="36" t="str">
        <x:v>BASELINE_CHANGELOG_v0.4_to_v0.5.md</x:v>
      </x:c>
      <x:c r="F284" s="36" t="str">
        <x:v>MD</x:v>
      </x:c>
      <x:c r="G284" s="54" t="n">
        <x:v>624</x:v>
      </x:c>
      <x:c r="H284" s="36" t="str">
        <x:v>8d6ba200548c298501c95844d723d79a3337a66cf1ae15b5b9937981325884d9</x:v>
      </x:c>
      <x:c r="I284" s="36" t="n">
        <x:v>1</x:v>
      </x:c>
      <x:c r="J284" s="36" t="str">
        <x:v>Published historical baseline</x:v>
      </x:c>
      <x:c r="K284" s="36" t="str">
        <x:v>DIRECT</x:v>
      </x:c>
      <x:c r="L284" s="36" t="str">
        <x:v>closure, handoff, qa, roadmap, save, sprint</x:v>
      </x:c>
      <x:c r="M284" s="36" t="str">
        <x:v>Retain read-only; current authority remains 00–34.</x:v>
      </x:c>
      <x:c r="N284" s="36" t="str">
        <x:v>33 risk/continuity context</x:v>
      </x:c>
      <x:c r="O284" s="36" t="str">
        <x:v>00_Official_Baseline/v0.5/BASELINE_CHANGELOG_v0.4_to_v0.5.md</x:v>
      </x:c>
    </x:row>
    <x:row r="285">
      <x:c r="A285" s="27" t="str">
        <x:v>HIST-0281</x:v>
      </x:c>
      <x:c r="B285" s="27" t="str">
        <x:v>00_Official_Baseline</x:v>
      </x:c>
      <x:c r="C285" s="27" t="str">
        <x:v>v0.5</x:v>
      </x:c>
      <x:c r="D285" s="27" t="str"/>
      <x:c r="E285" s="36" t="str">
        <x:v>BASELINE_INTEGRITY_REPORT.md</x:v>
      </x:c>
      <x:c r="F285" s="36" t="str">
        <x:v>MD</x:v>
      </x:c>
      <x:c r="G285" s="54" t="n">
        <x:v>585</x:v>
      </x:c>
      <x:c r="H285" s="36" t="str">
        <x:v>efe1e38cdfc54408e0a2aac6479630dee539d8d41c4422b17eed6b9dfa87fd7c</x:v>
      </x:c>
      <x:c r="I285" s="36" t="n">
        <x:v>1</x:v>
      </x:c>
      <x:c r="J285" s="36" t="str">
        <x:v>Published historical baseline</x:v>
      </x:c>
      <x:c r="K285" s="36" t="str">
        <x:v>SUPPORTING</x:v>
      </x:c>
      <x:c r="L285" s="36" t="str">
        <x:v>sprint, validation</x:v>
      </x:c>
      <x:c r="M285" s="36" t="str">
        <x:v>Retain read-only; current authority remains 00–34.</x:v>
      </x:c>
      <x:c r="N285" s="36" t="str">
        <x:v>33 risk/continuity context</x:v>
      </x:c>
      <x:c r="O285" s="36" t="str">
        <x:v>00_Official_Baseline/v0.5/BASELINE_INTEGRITY_REPORT.md</x:v>
      </x:c>
    </x:row>
    <x:row r="286">
      <x:c r="A286" s="27" t="str">
        <x:v>HIST-0282</x:v>
      </x:c>
      <x:c r="B286" s="27" t="str">
        <x:v>00_Official_Baseline</x:v>
      </x:c>
      <x:c r="C286" s="27" t="str">
        <x:v>v0.5</x:v>
      </x:c>
      <x:c r="D286" s="27" t="str"/>
      <x:c r="E286" s="36" t="str">
        <x:v>BASELINE_MANIFEST.csv</x:v>
      </x:c>
      <x:c r="F286" s="36" t="str">
        <x:v>CSV</x:v>
      </x:c>
      <x:c r="G286" s="54" t="n">
        <x:v>21914</x:v>
      </x:c>
      <x:c r="H286" s="36" t="str">
        <x:v>775d794b8a609f349a0047372613fd3a88fa4bb818e28a030c81f45ec6f36370</x:v>
      </x:c>
      <x:c r="I286" s="36" t="n">
        <x:v>1</x:v>
      </x:c>
      <x:c r="J286" s="36" t="str">
        <x:v>Published historical baseline</x:v>
      </x:c>
      <x:c r="K286" s="36" t="str">
        <x:v>DIRECT</x:v>
      </x:c>
      <x:c r="L286" s="36" t="str">
        <x:v>acceptance, adr, build, closure, current_status, handoff, legal, license, manifest, qa, release, roadmap, save, sprint, steam, test, validation</x:v>
      </x:c>
      <x:c r="M286" s="36" t="str">
        <x:v>Retain read-only; current authority remains 00–34.</x:v>
      </x:c>
      <x:c r="N286" s="36" t="str">
        <x:v>33 risk/continuity context</x:v>
      </x:c>
      <x:c r="O286" s="36" t="str">
        <x:v>00_Official_Baseline/v0.5/BASELINE_MANIFEST.csv</x:v>
      </x:c>
    </x:row>
    <x:row r="287">
      <x:c r="A287" s="27" t="str">
        <x:v>HIST-0283</x:v>
      </x:c>
      <x:c r="B287" s="27" t="str">
        <x:v>00_Official_Baseline</x:v>
      </x:c>
      <x:c r="C287" s="27" t="str">
        <x:v>v0.5</x:v>
      </x:c>
      <x:c r="D287" s="27" t="str"/>
      <x:c r="E287" s="36" t="str">
        <x:v>CHECKSUMS_SHA256.txt</x:v>
      </x:c>
      <x:c r="F287" s="36" t="str">
        <x:v>TXT</x:v>
      </x:c>
      <x:c r="G287" s="54" t="n">
        <x:v>20623</x:v>
      </x:c>
      <x:c r="H287" s="36" t="str">
        <x:v>14fd238f4a1c84ac2414fb856bb69b84b18f008e1c23de6e08b6122e9e822b46</x:v>
      </x:c>
      <x:c r="I287" s="36" t="n">
        <x:v>1</x:v>
      </x:c>
      <x:c r="J287" s="36" t="str">
        <x:v>Published historical baseline</x:v>
      </x:c>
      <x:c r="K287" s="36" t="str">
        <x:v>DIRECT</x:v>
      </x:c>
      <x:c r="L287" s="36" t="str">
        <x:v>acceptance, adr, build, checksum, closure, current_status, handoff, legal, license, manifest, qa, release, roadmap, save, sprint, steam, test, validation</x:v>
      </x:c>
      <x:c r="M287" s="36" t="str">
        <x:v>Retain read-only; current authority remains 00–34.</x:v>
      </x:c>
      <x:c r="N287" s="36" t="str">
        <x:v>33 risk/continuity context</x:v>
      </x:c>
      <x:c r="O287" s="36" t="str">
        <x:v>00_Official_Baseline/v0.5/CHECKSUMS_SHA256.txt</x:v>
      </x:c>
    </x:row>
    <x:row r="288">
      <x:c r="A288" s="27" t="str">
        <x:v>HIST-0284</x:v>
      </x:c>
      <x:c r="B288" s="27" t="str">
        <x:v>00_Official_Baseline</x:v>
      </x:c>
      <x:c r="C288" s="27" t="str">
        <x:v>v0.5</x:v>
      </x:c>
      <x:c r="D288" s="27" t="str"/>
      <x:c r="E288" s="36" t="str">
        <x:v>CURRENT_PROJECT_HANDOFF.md</x:v>
      </x:c>
      <x:c r="F288" s="36" t="str">
        <x:v>MD</x:v>
      </x:c>
      <x:c r="G288" s="54" t="n">
        <x:v>2275</x:v>
      </x:c>
      <x:c r="H288" s="36" t="str">
        <x:v>9c251d0f3c14584f5da35a50ab3a5b62564e6f1f656d903fa2590eda74e2e396</x:v>
      </x:c>
      <x:c r="I288" s="36" t="n">
        <x:v>2</x:v>
      </x:c>
      <x:c r="J288" s="36" t="str">
        <x:v>Published historical baseline</x:v>
      </x:c>
      <x:c r="K288" s="36" t="str">
        <x:v>DIRECT</x:v>
      </x:c>
      <x:c r="L288" s="36" t="str">
        <x:v>acceptance, build, checksum, handoff, qa, release, roadmap, save, sprint, test</x:v>
      </x:c>
      <x:c r="M288" s="36" t="str">
        <x:v>Retain read-only; current authority remains 00–34.</x:v>
      </x:c>
      <x:c r="N288" s="36" t="str">
        <x:v>33 risk/continuity context</x:v>
      </x:c>
      <x:c r="O288" s="36" t="str">
        <x:v>00_Official_Baseline/v0.5/CURRENT_PROJECT_HANDOFF.md</x:v>
      </x:c>
    </x:row>
    <x:row r="289">
      <x:c r="A289" s="27" t="str">
        <x:v>HIST-0285</x:v>
      </x:c>
      <x:c r="B289" s="27" t="str">
        <x:v>00_Official_Baseline</x:v>
      </x:c>
      <x:c r="C289" s="27" t="str">
        <x:v>v0.5</x:v>
      </x:c>
      <x:c r="D289" s="27" t="str"/>
      <x:c r="E289" s="36" t="str">
        <x:v>DOCUMENT_LIFECYCLE_POLICY.md</x:v>
      </x:c>
      <x:c r="F289" s="36" t="str">
        <x:v>MD</x:v>
      </x:c>
      <x:c r="G289" s="54" t="n">
        <x:v>309</x:v>
      </x:c>
      <x:c r="H289" s="36" t="str">
        <x:v>840f727bf9425d743103ba2048e16c458b378fcd0951fbc44bd1eedb4792a98a</x:v>
      </x:c>
      <x:c r="I289" s="36" t="n">
        <x:v>1</x:v>
      </x:c>
      <x:c r="J289" s="36" t="str">
        <x:v>Published historical baseline</x:v>
      </x:c>
      <x:c r="K289" s="36" t="str">
        <x:v>CONTEXT / PRESERVED</x:v>
      </x:c>
      <x:c r="L289" s="36" t="str"/>
      <x:c r="M289" s="36" t="str">
        <x:v>Retain read-only; current authority remains 00–34.</x:v>
      </x:c>
      <x:c r="N289" s="36" t="str">
        <x:v>Preserved context; not mined as normative authority.</x:v>
      </x:c>
      <x:c r="O289" s="36" t="str">
        <x:v>00_Official_Baseline/v0.5/DOCUMENT_LIFECYCLE_POLICY.md</x:v>
      </x:c>
    </x:row>
    <x:row r="290">
      <x:c r="A290" s="27" t="str">
        <x:v>HIST-0286</x:v>
      </x:c>
      <x:c r="B290" s="27" t="str">
        <x:v>00_Official_Baseline</x:v>
      </x:c>
      <x:c r="C290" s="27" t="str">
        <x:v>v0.5</x:v>
      </x:c>
      <x:c r="D290" s="27" t="str"/>
      <x:c r="E290" s="36" t="str">
        <x:v>DOCUMENTATION_VALIDATION_REPORT.md</x:v>
      </x:c>
      <x:c r="F290" s="36" t="str">
        <x:v>MD</x:v>
      </x:c>
      <x:c r="G290" s="54" t="n">
        <x:v>862</x:v>
      </x:c>
      <x:c r="H290" s="36" t="str">
        <x:v>b608e9caaaec26accc854775997781e2c88f32385160430c8ae5092fbe0ae0a8</x:v>
      </x:c>
      <x:c r="I290" s="36" t="n">
        <x:v>1</x:v>
      </x:c>
      <x:c r="J290" s="36" t="str">
        <x:v>Published historical baseline</x:v>
      </x:c>
      <x:c r="K290" s="36" t="str">
        <x:v>DIRECT</x:v>
      </x:c>
      <x:c r="L290" s="36" t="str">
        <x:v>adr, build, checksum, handoff, manifest, sprint, validation</x:v>
      </x:c>
      <x:c r="M290" s="36" t="str">
        <x:v>Retain read-only; current authority remains 00–34.</x:v>
      </x:c>
      <x:c r="N290" s="36" t="str">
        <x:v>33 risk/continuity context</x:v>
      </x:c>
      <x:c r="O290" s="36" t="str">
        <x:v>00_Official_Baseline/v0.5/DOCUMENTATION_VALIDATION_REPORT.md</x:v>
      </x:c>
    </x:row>
    <x:row r="291">
      <x:c r="A291" s="27" t="str">
        <x:v>HIST-0287</x:v>
      </x:c>
      <x:c r="B291" s="27" t="str">
        <x:v>00_Official_Baseline</x:v>
      </x:c>
      <x:c r="C291" s="27" t="str">
        <x:v>v0.5</x:v>
      </x:c>
      <x:c r="D291" s="27" t="str"/>
      <x:c r="E291" s="36" t="str">
        <x:v>MIGRATION_SUMMARY.md</x:v>
      </x:c>
      <x:c r="F291" s="36" t="str">
        <x:v>MD</x:v>
      </x:c>
      <x:c r="G291" s="54" t="n">
        <x:v>243</x:v>
      </x:c>
      <x:c r="H291" s="36" t="str">
        <x:v>7dcfcc5f92c1e3f1960661e9c9996c4a7a9e18e6d2d8f2977befa991b61269c7</x:v>
      </x:c>
      <x:c r="I291" s="36" t="n">
        <x:v>1</x:v>
      </x:c>
      <x:c r="J291" s="36" t="str">
        <x:v>Published historical baseline</x:v>
      </x:c>
      <x:c r="K291" s="36" t="str">
        <x:v>SUPPORTING</x:v>
      </x:c>
      <x:c r="L291" s="36" t="str">
        <x:v>closure, handoff, qa, sprint</x:v>
      </x:c>
      <x:c r="M291" s="36" t="str">
        <x:v>Retain read-only; current authority remains 00–34.</x:v>
      </x:c>
      <x:c r="N291" s="36" t="str">
        <x:v>33 risk/continuity context</x:v>
      </x:c>
      <x:c r="O291" s="36" t="str">
        <x:v>00_Official_Baseline/v0.5/MIGRATION_SUMMARY.md</x:v>
      </x:c>
    </x:row>
    <x:row r="292">
      <x:c r="A292" s="27" t="str">
        <x:v>HIST-0288</x:v>
      </x:c>
      <x:c r="B292" s="27" t="str">
        <x:v>00_Official_Baseline</x:v>
      </x:c>
      <x:c r="C292" s="27" t="str">
        <x:v>v0.5</x:v>
      </x:c>
      <x:c r="D292" s="27" t="str"/>
      <x:c r="E292" s="36" t="str">
        <x:v>PACKAGE_MANIFEST.md</x:v>
      </x:c>
      <x:c r="F292" s="36" t="str">
        <x:v>MD</x:v>
      </x:c>
      <x:c r="G292" s="54" t="n">
        <x:v>814</x:v>
      </x:c>
      <x:c r="H292" s="36" t="str">
        <x:v>8bb540cf6f6eb6e6f079cf55786ab3b53f4ec042bb1dd01147edb03222f306c5</x:v>
      </x:c>
      <x:c r="I292" s="36" t="n">
        <x:v>1</x:v>
      </x:c>
      <x:c r="J292" s="36" t="str">
        <x:v>Published historical baseline</x:v>
      </x:c>
      <x:c r="K292" s="36" t="str">
        <x:v>DIRECT</x:v>
      </x:c>
      <x:c r="L292" s="36" t="str">
        <x:v>build, closure, manifest, qa, release, sprint, test</x:v>
      </x:c>
      <x:c r="M292" s="36" t="str">
        <x:v>Retain read-only; current authority remains 00–34.</x:v>
      </x:c>
      <x:c r="N292" s="36" t="str">
        <x:v>33 risk/continuity context</x:v>
      </x:c>
      <x:c r="O292" s="36" t="str">
        <x:v>00_Official_Baseline/v0.5/PACKAGE_MANIFEST.md</x:v>
      </x:c>
    </x:row>
    <x:row r="293">
      <x:c r="A293" s="27" t="str">
        <x:v>HIST-0289</x:v>
      </x:c>
      <x:c r="B293" s="27" t="str">
        <x:v>00_Official_Baseline</x:v>
      </x:c>
      <x:c r="C293" s="27" t="str">
        <x:v>v0.5</x:v>
      </x:c>
      <x:c r="D293" s="27" t="str"/>
      <x:c r="E293" s="36" t="str">
        <x:v>PDF_VALIDATION_REPORT.md</x:v>
      </x:c>
      <x:c r="F293" s="36" t="str">
        <x:v>MD</x:v>
      </x:c>
      <x:c r="G293" s="54" t="n">
        <x:v>2614</x:v>
      </x:c>
      <x:c r="H293" s="36" t="str">
        <x:v>c87154f12568ab9fd42365b3d59de5a41944370240380aea1058870ee3004ff5</x:v>
      </x:c>
      <x:c r="I293" s="36" t="n">
        <x:v>1</x:v>
      </x:c>
      <x:c r="J293" s="36" t="str">
        <x:v>Published historical baseline</x:v>
      </x:c>
      <x:c r="K293" s="36" t="str">
        <x:v>DIRECT</x:v>
      </x:c>
      <x:c r="L293" s="36" t="str">
        <x:v>build, legal, license, manifest, qa, release, roadmap, sprint, steam, test, validation</x:v>
      </x:c>
      <x:c r="M293" s="36" t="str">
        <x:v>Retain read-only; current authority remains 00–34.</x:v>
      </x:c>
      <x:c r="N293" s="36" t="str">
        <x:v>33 risk/continuity context</x:v>
      </x:c>
      <x:c r="O293" s="36" t="str">
        <x:v>00_Official_Baseline/v0.5/PDF_VALIDATION_REPORT.md</x:v>
      </x:c>
    </x:row>
    <x:row r="294">
      <x:c r="A294" s="27" t="str">
        <x:v>HIST-0290</x:v>
      </x:c>
      <x:c r="B294" s="27" t="str">
        <x:v>00_Official_Baseline</x:v>
      </x:c>
      <x:c r="C294" s="27" t="str">
        <x:v>v0.5</x:v>
      </x:c>
      <x:c r="D294" s="27" t="str"/>
      <x:c r="E294" s="36" t="str">
        <x:v>README.en.md</x:v>
      </x:c>
      <x:c r="F294" s="36" t="str">
        <x:v>MD</x:v>
      </x:c>
      <x:c r="G294" s="54" t="n">
        <x:v>143</x:v>
      </x:c>
      <x:c r="H294" s="36" t="str">
        <x:v>4dc27a1de6f10067695431be262b50332b621f9cf09891d1b02e136ef1d634f6</x:v>
      </x:c>
      <x:c r="I294" s="36" t="n">
        <x:v>1</x:v>
      </x:c>
      <x:c r="J294" s="36" t="str">
        <x:v>Published historical baseline</x:v>
      </x:c>
      <x:c r="K294" s="36" t="str">
        <x:v>SUPPORTING</x:v>
      </x:c>
      <x:c r="L294" s="36" t="str">
        <x:v>handoff, sprint</x:v>
      </x:c>
      <x:c r="M294" s="36" t="str">
        <x:v>Retain read-only; current authority remains 00–34.</x:v>
      </x:c>
      <x:c r="N294" s="36" t="str">
        <x:v>33 risk/continuity context</x:v>
      </x:c>
      <x:c r="O294" s="36" t="str">
        <x:v>00_Official_Baseline/v0.5/README.en.md</x:v>
      </x:c>
    </x:row>
    <x:row r="295">
      <x:c r="A295" s="27" t="str">
        <x:v>HIST-0291</x:v>
      </x:c>
      <x:c r="B295" s="27" t="str">
        <x:v>00_Official_Baseline</x:v>
      </x:c>
      <x:c r="C295" s="27" t="str">
        <x:v>v0.5</x:v>
      </x:c>
      <x:c r="D295" s="27" t="str"/>
      <x:c r="E295" s="36" t="str">
        <x:v>README.md</x:v>
      </x:c>
      <x:c r="F295" s="36" t="str">
        <x:v>MD</x:v>
      </x:c>
      <x:c r="G295" s="54" t="n">
        <x:v>780</x:v>
      </x:c>
      <x:c r="H295" s="36" t="str">
        <x:v>083a4ce23e27a2551535bff94edd4af1b95bb0d025d11b859bd8ba1b32b75784</x:v>
      </x:c>
      <x:c r="I295" s="36" t="n">
        <x:v>1</x:v>
      </x:c>
      <x:c r="J295" s="36" t="str">
        <x:v>Published historical baseline</x:v>
      </x:c>
      <x:c r="K295" s="36" t="str">
        <x:v>SUPPORTING</x:v>
      </x:c>
      <x:c r="L295" s="36" t="str">
        <x:v>handoff, qa, roadmap, sprint</x:v>
      </x:c>
      <x:c r="M295" s="36" t="str">
        <x:v>Retain read-only; current authority remains 00–34.</x:v>
      </x:c>
      <x:c r="N295" s="36" t="str">
        <x:v>33 risk/continuity context</x:v>
      </x:c>
      <x:c r="O295" s="36" t="str">
        <x:v>00_Official_Baseline/v0.5/README.md</x:v>
      </x:c>
    </x:row>
    <x:row r="296">
      <x:c r="A296" s="27" t="str">
        <x:v>HIST-0292</x:v>
      </x:c>
      <x:c r="B296" s="27" t="str">
        <x:v>00_Official_Baseline</x:v>
      </x:c>
      <x:c r="C296" s="27" t="str">
        <x:v>v0.5</x:v>
      </x:c>
      <x:c r="D296" s="27" t="str"/>
      <x:c r="E296" s="36" t="str">
        <x:v>SPRINTS_0_5_DOCUMENT_IMPACT_MATRIX.md</x:v>
      </x:c>
      <x:c r="F296" s="36" t="str">
        <x:v>MD</x:v>
      </x:c>
      <x:c r="G296" s="54" t="n">
        <x:v>611</x:v>
      </x:c>
      <x:c r="H296" s="36" t="str">
        <x:v>3ed048afa596e014a886bd5380026a63bb8915357e5bc06b9ff5dd771d8b6f8b</x:v>
      </x:c>
      <x:c r="I296" s="36" t="n">
        <x:v>1</x:v>
      </x:c>
      <x:c r="J296" s="36" t="str">
        <x:v>Published historical baseline</x:v>
      </x:c>
      <x:c r="K296" s="36" t="str">
        <x:v>DIRECT</x:v>
      </x:c>
      <x:c r="L296" s="36" t="str">
        <x:v>adr, qa, roadmap, save, sprint, test</x:v>
      </x:c>
      <x:c r="M296" s="36" t="str">
        <x:v>Retain read-only; current authority remains 00–34.</x:v>
      </x:c>
      <x:c r="N296" s="36" t="str">
        <x:v>33 risk/continuity context</x:v>
      </x:c>
      <x:c r="O296" s="36" t="str">
        <x:v>00_Official_Baseline/v0.5/SPRINTS_0_5_DOCUMENT_IMPACT_MATRIX.md</x:v>
      </x:c>
    </x:row>
    <x:row r="297">
      <x:c r="A297" s="27" t="str">
        <x:v>HIST-0293</x:v>
      </x:c>
      <x:c r="B297" s="27" t="str">
        <x:v>00_Official_Baseline</x:v>
      </x:c>
      <x:c r="C297" s="27" t="str">
        <x:v>v0.6</x:v>
      </x:c>
      <x:c r="D297" s="27" t="str"/>
      <x:c r="E297" s="36" t="str">
        <x:v>00_Cartridge_And_Cloud_Guide_v0.6.pdf</x:v>
      </x:c>
      <x:c r="F297" s="36" t="str">
        <x:v>PDF</x:v>
      </x:c>
      <x:c r="G297" s="54" t="n">
        <x:v>53846</x:v>
      </x:c>
      <x:c r="H297" s="36" t="str">
        <x:v>62da82c424e2544d77c40b8bcca4226fcd1173eaee00bed0834b1f031304b27f</x:v>
      </x:c>
      <x:c r="I297" s="36" t="n">
        <x:v>1</x:v>
      </x:c>
      <x:c r="J297" s="36" t="str">
        <x:v>Published historical baseline</x:v>
      </x:c>
      <x:c r="K297" s="36" t="str">
        <x:v>CONTEXT / PRESERVED</x:v>
      </x:c>
      <x:c r="L297" s="36" t="str"/>
      <x:c r="M297" s="36" t="str">
        <x:v>Retain read-only; current authority remains 00–34.</x:v>
      </x:c>
      <x:c r="N297" s="36" t="str">
        <x:v>Preserved context; not mined as normative authority.</x:v>
      </x:c>
      <x:c r="O297" s="36" t="str">
        <x:v>00_Official_Baseline/v0.6/00_Project_Governance/00_Cartridge_And_Cloud_Guide_v0.6.pdf</x:v>
      </x:c>
    </x:row>
    <x:row r="298">
      <x:c r="A298" s="27" t="str">
        <x:v>HIST-0294</x:v>
      </x:c>
      <x:c r="B298" s="27" t="str">
        <x:v>00_Official_Baseline</x:v>
      </x:c>
      <x:c r="C298" s="27" t="str">
        <x:v>v0.6</x:v>
      </x:c>
      <x:c r="D298" s="27" t="str"/>
      <x:c r="E298" s="36" t="str">
        <x:v>Cartridge_And_Cloud_Document_Migration_Plan_v0.3.pdf</x:v>
      </x:c>
      <x:c r="F298" s="36" t="str">
        <x:v>PDF</x:v>
      </x:c>
      <x:c r="G298" s="54" t="n">
        <x:v>36820</x:v>
      </x:c>
      <x:c r="H298" s="36" t="str">
        <x:v>ec3fd62d6af2a6b049db86df7dfe1269aaec60f150b4010ea77f4c78513a6197</x:v>
      </x:c>
      <x:c r="I298" s="36" t="n">
        <x:v>1</x:v>
      </x:c>
      <x:c r="J298" s="36" t="str">
        <x:v>Published historical baseline</x:v>
      </x:c>
      <x:c r="K298" s="36" t="str">
        <x:v>CONTEXT / PRESERVED</x:v>
      </x:c>
      <x:c r="L298" s="36" t="str"/>
      <x:c r="M298" s="36" t="str">
        <x:v>Retain read-only; current authority remains 00–34.</x:v>
      </x:c>
      <x:c r="N298" s="36" t="str">
        <x:v>Preserved context; not mined as normative authority.</x:v>
      </x:c>
      <x:c r="O298" s="36" t="str">
        <x:v>00_Official_Baseline/v0.6/00_Project_Governance/Cartridge_And_Cloud_Document_Migration_Plan_v0.3.pdf</x:v>
      </x:c>
    </x:row>
    <x:row r="299">
      <x:c r="A299" s="27" t="str">
        <x:v>HIST-0295</x:v>
      </x:c>
      <x:c r="B299" s="27" t="str">
        <x:v>00_Official_Baseline</x:v>
      </x:c>
      <x:c r="C299" s="27" t="str">
        <x:v>v0.6</x:v>
      </x:c>
      <x:c r="D299" s="27" t="str"/>
      <x:c r="E299" s="36" t="str">
        <x:v>Cartridge_And_Cloud_Documentation_Validation_Report_v0.4.pdf</x:v>
      </x:c>
      <x:c r="F299" s="36" t="str">
        <x:v>PDF</x:v>
      </x:c>
      <x:c r="G299" s="54" t="n">
        <x:v>31493</x:v>
      </x:c>
      <x:c r="H299" s="36" t="str">
        <x:v>5a65390d74b595633ab09e1e3f050b09a219c76bd0cbcb22b3f1b92224536ced</x:v>
      </x:c>
      <x:c r="I299" s="36" t="n">
        <x:v>1</x:v>
      </x:c>
      <x:c r="J299" s="36" t="str">
        <x:v>Published historical baseline</x:v>
      </x:c>
      <x:c r="K299" s="36" t="str">
        <x:v>CONTEXT / PRESERVED</x:v>
      </x:c>
      <x:c r="L299" s="36" t="str">
        <x:v>validation</x:v>
      </x:c>
      <x:c r="M299" s="36" t="str">
        <x:v>Retain read-only; current authority remains 00–34.</x:v>
      </x:c>
      <x:c r="N299" s="36" t="str">
        <x:v>Preserved context; not mined as normative authority.</x:v>
      </x:c>
      <x:c r="O299" s="36" t="str">
        <x:v>00_Official_Baseline/v0.6/00_Project_Governance/Cartridge_And_Cloud_Documentation_Validation_Report_v0.4.pdf</x:v>
      </x:c>
    </x:row>
    <x:row r="300">
      <x:c r="A300" s="27" t="str">
        <x:v>HIST-0296</x:v>
      </x:c>
      <x:c r="B300" s="27" t="str">
        <x:v>00_Official_Baseline</x:v>
      </x:c>
      <x:c r="C300" s="27" t="str">
        <x:v>v0.6</x:v>
      </x:c>
      <x:c r="D300" s="27" t="str"/>
      <x:c r="E300" s="36" t="str">
        <x:v>Cartridge_And_Cloud_Enfoque_v0.8.pdf</x:v>
      </x:c>
      <x:c r="F300" s="36" t="str">
        <x:v>PDF</x:v>
      </x:c>
      <x:c r="G300" s="54" t="n">
        <x:v>38515</x:v>
      </x:c>
      <x:c r="H300" s="36" t="str">
        <x:v>ee80fd31e71e506c52780363b771af767b9d36ddcd4b645b3b1eb11e9d26945b</x:v>
      </x:c>
      <x:c r="I300" s="36" t="n">
        <x:v>1</x:v>
      </x:c>
      <x:c r="J300" s="36" t="str">
        <x:v>Published historical baseline</x:v>
      </x:c>
      <x:c r="K300" s="36" t="str">
        <x:v>CONTEXT / PRESERVED</x:v>
      </x:c>
      <x:c r="L300" s="36" t="str"/>
      <x:c r="M300" s="36" t="str">
        <x:v>Retain read-only; current authority remains 00–34.</x:v>
      </x:c>
      <x:c r="N300" s="36" t="str">
        <x:v>Preserved context; not mined as normative authority.</x:v>
      </x:c>
      <x:c r="O300" s="36" t="str">
        <x:v>00_Official_Baseline/v0.6/00_Project_Governance/Cartridge_And_Cloud_Enfoque_v0.8.pdf</x:v>
      </x:c>
    </x:row>
    <x:row r="301">
      <x:c r="A301" s="27" t="str">
        <x:v>HIST-0297</x:v>
      </x:c>
      <x:c r="B301" s="27" t="str">
        <x:v>00_Official_Baseline</x:v>
      </x:c>
      <x:c r="C301" s="27" t="str">
        <x:v>v0.6</x:v>
      </x:c>
      <x:c r="D301" s="27" t="str"/>
      <x:c r="E301" s="36" t="str">
        <x:v>Cartridge_And_Cloud_Package_Manifest_v0.4.pdf</x:v>
      </x:c>
      <x:c r="F301" s="36" t="str">
        <x:v>PDF</x:v>
      </x:c>
      <x:c r="G301" s="54" t="n">
        <x:v>31216</x:v>
      </x:c>
      <x:c r="H301" s="36" t="str">
        <x:v>e2b87252fcc868ccf8c9bd6b7e9737260653ed2ae07d2eb86394cb503d64f48c</x:v>
      </x:c>
      <x:c r="I301" s="36" t="n">
        <x:v>1</x:v>
      </x:c>
      <x:c r="J301" s="36" t="str">
        <x:v>Published historical baseline</x:v>
      </x:c>
      <x:c r="K301" s="36" t="str">
        <x:v>CONTEXT / PRESERVED</x:v>
      </x:c>
      <x:c r="L301" s="36" t="str">
        <x:v>manifest</x:v>
      </x:c>
      <x:c r="M301" s="36" t="str">
        <x:v>Retain read-only; current authority remains 00–34.</x:v>
      </x:c>
      <x:c r="N301" s="36" t="str">
        <x:v>Preserved context; not mined as normative authority.</x:v>
      </x:c>
      <x:c r="O301" s="36" t="str">
        <x:v>00_Official_Baseline/v0.6/00_Project_Governance/Cartridge_And_Cloud_Package_Manifest_v0.4.pdf</x:v>
      </x:c>
    </x:row>
    <x:row r="302">
      <x:c r="A302" s="27" t="str">
        <x:v>HIST-0298</x:v>
      </x:c>
      <x:c r="B302" s="27" t="str">
        <x:v>00_Official_Baseline</x:v>
      </x:c>
      <x:c r="C302" s="27" t="str">
        <x:v>v0.6</x:v>
      </x:c>
      <x:c r="D302" s="27" t="str"/>
      <x:c r="E302" s="36" t="str">
        <x:v>Cartridge_And_Cloud_Project_Binder_Indice_Maestro_v0.6.pdf</x:v>
      </x:c>
      <x:c r="F302" s="36" t="str">
        <x:v>PDF</x:v>
      </x:c>
      <x:c r="G302" s="54" t="n">
        <x:v>40686</x:v>
      </x:c>
      <x:c r="H302" s="36" t="str">
        <x:v>e2ae658017c7deb8055e886df6dd66707fbff8d1db4752d5b98c982e54631469</x:v>
      </x:c>
      <x:c r="I302" s="36" t="n">
        <x:v>1</x:v>
      </x:c>
      <x:c r="J302" s="36" t="str">
        <x:v>Published historical baseline</x:v>
      </x:c>
      <x:c r="K302" s="36" t="str">
        <x:v>CONTEXT / PRESERVED</x:v>
      </x:c>
      <x:c r="L302" s="36" t="str"/>
      <x:c r="M302" s="36" t="str">
        <x:v>Retain read-only; current authority remains 00–34.</x:v>
      </x:c>
      <x:c r="N302" s="36" t="str">
        <x:v>Preserved context; not mined as normative authority.</x:v>
      </x:c>
      <x:c r="O302" s="36" t="str">
        <x:v>00_Official_Baseline/v0.6/00_Project_Governance/Cartridge_And_Cloud_Project_Binder_Indice_Maestro_v0.6.pdf</x:v>
      </x:c>
    </x:row>
    <x:row r="303">
      <x:c r="A303" s="27" t="str">
        <x:v>HIST-0299</x:v>
      </x:c>
      <x:c r="B303" s="27" t="str">
        <x:v>00_Official_Baseline</x:v>
      </x:c>
      <x:c r="C303" s="27" t="str">
        <x:v>v0.6</x:v>
      </x:c>
      <x:c r="D303" s="27" t="str"/>
      <x:c r="E303" s="36" t="str">
        <x:v>Enfoque_v0.8.md</x:v>
      </x:c>
      <x:c r="F303" s="36" t="str">
        <x:v>MD</x:v>
      </x:c>
      <x:c r="G303" s="54" t="n">
        <x:v>3665</x:v>
      </x:c>
      <x:c r="H303" s="36" t="str">
        <x:v>7723b3a72d7b63ace8f1401c9eb2ed250a671e6a49e867f134583c4572ce524c</x:v>
      </x:c>
      <x:c r="I303" s="36" t="n">
        <x:v>2</x:v>
      </x:c>
      <x:c r="J303" s="36" t="str">
        <x:v>Published historical baseline</x:v>
      </x:c>
      <x:c r="K303" s="36" t="str">
        <x:v>DIRECT</x:v>
      </x:c>
      <x:c r="L303" s="36" t="str">
        <x:v>build, qa, sprint, steam, test</x:v>
      </x:c>
      <x:c r="M303" s="36" t="str">
        <x:v>Retain read-only; current authority remains 00–34.</x:v>
      </x:c>
      <x:c r="N303" s="36" t="str">
        <x:v>33 risk/continuity context</x:v>
      </x:c>
      <x:c r="O303" s="36" t="str">
        <x:v>00_Official_Baseline/v0.6/00_Project_Governance/Enfoque_v0.8.md</x:v>
      </x:c>
    </x:row>
    <x:row r="304">
      <x:c r="A304" s="27" t="str">
        <x:v>HIST-0300</x:v>
      </x:c>
      <x:c r="B304" s="27" t="str">
        <x:v>00_Official_Baseline</x:v>
      </x:c>
      <x:c r="C304" s="27" t="str">
        <x:v>v0.6</x:v>
      </x:c>
      <x:c r="D304" s="27" t="str"/>
      <x:c r="E304" s="36" t="str">
        <x:v>Cartridge_And_Cloud_Economy_Balance_Specification_v0.3.pdf</x:v>
      </x:c>
      <x:c r="F304" s="36" t="str">
        <x:v>PDF</x:v>
      </x:c>
      <x:c r="G304" s="54" t="n">
        <x:v>37357</x:v>
      </x:c>
      <x:c r="H304" s="36" t="str">
        <x:v>814b045831b60bd22488cbb9b255a87e9c714abb9f0c9716227004af6334b38b</x:v>
      </x:c>
      <x:c r="I304" s="36" t="n">
        <x:v>1</x:v>
      </x:c>
      <x:c r="J304" s="36" t="str">
        <x:v>Published historical baseline</x:v>
      </x:c>
      <x:c r="K304" s="36" t="str">
        <x:v>CONTEXT / PRESERVED</x:v>
      </x:c>
      <x:c r="L304" s="36" t="str"/>
      <x:c r="M304" s="36" t="str">
        <x:v>Retain read-only; current authority remains 00–34.</x:v>
      </x:c>
      <x:c r="N304" s="36" t="str">
        <x:v>Preserved context; not mined as normative authority.</x:v>
      </x:c>
      <x:c r="O304" s="36" t="str">
        <x:v>00_Official_Baseline/v0.6/01_Design/Cartridge_And_Cloud_Economy_Balance_Specification_v0.3.pdf</x:v>
      </x:c>
    </x:row>
    <x:row r="305">
      <x:c r="A305" s="27" t="str">
        <x:v>HIST-0301</x:v>
      </x:c>
      <x:c r="B305" s="27" t="str">
        <x:v>00_Official_Baseline</x:v>
      </x:c>
      <x:c r="C305" s="27" t="str">
        <x:v>v0.6</x:v>
      </x:c>
      <x:c r="D305" s="27" t="str"/>
      <x:c r="E305" s="36" t="str">
        <x:v>Cartridge_And_Cloud_GDD_v0.6_PCSteam.pdf</x:v>
      </x:c>
      <x:c r="F305" s="36" t="str">
        <x:v>PDF</x:v>
      </x:c>
      <x:c r="G305" s="54" t="n">
        <x:v>43453</x:v>
      </x:c>
      <x:c r="H305" s="36" t="str">
        <x:v>f7002d60df83e5ed854264b4a802324de145e6389d3ec1de3b9f02ca4f619acd</x:v>
      </x:c>
      <x:c r="I305" s="36" t="n">
        <x:v>1</x:v>
      </x:c>
      <x:c r="J305" s="36" t="str">
        <x:v>Published historical baseline</x:v>
      </x:c>
      <x:c r="K305" s="36" t="str">
        <x:v>CONTEXT / PRESERVED</x:v>
      </x:c>
      <x:c r="L305" s="36" t="str">
        <x:v>steam</x:v>
      </x:c>
      <x:c r="M305" s="36" t="str">
        <x:v>Retain read-only; current authority remains 00–34.</x:v>
      </x:c>
      <x:c r="N305" s="36" t="str">
        <x:v>Preserved context; not mined as normative authority.</x:v>
      </x:c>
      <x:c r="O305" s="36" t="str">
        <x:v>00_Official_Baseline/v0.6/01_Design/Cartridge_And_Cloud_GDD_v0.6_PCSteam.pdf</x:v>
      </x:c>
    </x:row>
    <x:row r="306">
      <x:c r="A306" s="27" t="str">
        <x:v>HIST-0302</x:v>
      </x:c>
      <x:c r="B306" s="27" t="str">
        <x:v>00_Official_Baseline</x:v>
      </x:c>
      <x:c r="C306" s="27" t="str">
        <x:v>v0.6</x:v>
      </x:c>
      <x:c r="D306" s="27" t="str"/>
      <x:c r="E306" s="36" t="str">
        <x:v>Cartridge_And_Cloud_Initial_Content_Catalog_v0.3.pdf</x:v>
      </x:c>
      <x:c r="F306" s="36" t="str">
        <x:v>PDF</x:v>
      </x:c>
      <x:c r="G306" s="54" t="n">
        <x:v>37702</x:v>
      </x:c>
      <x:c r="H306" s="36" t="str">
        <x:v>9566db558196999b36eaff6c58b48adaf7cbbf005544cca3692ce2bbdfa216e8</x:v>
      </x:c>
      <x:c r="I306" s="36" t="n">
        <x:v>1</x:v>
      </x:c>
      <x:c r="J306" s="36" t="str">
        <x:v>Published historical baseline</x:v>
      </x:c>
      <x:c r="K306" s="36" t="str">
        <x:v>CONTEXT / PRESERVED</x:v>
      </x:c>
      <x:c r="L306" s="36" t="str"/>
      <x:c r="M306" s="36" t="str">
        <x:v>Retain read-only; current authority remains 00–34.</x:v>
      </x:c>
      <x:c r="N306" s="36" t="str">
        <x:v>Preserved context; not mined as normative authority.</x:v>
      </x:c>
      <x:c r="O306" s="36" t="str">
        <x:v>00_Official_Baseline/v0.6/01_Design/Cartridge_And_Cloud_Initial_Content_Catalog_v0.3.pdf</x:v>
      </x:c>
    </x:row>
    <x:row r="307">
      <x:c r="A307" s="27" t="str">
        <x:v>HIST-0303</x:v>
      </x:c>
      <x:c r="B307" s="27" t="str">
        <x:v>00_Official_Baseline</x:v>
      </x:c>
      <x:c r="C307" s="27" t="str">
        <x:v>v0.6</x:v>
      </x:c>
      <x:c r="D307" s="27" t="str"/>
      <x:c r="E307" s="36" t="str">
        <x:v>Cartridge_And_Cloud_UX_Flow_v0.5.pdf</x:v>
      </x:c>
      <x:c r="F307" s="36" t="str">
        <x:v>PDF</x:v>
      </x:c>
      <x:c r="G307" s="54" t="n">
        <x:v>42891</x:v>
      </x:c>
      <x:c r="H307" s="36" t="str">
        <x:v>59f5922437a9c5cd0719b49c14beb50d5a7a74d5ee5d863ba2763153a7c378db</x:v>
      </x:c>
      <x:c r="I307" s="36" t="n">
        <x:v>1</x:v>
      </x:c>
      <x:c r="J307" s="36" t="str">
        <x:v>Published historical baseline</x:v>
      </x:c>
      <x:c r="K307" s="36" t="str">
        <x:v>CONTEXT / PRESERVED</x:v>
      </x:c>
      <x:c r="L307" s="36" t="str"/>
      <x:c r="M307" s="36" t="str">
        <x:v>Retain read-only; current authority remains 00–34.</x:v>
      </x:c>
      <x:c r="N307" s="36" t="str">
        <x:v>Preserved context; not mined as normative authority.</x:v>
      </x:c>
      <x:c r="O307" s="36" t="str">
        <x:v>00_Official_Baseline/v0.6/01_Design/Cartridge_And_Cloud_UX_Flow_v0.5.pdf</x:v>
      </x:c>
    </x:row>
    <x:row r="308">
      <x:c r="A308" s="27" t="str">
        <x:v>HIST-0304</x:v>
      </x:c>
      <x:c r="B308" s="27" t="str">
        <x:v>00_Official_Baseline</x:v>
      </x:c>
      <x:c r="C308" s="27" t="str">
        <x:v>v0.6</x:v>
      </x:c>
      <x:c r="D308" s="27" t="str"/>
      <x:c r="E308" s="36" t="str">
        <x:v>Cartridge_And_Cloud_Vertical_Slice_Specification_v0.4.pdf</x:v>
      </x:c>
      <x:c r="F308" s="36" t="str">
        <x:v>PDF</x:v>
      </x:c>
      <x:c r="G308" s="54" t="n">
        <x:v>38854</x:v>
      </x:c>
      <x:c r="H308" s="36" t="str">
        <x:v>326720d1a0d1302142034421279586f319992a9ecd3772c1922b6f5be085a692</x:v>
      </x:c>
      <x:c r="I308" s="36" t="n">
        <x:v>1</x:v>
      </x:c>
      <x:c r="J308" s="36" t="str">
        <x:v>Published historical baseline</x:v>
      </x:c>
      <x:c r="K308" s="36" t="str">
        <x:v>CONTEXT / PRESERVED</x:v>
      </x:c>
      <x:c r="L308" s="36" t="str"/>
      <x:c r="M308" s="36" t="str">
        <x:v>Retain read-only; current authority remains 00–34.</x:v>
      </x:c>
      <x:c r="N308" s="36" t="str">
        <x:v>Preserved context; not mined as normative authority.</x:v>
      </x:c>
      <x:c r="O308" s="36" t="str">
        <x:v>00_Official_Baseline/v0.6/01_Design/Cartridge_And_Cloud_Vertical_Slice_Specification_v0.4.pdf</x:v>
      </x:c>
    </x:row>
    <x:row r="309">
      <x:c r="A309" s="27" t="str">
        <x:v>HIST-0305</x:v>
      </x:c>
      <x:c r="B309" s="27" t="str">
        <x:v>00_Official_Baseline</x:v>
      </x:c>
      <x:c r="C309" s="27" t="str">
        <x:v>v0.6</x:v>
      </x:c>
      <x:c r="D309" s="27" t="str"/>
      <x:c r="E309" s="36" t="str">
        <x:v>Cartridge_And_Cloud_Build_Versioning_Guide_v0.6.pdf</x:v>
      </x:c>
      <x:c r="F309" s="36" t="str">
        <x:v>PDF</x:v>
      </x:c>
      <x:c r="G309" s="54" t="n">
        <x:v>37901</x:v>
      </x:c>
      <x:c r="H309" s="36" t="str">
        <x:v>758372f65f3e817c8cc192d557cac69f2ecb2b22d0705e8feeac9e5034cf0a02</x:v>
      </x:c>
      <x:c r="I309" s="36" t="n">
        <x:v>1</x:v>
      </x:c>
      <x:c r="J309" s="36" t="str">
        <x:v>Published historical baseline</x:v>
      </x:c>
      <x:c r="K309" s="36" t="str">
        <x:v>CONTEXT / PRESERVED</x:v>
      </x:c>
      <x:c r="L309" s="36" t="str">
        <x:v>build</x:v>
      </x:c>
      <x:c r="M309" s="36" t="str">
        <x:v>Retain read-only; current authority remains 00–34.</x:v>
      </x:c>
      <x:c r="N309" s="36" t="str">
        <x:v>Preserved context; not mined as normative authority.</x:v>
      </x:c>
      <x:c r="O309" s="36" t="str">
        <x:v>00_Official_Baseline/v0.6/02_Technical/Cartridge_And_Cloud_Build_Versioning_Guide_v0.6.pdf</x:v>
      </x:c>
    </x:row>
    <x:row r="310">
      <x:c r="A310" s="27" t="str">
        <x:v>HIST-0306</x:v>
      </x:c>
      <x:c r="B310" s="27" t="str">
        <x:v>00_Official_Baseline</x:v>
      </x:c>
      <x:c r="C310" s="27" t="str">
        <x:v>v0.6</x:v>
      </x:c>
      <x:c r="D310" s="27" t="str"/>
      <x:c r="E310" s="36" t="str">
        <x:v>Cartridge_And_Cloud_CSharp_Coding_Standards_v0.5.pdf</x:v>
      </x:c>
      <x:c r="F310" s="36" t="str">
        <x:v>PDF</x:v>
      </x:c>
      <x:c r="G310" s="54" t="n">
        <x:v>38900</x:v>
      </x:c>
      <x:c r="H310" s="36" t="str">
        <x:v>bcbd99d67deb5d0d1f6a3e90a8fb6058cbd4798b1b011ff6ad4e0980642383ad</x:v>
      </x:c>
      <x:c r="I310" s="36" t="n">
        <x:v>1</x:v>
      </x:c>
      <x:c r="J310" s="36" t="str">
        <x:v>Published historical baseline</x:v>
      </x:c>
      <x:c r="K310" s="36" t="str">
        <x:v>CONTEXT / PRESERVED</x:v>
      </x:c>
      <x:c r="L310" s="36" t="str"/>
      <x:c r="M310" s="36" t="str">
        <x:v>Retain read-only; current authority remains 00–34.</x:v>
      </x:c>
      <x:c r="N310" s="36" t="str">
        <x:v>Preserved context; not mined as normative authority.</x:v>
      </x:c>
      <x:c r="O310" s="36" t="str">
        <x:v>00_Official_Baseline/v0.6/02_Technical/Cartridge_And_Cloud_CSharp_Coding_Standards_v0.5.pdf</x:v>
      </x:c>
    </x:row>
    <x:row r="311">
      <x:c r="A311" s="27" t="str">
        <x:v>HIST-0307</x:v>
      </x:c>
      <x:c r="B311" s="27" t="str">
        <x:v>00_Official_Baseline</x:v>
      </x:c>
      <x:c r="C311" s="27" t="str">
        <x:v>v0.6</x:v>
      </x:c>
      <x:c r="D311" s="27" t="str"/>
      <x:c r="E311" s="36" t="str">
        <x:v>Cartridge_And_Cloud_Modelo_de_Datos_v0.5.pdf</x:v>
      </x:c>
      <x:c r="F311" s="36" t="str">
        <x:v>PDF</x:v>
      </x:c>
      <x:c r="G311" s="54" t="n">
        <x:v>38808</x:v>
      </x:c>
      <x:c r="H311" s="36" t="str">
        <x:v>296fbc062ddb5cb16dad4f5c98bccb1301c437eaeac7b58a23d51009d8f32fe3</x:v>
      </x:c>
      <x:c r="I311" s="36" t="n">
        <x:v>1</x:v>
      </x:c>
      <x:c r="J311" s="36" t="str">
        <x:v>Published historical baseline</x:v>
      </x:c>
      <x:c r="K311" s="36" t="str">
        <x:v>CONTEXT / PRESERVED</x:v>
      </x:c>
      <x:c r="L311" s="36" t="str"/>
      <x:c r="M311" s="36" t="str">
        <x:v>Retain read-only; current authority remains 00–34.</x:v>
      </x:c>
      <x:c r="N311" s="36" t="str">
        <x:v>Preserved context; not mined as normative authority.</x:v>
      </x:c>
      <x:c r="O311" s="36" t="str">
        <x:v>00_Official_Baseline/v0.6/02_Technical/Cartridge_And_Cloud_Modelo_de_Datos_v0.5.pdf</x:v>
      </x:c>
    </x:row>
    <x:row r="312">
      <x:c r="A312" s="27" t="str">
        <x:v>HIST-0308</x:v>
      </x:c>
      <x:c r="B312" s="27" t="str">
        <x:v>00_Official_Baseline</x:v>
      </x:c>
      <x:c r="C312" s="27" t="str">
        <x:v>v0.6</x:v>
      </x:c>
      <x:c r="D312" s="27" t="str"/>
      <x:c r="E312" s="36" t="str">
        <x:v>Cartridge_And_Cloud_TDD_v0.6_Technical_Design_Document.pdf</x:v>
      </x:c>
      <x:c r="F312" s="36" t="str">
        <x:v>PDF</x:v>
      </x:c>
      <x:c r="G312" s="54" t="n">
        <x:v>44591</x:v>
      </x:c>
      <x:c r="H312" s="36" t="str">
        <x:v>47cb69c540b382355f767b5cef1cbecc0f4ed29cf5711be34cefe196007b50d9</x:v>
      </x:c>
      <x:c r="I312" s="36" t="n">
        <x:v>1</x:v>
      </x:c>
      <x:c r="J312" s="36" t="str">
        <x:v>Published historical baseline</x:v>
      </x:c>
      <x:c r="K312" s="36" t="str">
        <x:v>CONTEXT / PRESERVED</x:v>
      </x:c>
      <x:c r="L312" s="36" t="str"/>
      <x:c r="M312" s="36" t="str">
        <x:v>Retain read-only; current authority remains 00–34.</x:v>
      </x:c>
      <x:c r="N312" s="36" t="str">
        <x:v>Preserved context; not mined as normative authority.</x:v>
      </x:c>
      <x:c r="O312" s="36" t="str">
        <x:v>00_Official_Baseline/v0.6/02_Technical/Cartridge_And_Cloud_TDD_v0.6_Technical_Design_Document.pdf</x:v>
      </x:c>
    </x:row>
    <x:row r="313">
      <x:c r="A313" s="27" t="str">
        <x:v>HIST-0309</x:v>
      </x:c>
      <x:c r="B313" s="27" t="str">
        <x:v>00_Official_Baseline</x:v>
      </x:c>
      <x:c r="C313" s="27" t="str">
        <x:v>v0.6</x:v>
      </x:c>
      <x:c r="D313" s="27" t="str"/>
      <x:c r="E313" s="36" t="str">
        <x:v>Cartridge_And_Cloud_Unity_Project_Setup_Guide_v0.6.pdf</x:v>
      </x:c>
      <x:c r="F313" s="36" t="str">
        <x:v>PDF</x:v>
      </x:c>
      <x:c r="G313" s="54" t="n">
        <x:v>40504</x:v>
      </x:c>
      <x:c r="H313" s="36" t="str">
        <x:v>415fcd4c16c68e395c49179492c10db67374b3fb1c28257ec41987b2735d7ba8</x:v>
      </x:c>
      <x:c r="I313" s="36" t="n">
        <x:v>1</x:v>
      </x:c>
      <x:c r="J313" s="36" t="str">
        <x:v>Published historical baseline</x:v>
      </x:c>
      <x:c r="K313" s="36" t="str">
        <x:v>CONTEXT / PRESERVED</x:v>
      </x:c>
      <x:c r="L313" s="36" t="str"/>
      <x:c r="M313" s="36" t="str">
        <x:v>Retain read-only; current authority remains 00–34.</x:v>
      </x:c>
      <x:c r="N313" s="36" t="str">
        <x:v>Preserved context; not mined as normative authority.</x:v>
      </x:c>
      <x:c r="O313" s="36" t="str">
        <x:v>00_Official_Baseline/v0.6/02_Technical/Cartridge_And_Cloud_Unity_Project_Setup_Guide_v0.6.pdf</x:v>
      </x:c>
    </x:row>
    <x:row r="314">
      <x:c r="A314" s="27" t="str">
        <x:v>HIST-0310</x:v>
      </x:c>
      <x:c r="B314" s="27" t="str">
        <x:v>00_Official_Baseline</x:v>
      </x:c>
      <x:c r="C314" s="27" t="str">
        <x:v>v0.6</x:v>
      </x:c>
      <x:c r="D314" s="27" t="str"/>
      <x:c r="E314" s="36" t="str">
        <x:v>Cartridge_And_Cloud_Art_Bible_v0.5.pdf</x:v>
      </x:c>
      <x:c r="F314" s="36" t="str">
        <x:v>PDF</x:v>
      </x:c>
      <x:c r="G314" s="54" t="n">
        <x:v>35406</x:v>
      </x:c>
      <x:c r="H314" s="36" t="str">
        <x:v>ab41d9f663bddc58edd4d1591281b74097f0b3a4cd772706d923cf275222f414</x:v>
      </x:c>
      <x:c r="I314" s="36" t="n">
        <x:v>1</x:v>
      </x:c>
      <x:c r="J314" s="36" t="str">
        <x:v>Published historical baseline</x:v>
      </x:c>
      <x:c r="K314" s="36" t="str">
        <x:v>CONTEXT / PRESERVED</x:v>
      </x:c>
      <x:c r="L314" s="36" t="str"/>
      <x:c r="M314" s="36" t="str">
        <x:v>Retain read-only; current authority remains 00–34.</x:v>
      </x:c>
      <x:c r="N314" s="36" t="str">
        <x:v>Preserved context; not mined as normative authority.</x:v>
      </x:c>
      <x:c r="O314" s="36" t="str">
        <x:v>00_Official_Baseline/v0.6/03_Visual_Audio/Cartridge_And_Cloud_Art_Bible_v0.5.pdf</x:v>
      </x:c>
    </x:row>
    <x:row r="315">
      <x:c r="A315" s="27" t="str">
        <x:v>HIST-0311</x:v>
      </x:c>
      <x:c r="B315" s="27" t="str">
        <x:v>00_Official_Baseline</x:v>
      </x:c>
      <x:c r="C315" s="27" t="str">
        <x:v>v0.6</x:v>
      </x:c>
      <x:c r="D315" s="27" t="str"/>
      <x:c r="E315" s="36" t="str">
        <x:v>Cartridge_And_Cloud_Audio_Bible_v0.5.pdf</x:v>
      </x:c>
      <x:c r="F315" s="36" t="str">
        <x:v>PDF</x:v>
      </x:c>
      <x:c r="G315" s="54" t="n">
        <x:v>31080</x:v>
      </x:c>
      <x:c r="H315" s="36" t="str">
        <x:v>1266f4f2b51202caa9eccfec07800cd089001a454ce72e90a205aa093b21198f</x:v>
      </x:c>
      <x:c r="I315" s="36" t="n">
        <x:v>1</x:v>
      </x:c>
      <x:c r="J315" s="36" t="str">
        <x:v>Published historical baseline</x:v>
      </x:c>
      <x:c r="K315" s="36" t="str">
        <x:v>CONTEXT / PRESERVED</x:v>
      </x:c>
      <x:c r="L315" s="36" t="str"/>
      <x:c r="M315" s="36" t="str">
        <x:v>Retain read-only; current authority remains 00–34.</x:v>
      </x:c>
      <x:c r="N315" s="36" t="str">
        <x:v>Preserved context; not mined as normative authority.</x:v>
      </x:c>
      <x:c r="O315" s="36" t="str">
        <x:v>00_Official_Baseline/v0.6/03_Visual_Audio/Cartridge_And_Cloud_Audio_Bible_v0.5.pdf</x:v>
      </x:c>
    </x:row>
    <x:row r="316">
      <x:c r="A316" s="27" t="str">
        <x:v>HIST-0312</x:v>
      </x:c>
      <x:c r="B316" s="27" t="str">
        <x:v>00_Official_Baseline</x:v>
      </x:c>
      <x:c r="C316" s="27" t="str">
        <x:v>v0.6</x:v>
      </x:c>
      <x:c r="D316" s="27" t="str"/>
      <x:c r="E316" s="36" t="str">
        <x:v>Cartridge_And_Cloud_UI_Style_Guide_v0.5.pdf</x:v>
      </x:c>
      <x:c r="F316" s="36" t="str">
        <x:v>PDF</x:v>
      </x:c>
      <x:c r="G316" s="54" t="n">
        <x:v>31466</x:v>
      </x:c>
      <x:c r="H316" s="36" t="str">
        <x:v>a1898f385154ecfbb12b0106ed150e6ac0307d2987650fe8d2397c0e428c5da7</x:v>
      </x:c>
      <x:c r="I316" s="36" t="n">
        <x:v>1</x:v>
      </x:c>
      <x:c r="J316" s="36" t="str">
        <x:v>Published historical baseline</x:v>
      </x:c>
      <x:c r="K316" s="36" t="str">
        <x:v>CONTEXT / PRESERVED</x:v>
      </x:c>
      <x:c r="L316" s="36" t="str"/>
      <x:c r="M316" s="36" t="str">
        <x:v>Retain read-only; current authority remains 00–34.</x:v>
      </x:c>
      <x:c r="N316" s="36" t="str">
        <x:v>Preserved context; not mined as normative authority.</x:v>
      </x:c>
      <x:c r="O316" s="36" t="str">
        <x:v>00_Official_Baseline/v0.6/03_Visual_Audio/Cartridge_And_Cloud_UI_Style_Guide_v0.5.pdf</x:v>
      </x:c>
    </x:row>
    <x:row r="317">
      <x:c r="A317" s="27" t="str">
        <x:v>HIST-0313</x:v>
      </x:c>
      <x:c r="B317" s="27" t="str">
        <x:v>00_Official_Baseline</x:v>
      </x:c>
      <x:c r="C317" s="27" t="str">
        <x:v>v0.6</x:v>
      </x:c>
      <x:c r="D317" s="27" t="str"/>
      <x:c r="E317" s="36" t="str">
        <x:v>Cartridge_And_Cloud_Excel_Maestro_Produccion_v0.6.xlsx</x:v>
      </x:c>
      <x:c r="F317" s="36" t="str">
        <x:v>XLSX</x:v>
      </x:c>
      <x:c r="G317" s="54" t="n">
        <x:v>12166</x:v>
      </x:c>
      <x:c r="H317" s="36" t="str">
        <x:v>90e3ccee5e392f8471b66090d99c97dcff596256cd7a65f3b1919376f346eb6a</x:v>
      </x:c>
      <x:c r="I317" s="36" t="n">
        <x:v>1</x:v>
      </x:c>
      <x:c r="J317" s="36" t="str">
        <x:v>Published historical baseline</x:v>
      </x:c>
      <x:c r="K317" s="36" t="str">
        <x:v>CONTEXT / PRESERVED</x:v>
      </x:c>
      <x:c r="L317" s="36" t="str">
        <x:v>qa</x:v>
      </x:c>
      <x:c r="M317" s="36" t="str">
        <x:v>Retain read-only; current authority remains 00–34.</x:v>
      </x:c>
      <x:c r="N317" s="36" t="str">
        <x:v>Preserved context; not mined as normative authority.</x:v>
      </x:c>
      <x:c r="O317" s="36" t="str">
        <x:v>00_Official_Baseline/v0.6/04_QA_Production/Cartridge_And_Cloud_Excel_Maestro_Produccion_v0.6.xlsx</x:v>
      </x:c>
    </x:row>
    <x:row r="318">
      <x:c r="A318" s="27" t="str">
        <x:v>HIST-0314</x:v>
      </x:c>
      <x:c r="B318" s="27" t="str">
        <x:v>00_Official_Baseline</x:v>
      </x:c>
      <x:c r="C318" s="27" t="str">
        <x:v>v0.6</x:v>
      </x:c>
      <x:c r="D318" s="27" t="str"/>
      <x:c r="E318" s="36" t="str">
        <x:v>Cartridge_And_Cloud_Production_Roadmap_Sprint_Plan_v0.6.pdf</x:v>
      </x:c>
      <x:c r="F318" s="36" t="str">
        <x:v>PDF</x:v>
      </x:c>
      <x:c r="G318" s="54" t="n">
        <x:v>37116</x:v>
      </x:c>
      <x:c r="H318" s="36" t="str">
        <x:v>5e1a0fea9e45f7af252162baba7544778134216c0f9c839aaabdd48687b3c370</x:v>
      </x:c>
      <x:c r="I318" s="36" t="n">
        <x:v>1</x:v>
      </x:c>
      <x:c r="J318" s="36" t="str">
        <x:v>Published historical baseline</x:v>
      </x:c>
      <x:c r="K318" s="36" t="str">
        <x:v>SUPPORTING</x:v>
      </x:c>
      <x:c r="L318" s="36" t="str">
        <x:v>qa, roadmap, sprint</x:v>
      </x:c>
      <x:c r="M318" s="36" t="str">
        <x:v>Retain read-only; current authority remains 00–34.</x:v>
      </x:c>
      <x:c r="N318" s="36" t="str">
        <x:v>33 risk/continuity context</x:v>
      </x:c>
      <x:c r="O318" s="36" t="str">
        <x:v>00_Official_Baseline/v0.6/04_QA_Production/Cartridge_And_Cloud_Production_Roadmap_Sprint_Plan_v0.6.pdf</x:v>
      </x:c>
    </x:row>
    <x:row r="319">
      <x:c r="A319" s="27" t="str">
        <x:v>HIST-0315</x:v>
      </x:c>
      <x:c r="B319" s="27" t="str">
        <x:v>00_Official_Baseline</x:v>
      </x:c>
      <x:c r="C319" s="27" t="str">
        <x:v>v0.6</x:v>
      </x:c>
      <x:c r="D319" s="27" t="str"/>
      <x:c r="E319" s="36" t="str">
        <x:v>Cartridge_And_Cloud_QA_Testing_Matrix_v0.6.xlsx</x:v>
      </x:c>
      <x:c r="F319" s="36" t="str">
        <x:v>XLSX</x:v>
      </x:c>
      <x:c r="G319" s="54" t="n">
        <x:v>8110</x:v>
      </x:c>
      <x:c r="H319" s="36" t="str">
        <x:v>96a6eb8272a2c9a42f718f71406a1b8d770e2d7cf0d96d2c3d0a0c418445d681</x:v>
      </x:c>
      <x:c r="I319" s="36" t="n">
        <x:v>1</x:v>
      </x:c>
      <x:c r="J319" s="36" t="str">
        <x:v>Published historical baseline</x:v>
      </x:c>
      <x:c r="K319" s="36" t="str">
        <x:v>SUPPORTING</x:v>
      </x:c>
      <x:c r="L319" s="36" t="str">
        <x:v>qa, test</x:v>
      </x:c>
      <x:c r="M319" s="36" t="str">
        <x:v>Retain read-only; current authority remains 00–34.</x:v>
      </x:c>
      <x:c r="N319" s="36" t="str">
        <x:v>33 risk/continuity context</x:v>
      </x:c>
      <x:c r="O319" s="36" t="str">
        <x:v>00_Official_Baseline/v0.6/04_QA_Production/Cartridge_And_Cloud_QA_Testing_Matrix_v0.6.xlsx</x:v>
      </x:c>
    </x:row>
    <x:row r="320">
      <x:c r="A320" s="27" t="str">
        <x:v>HIST-0316</x:v>
      </x:c>
      <x:c r="B320" s="27" t="str">
        <x:v>00_Official_Baseline</x:v>
      </x:c>
      <x:c r="C320" s="27" t="str">
        <x:v>v0.6</x:v>
      </x:c>
      <x:c r="D320" s="27" t="str"/>
      <x:c r="E320" s="36" t="str">
        <x:v>Cartridge_And_Cloud_QA_Testing_Plan_v0.6.pdf</x:v>
      </x:c>
      <x:c r="F320" s="36" t="str">
        <x:v>PDF</x:v>
      </x:c>
      <x:c r="G320" s="54" t="n">
        <x:v>38292</x:v>
      </x:c>
      <x:c r="H320" s="36" t="str">
        <x:v>ff451a919545374e6bd22a44efd7f8e65d3e9001741a2ddcac58b4f339052c04</x:v>
      </x:c>
      <x:c r="I320" s="36" t="n">
        <x:v>1</x:v>
      </x:c>
      <x:c r="J320" s="36" t="str">
        <x:v>Published historical baseline</x:v>
      </x:c>
      <x:c r="K320" s="36" t="str">
        <x:v>SUPPORTING</x:v>
      </x:c>
      <x:c r="L320" s="36" t="str">
        <x:v>qa, test</x:v>
      </x:c>
      <x:c r="M320" s="36" t="str">
        <x:v>Retain read-only; current authority remains 00–34.</x:v>
      </x:c>
      <x:c r="N320" s="36" t="str">
        <x:v>33 risk/continuity context</x:v>
      </x:c>
      <x:c r="O320" s="36" t="str">
        <x:v>00_Official_Baseline/v0.6/04_QA_Production/Cartridge_And_Cloud_QA_Testing_Plan_v0.6.pdf</x:v>
      </x:c>
    </x:row>
    <x:row r="321">
      <x:c r="A321" s="27" t="str">
        <x:v>HIST-0317</x:v>
      </x:c>
      <x:c r="B321" s="27" t="str">
        <x:v>00_Official_Baseline</x:v>
      </x:c>
      <x:c r="C321" s="27" t="str">
        <x:v>v0.6</x:v>
      </x:c>
      <x:c r="D321" s="27" t="str"/>
      <x:c r="E321" s="36" t="str">
        <x:v>Cartridge_And_Cloud_Trazabilidad_Control_Cambios_v0.6.xlsx</x:v>
      </x:c>
      <x:c r="F321" s="36" t="str">
        <x:v>XLSX</x:v>
      </x:c>
      <x:c r="G321" s="54" t="n">
        <x:v>6699</x:v>
      </x:c>
      <x:c r="H321" s="36" t="str">
        <x:v>fb8eb9ca993738f590fb5978de9f4eea8224730540cb3af9d2324cd96b646e32</x:v>
      </x:c>
      <x:c r="I321" s="36" t="n">
        <x:v>1</x:v>
      </x:c>
      <x:c r="J321" s="36" t="str">
        <x:v>Published historical baseline</x:v>
      </x:c>
      <x:c r="K321" s="36" t="str">
        <x:v>CONTEXT / PRESERVED</x:v>
      </x:c>
      <x:c r="L321" s="36" t="str">
        <x:v>qa</x:v>
      </x:c>
      <x:c r="M321" s="36" t="str">
        <x:v>Retain read-only; current authority remains 00–34.</x:v>
      </x:c>
      <x:c r="N321" s="36" t="str">
        <x:v>Preserved context; not mined as normative authority.</x:v>
      </x:c>
      <x:c r="O321" s="36" t="str">
        <x:v>00_Official_Baseline/v0.6/04_QA_Production/Cartridge_And_Cloud_Trazabilidad_Control_Cambios_v0.6.xlsx</x:v>
      </x:c>
    </x:row>
    <x:row r="322">
      <x:c r="A322" s="27" t="str">
        <x:v>HIST-0318</x:v>
      </x:c>
      <x:c r="B322" s="27" t="str">
        <x:v>00_Official_Baseline</x:v>
      </x:c>
      <x:c r="C322" s="27" t="str">
        <x:v>v0.6</x:v>
      </x:c>
      <x:c r="D322" s="27" t="str"/>
      <x:c r="E322" s="36" t="str">
        <x:v>Cartridge_And_Cloud_Legal_Credits_Licenses_Register_v0.5.pdf</x:v>
      </x:c>
      <x:c r="F322" s="36" t="str">
        <x:v>PDF</x:v>
      </x:c>
      <x:c r="G322" s="54" t="n">
        <x:v>28754</x:v>
      </x:c>
      <x:c r="H322" s="36" t="str">
        <x:v>eee199263d089442dc5ea6228b10b562d7930163c707a7e90402e734bf94db51</x:v>
      </x:c>
      <x:c r="I322" s="36" t="n">
        <x:v>1</x:v>
      </x:c>
      <x:c r="J322" s="36" t="str">
        <x:v>Published historical baseline</x:v>
      </x:c>
      <x:c r="K322" s="36" t="str">
        <x:v>SUPPORTING</x:v>
      </x:c>
      <x:c r="L322" s="36" t="str">
        <x:v>legal, license, release</x:v>
      </x:c>
      <x:c r="M322" s="36" t="str">
        <x:v>Retain read-only; current authority remains 00–34.</x:v>
      </x:c>
      <x:c r="N322" s="36" t="str">
        <x:v>33 risk/continuity context</x:v>
      </x:c>
      <x:c r="O322" s="36" t="str">
        <x:v>00_Official_Baseline/v0.6/05_Business_Release/Cartridge_And_Cloud_Legal_Credits_Licenses_Register_v0.5.pdf</x:v>
      </x:c>
    </x:row>
    <x:row r="323">
      <x:c r="A323" s="27" t="str">
        <x:v>HIST-0319</x:v>
      </x:c>
      <x:c r="B323" s="27" t="str">
        <x:v>00_Official_Baseline</x:v>
      </x:c>
      <x:c r="C323" s="27" t="str">
        <x:v>v0.6</x:v>
      </x:c>
      <x:c r="D323" s="27" t="str"/>
      <x:c r="E323" s="36" t="str">
        <x:v>Cartridge_And_Cloud_Localization_Plan_v0.5.pdf</x:v>
      </x:c>
      <x:c r="F323" s="36" t="str">
        <x:v>PDF</x:v>
      </x:c>
      <x:c r="G323" s="54" t="n">
        <x:v>28785</x:v>
      </x:c>
      <x:c r="H323" s="36" t="str">
        <x:v>0a7e40cfb0a39f46a303f93fd89ea65073e507955c15d89a67639ae1f445aaf8</x:v>
      </x:c>
      <x:c r="I323" s="36" t="n">
        <x:v>1</x:v>
      </x:c>
      <x:c r="J323" s="36" t="str">
        <x:v>Published historical baseline</x:v>
      </x:c>
      <x:c r="K323" s="36" t="str">
        <x:v>CONTEXT / PRESERVED</x:v>
      </x:c>
      <x:c r="L323" s="36" t="str">
        <x:v>release</x:v>
      </x:c>
      <x:c r="M323" s="36" t="str">
        <x:v>Retain read-only; current authority remains 00–34.</x:v>
      </x:c>
      <x:c r="N323" s="36" t="str">
        <x:v>Preserved context; not mined as normative authority.</x:v>
      </x:c>
      <x:c r="O323" s="36" t="str">
        <x:v>00_Official_Baseline/v0.6/05_Business_Release/Cartridge_And_Cloud_Localization_Plan_v0.5.pdf</x:v>
      </x:c>
    </x:row>
    <x:row r="324">
      <x:c r="A324" s="27" t="str">
        <x:v>HIST-0320</x:v>
      </x:c>
      <x:c r="B324" s="27" t="str">
        <x:v>00_Official_Baseline</x:v>
      </x:c>
      <x:c r="C324" s="27" t="str">
        <x:v>v0.6</x:v>
      </x:c>
      <x:c r="D324" s="27" t="str"/>
      <x:c r="E324" s="36" t="str">
        <x:v>Cartridge_And_Cloud_Marketing_Plan_v0.5.pdf</x:v>
      </x:c>
      <x:c r="F324" s="36" t="str">
        <x:v>PDF</x:v>
      </x:c>
      <x:c r="G324" s="54" t="n">
        <x:v>28482</x:v>
      </x:c>
      <x:c r="H324" s="36" t="str">
        <x:v>ee3aba1109fbbde0c6773080e32064694f3eaffd20d557fa941cab855120a9e6</x:v>
      </x:c>
      <x:c r="I324" s="36" t="n">
        <x:v>1</x:v>
      </x:c>
      <x:c r="J324" s="36" t="str">
        <x:v>Published historical baseline</x:v>
      </x:c>
      <x:c r="K324" s="36" t="str">
        <x:v>CONTEXT / PRESERVED</x:v>
      </x:c>
      <x:c r="L324" s="36" t="str">
        <x:v>release</x:v>
      </x:c>
      <x:c r="M324" s="36" t="str">
        <x:v>Retain read-only; current authority remains 00–34.</x:v>
      </x:c>
      <x:c r="N324" s="36" t="str">
        <x:v>Preserved context; not mined as normative authority.</x:v>
      </x:c>
      <x:c r="O324" s="36" t="str">
        <x:v>00_Official_Baseline/v0.6/05_Business_Release/Cartridge_And_Cloud_Marketing_Plan_v0.5.pdf</x:v>
      </x:c>
    </x:row>
    <x:row r="325">
      <x:c r="A325" s="27" t="str">
        <x:v>HIST-0321</x:v>
      </x:c>
      <x:c r="B325" s="27" t="str">
        <x:v>00_Official_Baseline</x:v>
      </x:c>
      <x:c r="C325" s="27" t="str">
        <x:v>v0.6</x:v>
      </x:c>
      <x:c r="D325" s="27" t="str"/>
      <x:c r="E325" s="36" t="str">
        <x:v>Cartridge_And_Cloud_Steam_Publishing_Plan_v0.5.pdf</x:v>
      </x:c>
      <x:c r="F325" s="36" t="str">
        <x:v>PDF</x:v>
      </x:c>
      <x:c r="G325" s="54" t="n">
        <x:v>28734</x:v>
      </x:c>
      <x:c r="H325" s="36" t="str">
        <x:v>a21ea9abe67f1d825731d25b8608c8f7b67e5e1b437356e0e1ee3d97870d7728</x:v>
      </x:c>
      <x:c r="I325" s="36" t="n">
        <x:v>1</x:v>
      </x:c>
      <x:c r="J325" s="36" t="str">
        <x:v>Published historical baseline</x:v>
      </x:c>
      <x:c r="K325" s="36" t="str">
        <x:v>SUPPORTING</x:v>
      </x:c>
      <x:c r="L325" s="36" t="str">
        <x:v>release, steam</x:v>
      </x:c>
      <x:c r="M325" s="36" t="str">
        <x:v>Retain read-only; current authority remains 00–34.</x:v>
      </x:c>
      <x:c r="N325" s="36" t="str">
        <x:v>33 risk/continuity context</x:v>
      </x:c>
      <x:c r="O325" s="36" t="str">
        <x:v>00_Official_Baseline/v0.6/05_Business_Release/Cartridge_And_Cloud_Steam_Publishing_Plan_v0.5.pdf</x:v>
      </x:c>
    </x:row>
    <x:row r="326">
      <x:c r="A326" s="27" t="str">
        <x:v>HIST-0322</x:v>
      </x:c>
      <x:c r="B326" s="27" t="str">
        <x:v>00_Official_Baseline</x:v>
      </x:c>
      <x:c r="C326" s="27" t="str">
        <x:v>v0.6</x:v>
      </x:c>
      <x:c r="D326" s="27" t="str"/>
      <x:c r="E326" s="36" t="str">
        <x:v>ADR-0035_StoreInitial_Manual_Scene_Authoring.md</x:v>
      </x:c>
      <x:c r="F326" s="36" t="str">
        <x:v>MD</x:v>
      </x:c>
      <x:c r="G326" s="54" t="n">
        <x:v>847</x:v>
      </x:c>
      <x:c r="H326" s="36" t="str">
        <x:v>0e69d8b664239477738f3dcce96eb5cfce2ff6e3db8817261f639ac4d64092b3</x:v>
      </x:c>
      <x:c r="I326" s="36" t="n">
        <x:v>1</x:v>
      </x:c>
      <x:c r="J326" s="36" t="str">
        <x:v>Published historical baseline</x:v>
      </x:c>
      <x:c r="K326" s="36" t="str">
        <x:v>SUPPORTING</x:v>
      </x:c>
      <x:c r="L326" s="36" t="str">
        <x:v>adr, build, qa, test</x:v>
      </x:c>
      <x:c r="M326" s="36" t="str">
        <x:v>Retain read-only; current authority remains 00–34.</x:v>
      </x:c>
      <x:c r="N326" s="36" t="str">
        <x:v>33 risk/continuity context</x:v>
      </x:c>
      <x:c r="O326" s="36" t="str">
        <x:v>00_Official_Baseline/v0.6/06_Development_Records/Governance/ADR-0035_StoreInitial_Manual_Scene_Authoring.md</x:v>
      </x:c>
    </x:row>
    <x:row r="327">
      <x:c r="A327" s="27" t="str">
        <x:v>HIST-0323</x:v>
      </x:c>
      <x:c r="B327" s="27" t="str">
        <x:v>00_Official_Baseline</x:v>
      </x:c>
      <x:c r="C327" s="27" t="str">
        <x:v>v0.6</x:v>
      </x:c>
      <x:c r="D327" s="27" t="str"/>
      <x:c r="E327" s="36" t="str">
        <x:v>ADR_Index_Sprints_0_16.md</x:v>
      </x:c>
      <x:c r="F327" s="36" t="str">
        <x:v>MD</x:v>
      </x:c>
      <x:c r="G327" s="54" t="n">
        <x:v>1380</x:v>
      </x:c>
      <x:c r="H327" s="36" t="str">
        <x:v>ed97af0cf722cf8b37cd3c6c2a0ba79c7594bc94eb698c8bcfbf022ccff0c3ed</x:v>
      </x:c>
      <x:c r="I327" s="36" t="n">
        <x:v>1</x:v>
      </x:c>
      <x:c r="J327" s="36" t="str">
        <x:v>Published historical baseline</x:v>
      </x:c>
      <x:c r="K327" s="36" t="str">
        <x:v>DIRECT</x:v>
      </x:c>
      <x:c r="L327" s="36" t="str">
        <x:v>adr, backup, build, qa, recovery, save, sprint</x:v>
      </x:c>
      <x:c r="M327" s="36" t="str">
        <x:v>Retain read-only; current authority remains 00–34.</x:v>
      </x:c>
      <x:c r="N327" s="36" t="str">
        <x:v>33 risk/continuity context</x:v>
      </x:c>
      <x:c r="O327" s="36" t="str">
        <x:v>00_Official_Baseline/v0.6/06_Development_Records/Governance/ADR_Index_Sprints_0_16.md</x:v>
      </x:c>
    </x:row>
    <x:row r="328">
      <x:c r="A328" s="27" t="str">
        <x:v>HIST-0324</x:v>
      </x:c>
      <x:c r="B328" s="27" t="str">
        <x:v>00_Official_Baseline</x:v>
      </x:c>
      <x:c r="C328" s="27" t="str">
        <x:v>v0.6</x:v>
      </x:c>
      <x:c r="D328" s="27" t="str"/>
      <x:c r="E328" s="36" t="str">
        <x:v>Current_Project_Baseline_Record.md</x:v>
      </x:c>
      <x:c r="F328" s="36" t="str">
        <x:v>MD</x:v>
      </x:c>
      <x:c r="G328" s="54" t="n">
        <x:v>605</x:v>
      </x:c>
      <x:c r="H328" s="36" t="str">
        <x:v>98e04d98696a645237fcf80cbca55467a16a09e6bd0d46df1a74637a222ca2e4</x:v>
      </x:c>
      <x:c r="I328" s="36" t="n">
        <x:v>1</x:v>
      </x:c>
      <x:c r="J328" s="36" t="str">
        <x:v>Published historical baseline</x:v>
      </x:c>
      <x:c r="K328" s="36" t="str">
        <x:v>SUPPORTING</x:v>
      </x:c>
      <x:c r="L328" s="36" t="str">
        <x:v>build, sprint</x:v>
      </x:c>
      <x:c r="M328" s="36" t="str">
        <x:v>Retain read-only; current authority remains 00–34.</x:v>
      </x:c>
      <x:c r="N328" s="36" t="str">
        <x:v>33 risk/continuity context</x:v>
      </x:c>
      <x:c r="O328" s="36" t="str">
        <x:v>00_Official_Baseline/v0.6/06_Development_Records/Governance/Current_Project_Baseline_Record.md</x:v>
      </x:c>
    </x:row>
    <x:row r="329">
      <x:c r="A329" s="27" t="str">
        <x:v>HIST-0325</x:v>
      </x:c>
      <x:c r="B329" s="27" t="str">
        <x:v>00_Official_Baseline</x:v>
      </x:c>
      <x:c r="C329" s="27" t="str">
        <x:v>v0.6</x:v>
      </x:c>
      <x:c r="D329" s="27" t="str"/>
      <x:c r="E329" s="36" t="str">
        <x:v>Sprint_History_Summary.md</x:v>
      </x:c>
      <x:c r="F329" s="36" t="str">
        <x:v>MD</x:v>
      </x:c>
      <x:c r="G329" s="54" t="n">
        <x:v>858</x:v>
      </x:c>
      <x:c r="H329" s="36" t="str">
        <x:v>db3967d73cb90a9879c223328a922431bf3685b1a8e57afa190511403dc9d1eb</x:v>
      </x:c>
      <x:c r="I329" s="36" t="n">
        <x:v>1</x:v>
      </x:c>
      <x:c r="J329" s="36" t="str">
        <x:v>Published historical baseline</x:v>
      </x:c>
      <x:c r="K329" s="36" t="str">
        <x:v>SUPPORTING</x:v>
      </x:c>
      <x:c r="L329" s="36" t="str">
        <x:v>closure, recovery, save, sprint</x:v>
      </x:c>
      <x:c r="M329" s="36" t="str">
        <x:v>Retain read-only; current authority remains 00–34.</x:v>
      </x:c>
      <x:c r="N329" s="36" t="str">
        <x:v>33 risk/continuity context</x:v>
      </x:c>
      <x:c r="O329" s="36" t="str">
        <x:v>00_Official_Baseline/v0.6/06_Development_Records/Governance/Sprint_History_Summary.md</x:v>
      </x:c>
    </x:row>
    <x:row r="330">
      <x:c r="A330" s="27" t="str">
        <x:v>HIST-0326</x:v>
      </x:c>
      <x:c r="B330" s="27" t="str">
        <x:v>00_Official_Baseline</x:v>
      </x:c>
      <x:c r="C330" s="27" t="str">
        <x:v>v0.6</x:v>
      </x:c>
      <x:c r="D330" s="27" t="str"/>
      <x:c r="E330" s="36" t="str">
        <x:v>CURRENT_PROJECT_HANDOFF.md</x:v>
      </x:c>
      <x:c r="F330" s="36" t="str">
        <x:v>MD</x:v>
      </x:c>
      <x:c r="G330" s="54" t="n">
        <x:v>1241</x:v>
      </x:c>
      <x:c r="H330" s="36" t="str">
        <x:v>7a297d84a36ecdd9e4296a631fc5acbff882218d125e63312850e8f28b46cd87</x:v>
      </x:c>
      <x:c r="I330" s="36" t="n">
        <x:v>2</x:v>
      </x:c>
      <x:c r="J330" s="36" t="str">
        <x:v>Published historical baseline</x:v>
      </x:c>
      <x:c r="K330" s="36" t="str">
        <x:v>SUPPORTING</x:v>
      </x:c>
      <x:c r="L330" s="36" t="str">
        <x:v>build, handoff, sprint, test</x:v>
      </x:c>
      <x:c r="M330" s="36" t="str">
        <x:v>Retain read-only; current authority remains 00–34.</x:v>
      </x:c>
      <x:c r="N330" s="36" t="str">
        <x:v>33 risk/continuity context</x:v>
      </x:c>
      <x:c r="O330" s="36" t="str">
        <x:v>00_Official_Baseline/v0.6/06_Development_Records/Handoff/CURRENT_PROJECT_HANDOFF.md</x:v>
      </x:c>
    </x:row>
    <x:row r="331">
      <x:c r="A331" s="27" t="str">
        <x:v>HIST-0327</x:v>
      </x:c>
      <x:c r="B331" s="27" t="str">
        <x:v>00_Official_Baseline</x:v>
      </x:c>
      <x:c r="C331" s="27" t="str">
        <x:v>v0.6</x:v>
      </x:c>
      <x:c r="D331" s="27" t="str"/>
      <x:c r="E331" s="36" t="str">
        <x:v>NEXT_CHAT_START_HERE.md</x:v>
      </x:c>
      <x:c r="F331" s="36" t="str">
        <x:v>MD</x:v>
      </x:c>
      <x:c r="G331" s="54" t="n">
        <x:v>896</x:v>
      </x:c>
      <x:c r="H331" s="36" t="str">
        <x:v>e0cca56b839dc2071363b310c06543178dbf978622990fc7f4be301e077fc754</x:v>
      </x:c>
      <x:c r="I331" s="36" t="n">
        <x:v>1</x:v>
      </x:c>
      <x:c r="J331" s="36" t="str">
        <x:v>Published historical baseline</x:v>
      </x:c>
      <x:c r="K331" s="36" t="str">
        <x:v>SUPPORTING</x:v>
      </x:c>
      <x:c r="L331" s="36" t="str">
        <x:v>handoff, sprint, test</x:v>
      </x:c>
      <x:c r="M331" s="36" t="str">
        <x:v>Retain read-only; current authority remains 00–34.</x:v>
      </x:c>
      <x:c r="N331" s="36" t="str">
        <x:v>33 risk/continuity context</x:v>
      </x:c>
      <x:c r="O331" s="36" t="str">
        <x:v>00_Official_Baseline/v0.6/06_Development_Records/Handoff/NEXT_CHAT_START_HERE.md</x:v>
      </x:c>
    </x:row>
    <x:row r="332">
      <x:c r="A332" s="27" t="str">
        <x:v>HIST-0328</x:v>
      </x:c>
      <x:c r="B332" s="27" t="str">
        <x:v>00_Official_Baseline</x:v>
      </x:c>
      <x:c r="C332" s="27" t="str">
        <x:v>v0.6</x:v>
      </x:c>
      <x:c r="D332" s="27" t="str">
        <x:v>Sprint 16</x:v>
      </x:c>
      <x:c r="E332" s="36" t="str">
        <x:v>Sprint_16_Integration_Timeline.md</x:v>
      </x:c>
      <x:c r="F332" s="36" t="str">
        <x:v>MD</x:v>
      </x:c>
      <x:c r="G332" s="54" t="n">
        <x:v>1783</x:v>
      </x:c>
      <x:c r="H332" s="36" t="str">
        <x:v>89fde821c460328fbb8700022883006d2eb8a1ab892c266972b7a1cc207cbcc0</x:v>
      </x:c>
      <x:c r="I332" s="36" t="n">
        <x:v>1</x:v>
      </x:c>
      <x:c r="J332" s="36" t="str">
        <x:v>Published historical baseline</x:v>
      </x:c>
      <x:c r="K332" s="36" t="str">
        <x:v>SUPPORTING</x:v>
      </x:c>
      <x:c r="L332" s="36" t="str">
        <x:v>build, sprint, test, validation</x:v>
      </x:c>
      <x:c r="M332" s="36" t="str">
        <x:v>Retain read-only; current authority remains 00–34.</x:v>
      </x:c>
      <x:c r="N332" s="36" t="str">
        <x:v>33 risk/continuity context</x:v>
      </x:c>
      <x:c r="O332" s="36" t="str">
        <x:v>00_Official_Baseline/v0.6/06_Development_Records/Historical/Sprint_16_Integration_Timeline.md</x:v>
      </x:c>
    </x:row>
    <x:row r="333">
      <x:c r="A333" s="27" t="str">
        <x:v>HIST-0329</x:v>
      </x:c>
      <x:c r="B333" s="27" t="str">
        <x:v>00_Official_Baseline</x:v>
      </x:c>
      <x:c r="C333" s="27" t="str">
        <x:v>v0.6</x:v>
      </x:c>
      <x:c r="D333" s="27" t="str"/>
      <x:c r="E333" s="36" t="str">
        <x:v>Sprints_00_15_Consolidated_Closure_Ledger.md</x:v>
      </x:c>
      <x:c r="F333" s="36" t="str">
        <x:v>MD</x:v>
      </x:c>
      <x:c r="G333" s="54" t="n">
        <x:v>3630</x:v>
      </x:c>
      <x:c r="H333" s="36" t="str">
        <x:v>17c317dacaec6438f7a1180b6b2811184a0d995fb41964ed2fe9ab46e1d35aab</x:v>
      </x:c>
      <x:c r="I333" s="36" t="n">
        <x:v>1</x:v>
      </x:c>
      <x:c r="J333" s="36" t="str">
        <x:v>Published historical baseline</x:v>
      </x:c>
      <x:c r="K333" s="36" t="str">
        <x:v>DIRECT</x:v>
      </x:c>
      <x:c r="L333" s="36" t="str">
        <x:v>acceptance, backup, build, closure, recovery, save, sprint, test, validation</x:v>
      </x:c>
      <x:c r="M333" s="36" t="str">
        <x:v>Retain read-only; current authority remains 00–34.</x:v>
      </x:c>
      <x:c r="N333" s="36" t="str">
        <x:v>33 risk/continuity context</x:v>
      </x:c>
      <x:c r="O333" s="36" t="str">
        <x:v>00_Official_Baseline/v0.6/06_Development_Records/Historical/Sprints_00_15_Consolidated_Closure_Ledger.md</x:v>
      </x:c>
    </x:row>
    <x:row r="334">
      <x:c r="A334" s="27" t="str">
        <x:v>HIST-0330</x:v>
      </x:c>
      <x:c r="B334" s="27" t="str">
        <x:v>00_Official_Baseline</x:v>
      </x:c>
      <x:c r="C334" s="27" t="str">
        <x:v>v0.6</x:v>
      </x:c>
      <x:c r="D334" s="27" t="str"/>
      <x:c r="E334" s="36" t="str">
        <x:v>KNOWN_ISSUES_v0.6.md</x:v>
      </x:c>
      <x:c r="F334" s="36" t="str">
        <x:v>MD</x:v>
      </x:c>
      <x:c r="G334" s="54" t="n">
        <x:v>625</x:v>
      </x:c>
      <x:c r="H334" s="36" t="str">
        <x:v>cafa5a86bea24229e6306b324d1511e08d663f0b1ef97925be6de562f50ab5ec</x:v>
      </x:c>
      <x:c r="I334" s="36" t="n">
        <x:v>1</x:v>
      </x:c>
      <x:c r="J334" s="36" t="str">
        <x:v>Published historical baseline</x:v>
      </x:c>
      <x:c r="K334" s="36" t="str">
        <x:v>CONTEXT / PRESERVED</x:v>
      </x:c>
      <x:c r="L334" s="36" t="str">
        <x:v>validation</x:v>
      </x:c>
      <x:c r="M334" s="36" t="str">
        <x:v>Retain read-only; current authority remains 00–34.</x:v>
      </x:c>
      <x:c r="N334" s="36" t="str">
        <x:v>Preserved context; not mined as normative authority.</x:v>
      </x:c>
      <x:c r="O334" s="36" t="str">
        <x:v>00_Official_Baseline/v0.6/06_Development_Records/Known_Issues/KNOWN_ISSUES_v0.6.md</x:v>
      </x:c>
    </x:row>
    <x:row r="335">
      <x:c r="A335" s="27" t="str">
        <x:v>HIST-0331</x:v>
      </x:c>
      <x:c r="B335" s="27" t="str">
        <x:v>00_Official_Baseline</x:v>
      </x:c>
      <x:c r="C335" s="27" t="str">
        <x:v>v0.6</x:v>
      </x:c>
      <x:c r="D335" s="27" t="str">
        <x:v>Sprint 16</x:v>
      </x:c>
      <x:c r="E335" s="36" t="str">
        <x:v>StoreInitial_Authoring_Plan.md</x:v>
      </x:c>
      <x:c r="F335" s="36" t="str">
        <x:v>MD</x:v>
      </x:c>
      <x:c r="G335" s="54" t="n">
        <x:v>741</x:v>
      </x:c>
      <x:c r="H335" s="36" t="str">
        <x:v>f67d195bcda2bd1f861dcf5c53d0a299260c1f04c2f299250856a76616131eba</x:v>
      </x:c>
      <x:c r="I335" s="36" t="n">
        <x:v>1</x:v>
      </x:c>
      <x:c r="J335" s="36" t="str">
        <x:v>Published historical baseline</x:v>
      </x:c>
      <x:c r="K335" s="36" t="str">
        <x:v>SUPPORTING</x:v>
      </x:c>
      <x:c r="L335" s="36" t="str">
        <x:v>build, save, sprint, test</x:v>
      </x:c>
      <x:c r="M335" s="36" t="str">
        <x:v>Retain read-only; current authority remains 00–34.</x:v>
      </x:c>
      <x:c r="N335" s="36" t="str">
        <x:v>33 risk/continuity context</x:v>
      </x:c>
      <x:c r="O335" s="36" t="str">
        <x:v>00_Official_Baseline/v0.6/06_Development_Records/Sprints/Sprint_16/Documentation/StoreInitial_Authoring_Plan.md</x:v>
      </x:c>
    </x:row>
    <x:row r="336">
      <x:c r="A336" s="27" t="str">
        <x:v>HIST-0332</x:v>
      </x:c>
      <x:c r="B336" s="27" t="str">
        <x:v>00_Official_Baseline</x:v>
      </x:c>
      <x:c r="C336" s="27" t="str">
        <x:v>v0.6</x:v>
      </x:c>
      <x:c r="D336" s="27" t="str">
        <x:v>Sprint 16</x:v>
      </x:c>
      <x:c r="E336" s="36" t="str">
        <x:v>Sprint_16_Current_Status.md</x:v>
      </x:c>
      <x:c r="F336" s="36" t="str">
        <x:v>MD</x:v>
      </x:c>
      <x:c r="G336" s="54" t="n">
        <x:v>665</x:v>
      </x:c>
      <x:c r="H336" s="36" t="str">
        <x:v>bc336c8bf852d942d1b0289cebfdde9db889088990fcc6151df5db559e94d1a9</x:v>
      </x:c>
      <x:c r="I336" s="36" t="n">
        <x:v>1</x:v>
      </x:c>
      <x:c r="J336" s="36" t="str">
        <x:v>Published historical baseline</x:v>
      </x:c>
      <x:c r="K336" s="36" t="str">
        <x:v>SUPPORTING</x:v>
      </x:c>
      <x:c r="L336" s="36" t="str">
        <x:v>build, current_status, sprint, test</x:v>
      </x:c>
      <x:c r="M336" s="36" t="str">
        <x:v>Retain read-only; current authority remains 00–34.</x:v>
      </x:c>
      <x:c r="N336" s="36" t="str">
        <x:v>33 risk/continuity context</x:v>
      </x:c>
      <x:c r="O336" s="36" t="str">
        <x:v>00_Official_Baseline/v0.6/06_Development_Records/Sprints/Sprint_16/Governance/Sprint_16_Current_Status.md</x:v>
      </x:c>
    </x:row>
    <x:row r="337">
      <x:c r="A337" s="27" t="str">
        <x:v>HIST-0333</x:v>
      </x:c>
      <x:c r="B337" s="27" t="str">
        <x:v>00_Official_Baseline</x:v>
      </x:c>
      <x:c r="C337" s="27" t="str">
        <x:v>v0.6</x:v>
      </x:c>
      <x:c r="D337" s="27" t="str">
        <x:v>Sprint 16</x:v>
      </x:c>
      <x:c r="E337" s="36" t="str">
        <x:v>Sprint_16_Representative_Asset_Integration_Record.md</x:v>
      </x:c>
      <x:c r="F337" s="36" t="str">
        <x:v>MD</x:v>
      </x:c>
      <x:c r="G337" s="54" t="n">
        <x:v>554</x:v>
      </x:c>
      <x:c r="H337" s="36" t="str">
        <x:v>91133cf2823d732d58fcd23601d6816e610e00375cc38e39737929d88fc4ec54</x:v>
      </x:c>
      <x:c r="I337" s="36" t="n">
        <x:v>1</x:v>
      </x:c>
      <x:c r="J337" s="36" t="str">
        <x:v>Published historical baseline</x:v>
      </x:c>
      <x:c r="K337" s="36" t="str">
        <x:v>SUPPORTING</x:v>
      </x:c>
      <x:c r="L337" s="36" t="str">
        <x:v>build, sprint, test</x:v>
      </x:c>
      <x:c r="M337" s="36" t="str">
        <x:v>Retain read-only; current authority remains 00–34.</x:v>
      </x:c>
      <x:c r="N337" s="36" t="str">
        <x:v>33 risk/continuity context</x:v>
      </x:c>
      <x:c r="O337" s="36" t="str">
        <x:v>00_Official_Baseline/v0.6/06_Development_Records/Sprints/Sprint_16/Governance/Sprint_16_Representative_Asset_Integration_Record.md</x:v>
      </x:c>
    </x:row>
    <x:row r="338">
      <x:c r="A338" s="27" t="str">
        <x:v>HIST-0334</x:v>
      </x:c>
      <x:c r="B338" s="27" t="str">
        <x:v>00_Official_Baseline</x:v>
      </x:c>
      <x:c r="C338" s="27" t="str">
        <x:v>v0.6</x:v>
      </x:c>
      <x:c r="D338" s="27" t="str">
        <x:v>Sprint 16</x:v>
      </x:c>
      <x:c r="E338" s="36" t="str">
        <x:v>S16_Acceptance_Matrix.md</x:v>
      </x:c>
      <x:c r="F338" s="36" t="str">
        <x:v>MD</x:v>
      </x:c>
      <x:c r="G338" s="54" t="n">
        <x:v>572</x:v>
      </x:c>
      <x:c r="H338" s="36" t="str">
        <x:v>4ad529aceeaf7e2ea87def0e0be2f8f3998d6218f6ac11a06b40f770e66c44fd</x:v>
      </x:c>
      <x:c r="I338" s="36" t="n">
        <x:v>1</x:v>
      </x:c>
      <x:c r="J338" s="36" t="str">
        <x:v>Published historical baseline</x:v>
      </x:c>
      <x:c r="K338" s="36" t="str">
        <x:v>SUPPORTING</x:v>
      </x:c>
      <x:c r="L338" s="36" t="str">
        <x:v>acceptance, build, qa, sprint</x:v>
      </x:c>
      <x:c r="M338" s="36" t="str">
        <x:v>Retain read-only; current authority remains 00–34.</x:v>
      </x:c>
      <x:c r="N338" s="36" t="str">
        <x:v>33 risk/continuity context</x:v>
      </x:c>
      <x:c r="O338" s="36" t="str">
        <x:v>00_Official_Baseline/v0.6/06_Development_Records/Sprints/Sprint_16/QA/S16_Acceptance_Matrix.md</x:v>
      </x:c>
    </x:row>
    <x:row r="339">
      <x:c r="A339" s="27" t="str">
        <x:v>HIST-0335</x:v>
      </x:c>
      <x:c r="B339" s="27" t="str">
        <x:v>00_Official_Baseline</x:v>
      </x:c>
      <x:c r="C339" s="27" t="str">
        <x:v>v0.6</x:v>
      </x:c>
      <x:c r="D339" s="27" t="str">
        <x:v>Sprint 16</x:v>
      </x:c>
      <x:c r="E339" s="36" t="str">
        <x:v>S16_QA_Execution_Record.md</x:v>
      </x:c>
      <x:c r="F339" s="36" t="str">
        <x:v>MD</x:v>
      </x:c>
      <x:c r="G339" s="54" t="n">
        <x:v>328</x:v>
      </x:c>
      <x:c r="H339" s="36" t="str">
        <x:v>40c6de3168db5dcf5c71afc166c0a3a2bf34f2dc3e71344c3ccea6176d573766</x:v>
      </x:c>
      <x:c r="I339" s="36" t="n">
        <x:v>1</x:v>
      </x:c>
      <x:c r="J339" s="36" t="str">
        <x:v>Published historical baseline</x:v>
      </x:c>
      <x:c r="K339" s="36" t="str">
        <x:v>SUPPORTING</x:v>
      </x:c>
      <x:c r="L339" s="36" t="str">
        <x:v>build, qa, sprint</x:v>
      </x:c>
      <x:c r="M339" s="36" t="str">
        <x:v>Retain read-only; current authority remains 00–34.</x:v>
      </x:c>
      <x:c r="N339" s="36" t="str">
        <x:v>33 risk/continuity context</x:v>
      </x:c>
      <x:c r="O339" s="36" t="str">
        <x:v>00_Official_Baseline/v0.6/06_Development_Records/Sprints/Sprint_16/QA/S16_QA_Execution_Record.md</x:v>
      </x:c>
    </x:row>
    <x:row r="340">
      <x:c r="A340" s="27" t="str">
        <x:v>HIST-0336</x:v>
      </x:c>
      <x:c r="B340" s="27" t="str">
        <x:v>00_Official_Baseline</x:v>
      </x:c>
      <x:c r="C340" s="27" t="str">
        <x:v>v0.6</x:v>
      </x:c>
      <x:c r="D340" s="27" t="str">
        <x:v>Sprint 16</x:v>
      </x:c>
      <x:c r="E340" s="36" t="str">
        <x:v>S16_Traceability_Entries.csv</x:v>
      </x:c>
      <x:c r="F340" s="36" t="str">
        <x:v>CSV</x:v>
      </x:c>
      <x:c r="G340" s="54" t="n">
        <x:v>460</x:v>
      </x:c>
      <x:c r="H340" s="36" t="str">
        <x:v>3263ee5adec14e81588139e9c291ae973115ac75bef79233e6a514ac3643fd67</x:v>
      </x:c>
      <x:c r="I340" s="36" t="n">
        <x:v>1</x:v>
      </x:c>
      <x:c r="J340" s="36" t="str">
        <x:v>Published historical baseline</x:v>
      </x:c>
      <x:c r="K340" s="36" t="str">
        <x:v>SUPPORTING</x:v>
      </x:c>
      <x:c r="L340" s="36" t="str">
        <x:v>build, sprint, validation</x:v>
      </x:c>
      <x:c r="M340" s="36" t="str">
        <x:v>Retain read-only; current authority remains 00–34.</x:v>
      </x:c>
      <x:c r="N340" s="36" t="str">
        <x:v>33 risk/continuity context</x:v>
      </x:c>
      <x:c r="O340" s="36" t="str">
        <x:v>00_Official_Baseline/v0.6/06_Development_Records/Sprints/Sprint_16/Traceability/S16_Traceability_Entries.csv</x:v>
      </x:c>
    </x:row>
    <x:row r="341">
      <x:c r="A341" s="27" t="str">
        <x:v>HIST-0337</x:v>
      </x:c>
      <x:c r="B341" s="27" t="str">
        <x:v>00_Official_Baseline</x:v>
      </x:c>
      <x:c r="C341" s="27" t="str">
        <x:v>v0.6</x:v>
      </x:c>
      <x:c r="D341" s="27" t="str">
        <x:v>Sprint 17</x:v>
      </x:c>
      <x:c r="E341" s="36" t="str">
        <x:v>Sprint_17_Opening_Brief.md</x:v>
      </x:c>
      <x:c r="F341" s="36" t="str">
        <x:v>MD</x:v>
      </x:c>
      <x:c r="G341" s="54" t="n">
        <x:v>239</x:v>
      </x:c>
      <x:c r="H341" s="36" t="str">
        <x:v>fb2c1a557e3b6cd765497315fa554eacc048c2fd21a2be9c7f5f28895a189ac1</x:v>
      </x:c>
      <x:c r="I341" s="36" t="n">
        <x:v>1</x:v>
      </x:c>
      <x:c r="J341" s="36" t="str">
        <x:v>Published historical baseline</x:v>
      </x:c>
      <x:c r="K341" s="36" t="str">
        <x:v>DIRECT</x:v>
      </x:c>
      <x:c r="L341" s="36" t="str">
        <x:v>build, closure, performance, qa, sprint</x:v>
      </x:c>
      <x:c r="M341" s="36" t="str">
        <x:v>Retain read-only; current authority remains 00–34.</x:v>
      </x:c>
      <x:c r="N341" s="36" t="str">
        <x:v>33 risk/continuity context</x:v>
      </x:c>
      <x:c r="O341" s="36" t="str">
        <x:v>00_Official_Baseline/v0.6/06_Development_Records/Sprints/Sprint_17/Governance/Sprint_17_Opening_Brief.md</x:v>
      </x:c>
    </x:row>
    <x:row r="342">
      <x:c r="A342" s="27" t="str">
        <x:v>HIST-0338</x:v>
      </x:c>
      <x:c r="B342" s="27" t="str">
        <x:v>00_Official_Baseline</x:v>
      </x:c>
      <x:c r="C342" s="27" t="str">
        <x:v>v0.6</x:v>
      </x:c>
      <x:c r="D342" s="27" t="str"/>
      <x:c r="E342" s="36" t="str">
        <x:v>00_Cartridge_And_Cloud_Guide_v0.6.md</x:v>
      </x:c>
      <x:c r="F342" s="36" t="str">
        <x:v>MD</x:v>
      </x:c>
      <x:c r="G342" s="54" t="n">
        <x:v>8360</x:v>
      </x:c>
      <x:c r="H342" s="36" t="str">
        <x:v>ea57886a818c892391b8bc669d5248c91d83500526d31d38550ad3da92552428</x:v>
      </x:c>
      <x:c r="I342" s="36" t="n">
        <x:v>1</x:v>
      </x:c>
      <x:c r="J342" s="36" t="str">
        <x:v>Authoring source</x:v>
      </x:c>
      <x:c r="K342" s="36" t="str">
        <x:v>DIRECT</x:v>
      </x:c>
      <x:c r="L342" s="36" t="str">
        <x:v>backup, build, current_status, handoff, qa, roadmap, save, sprint, steam, test</x:v>
      </x:c>
      <x:c r="M342" s="36" t="str">
        <x:v>Retain read-only; current authority remains 00–34.</x:v>
      </x:c>
      <x:c r="N342" s="36" t="str">
        <x:v>33 risk/continuity context</x:v>
      </x:c>
      <x:c r="O342" s="36" t="str">
        <x:v>00_Official_Baseline/v0.6/99_Source_Markdown/00_Cartridge_And_Cloud_Guide_v0.6.md</x:v>
      </x:c>
    </x:row>
    <x:row r="343">
      <x:c r="A343" s="27" t="str">
        <x:v>HIST-0339</x:v>
      </x:c>
      <x:c r="B343" s="27" t="str">
        <x:v>00_Official_Baseline</x:v>
      </x:c>
      <x:c r="C343" s="27" t="str">
        <x:v>v0.6</x:v>
      </x:c>
      <x:c r="D343" s="27" t="str"/>
      <x:c r="E343" s="36" t="str">
        <x:v>Cartridge_And_Cloud_Art_Bible_v0.5.md</x:v>
      </x:c>
      <x:c r="F343" s="36" t="str">
        <x:v>MD</x:v>
      </x:c>
      <x:c r="G343" s="54" t="n">
        <x:v>2501</x:v>
      </x:c>
      <x:c r="H343" s="36" t="str">
        <x:v>27d4fe8de7bd166329880e6975b1bf90883cd92ca7133b667f1036b09816ca42</x:v>
      </x:c>
      <x:c r="I343" s="36" t="n">
        <x:v>1</x:v>
      </x:c>
      <x:c r="J343" s="36" t="str">
        <x:v>Authoring source</x:v>
      </x:c>
      <x:c r="K343" s="36" t="str">
        <x:v>SUPPORTING</x:v>
      </x:c>
      <x:c r="L343" s="36" t="str">
        <x:v>sprint, steam</x:v>
      </x:c>
      <x:c r="M343" s="36" t="str">
        <x:v>Retain read-only; current authority remains 00–34.</x:v>
      </x:c>
      <x:c r="N343" s="36" t="str">
        <x:v>33 risk/continuity context</x:v>
      </x:c>
      <x:c r="O343" s="36" t="str">
        <x:v>00_Official_Baseline/v0.6/99_Source_Markdown/Cartridge_And_Cloud_Art_Bible_v0.5.md</x:v>
      </x:c>
    </x:row>
    <x:row r="344">
      <x:c r="A344" s="27" t="str">
        <x:v>HIST-0340</x:v>
      </x:c>
      <x:c r="B344" s="27" t="str">
        <x:v>00_Official_Baseline</x:v>
      </x:c>
      <x:c r="C344" s="27" t="str">
        <x:v>v0.6</x:v>
      </x:c>
      <x:c r="D344" s="27" t="str"/>
      <x:c r="E344" s="36" t="str">
        <x:v>Cartridge_And_Cloud_Audio_Bible_v0.5.md</x:v>
      </x:c>
      <x:c r="F344" s="36" t="str">
        <x:v>MD</x:v>
      </x:c>
      <x:c r="G344" s="54" t="n">
        <x:v>2018</x:v>
      </x:c>
      <x:c r="H344" s="36" t="str">
        <x:v>3edc3d0db88a36ac7726381883bbf4ffb5f5260a6cb5d972ecf659fbd5116aed</x:v>
      </x:c>
      <x:c r="I344" s="36" t="n">
        <x:v>1</x:v>
      </x:c>
      <x:c r="J344" s="36" t="str">
        <x:v>Authoring source</x:v>
      </x:c>
      <x:c r="K344" s="36" t="str">
        <x:v>SUPPORTING</x:v>
      </x:c>
      <x:c r="L344" s="36" t="str">
        <x:v>build, sprint, steam</x:v>
      </x:c>
      <x:c r="M344" s="36" t="str">
        <x:v>Retain read-only; current authority remains 00–34.</x:v>
      </x:c>
      <x:c r="N344" s="36" t="str">
        <x:v>33 risk/continuity context</x:v>
      </x:c>
      <x:c r="O344" s="36" t="str">
        <x:v>00_Official_Baseline/v0.6/99_Source_Markdown/Cartridge_And_Cloud_Audio_Bible_v0.5.md</x:v>
      </x:c>
    </x:row>
    <x:row r="345">
      <x:c r="A345" s="27" t="str">
        <x:v>HIST-0341</x:v>
      </x:c>
      <x:c r="B345" s="27" t="str">
        <x:v>00_Official_Baseline</x:v>
      </x:c>
      <x:c r="C345" s="27" t="str">
        <x:v>v0.6</x:v>
      </x:c>
      <x:c r="D345" s="27" t="str"/>
      <x:c r="E345" s="36" t="str">
        <x:v>Cartridge_And_Cloud_Build_Versioning_Guide_v0.6.md</x:v>
      </x:c>
      <x:c r="F345" s="36" t="str">
        <x:v>MD</x:v>
      </x:c>
      <x:c r="G345" s="54" t="n">
        <x:v>2462</x:v>
      </x:c>
      <x:c r="H345" s="36" t="str">
        <x:v>8cd0f62e233cfbad2bed3a07122696e2ea81b4fd5280987cffb9a8a2a1e98d43</x:v>
      </x:c>
      <x:c r="I345" s="36" t="n">
        <x:v>1</x:v>
      </x:c>
      <x:c r="J345" s="36" t="str">
        <x:v>Authoring source</x:v>
      </x:c>
      <x:c r="K345" s="36" t="str">
        <x:v>DIRECT</x:v>
      </x:c>
      <x:c r="L345" s="36" t="str">
        <x:v>build, checksum, release, sprint, steam</x:v>
      </x:c>
      <x:c r="M345" s="36" t="str">
        <x:v>Retain read-only; current authority remains 00–34.</x:v>
      </x:c>
      <x:c r="N345" s="36" t="str">
        <x:v>33 risk/continuity context</x:v>
      </x:c>
      <x:c r="O345" s="36" t="str">
        <x:v>00_Official_Baseline/v0.6/99_Source_Markdown/Cartridge_And_Cloud_Build_Versioning_Guide_v0.6.md</x:v>
      </x:c>
    </x:row>
    <x:row r="346">
      <x:c r="A346" s="27" t="str">
        <x:v>HIST-0342</x:v>
      </x:c>
      <x:c r="B346" s="27" t="str">
        <x:v>00_Official_Baseline</x:v>
      </x:c>
      <x:c r="C346" s="27" t="str">
        <x:v>v0.6</x:v>
      </x:c>
      <x:c r="D346" s="27" t="str"/>
      <x:c r="E346" s="36" t="str">
        <x:v>Cartridge_And_Cloud_CSharp_Coding_Standards_v0.5.md</x:v>
      </x:c>
      <x:c r="F346" s="36" t="str">
        <x:v>MD</x:v>
      </x:c>
      <x:c r="G346" s="54" t="n">
        <x:v>2690</x:v>
      </x:c>
      <x:c r="H346" s="36" t="str">
        <x:v>99f4cf1616d3c5e3d825ce713c6996928a09fa5c28c43802c4104336a28bfe57</x:v>
      </x:c>
      <x:c r="I346" s="36" t="n">
        <x:v>1</x:v>
      </x:c>
      <x:c r="J346" s="36" t="str">
        <x:v>Authoring source</x:v>
      </x:c>
      <x:c r="K346" s="36" t="str">
        <x:v>SUPPORTING</x:v>
      </x:c>
      <x:c r="L346" s="36" t="str">
        <x:v>dependencia, sprint, steam, test</x:v>
      </x:c>
      <x:c r="M346" s="36" t="str">
        <x:v>Retain read-only; current authority remains 00–34.</x:v>
      </x:c>
      <x:c r="N346" s="36" t="str">
        <x:v>33 risk/continuity context</x:v>
      </x:c>
      <x:c r="O346" s="36" t="str">
        <x:v>00_Official_Baseline/v0.6/99_Source_Markdown/Cartridge_And_Cloud_CSharp_Coding_Standards_v0.5.md</x:v>
      </x:c>
    </x:row>
    <x:row r="347">
      <x:c r="A347" s="27" t="str">
        <x:v>HIST-0343</x:v>
      </x:c>
      <x:c r="B347" s="27" t="str">
        <x:v>00_Official_Baseline</x:v>
      </x:c>
      <x:c r="C347" s="27" t="str">
        <x:v>v0.6</x:v>
      </x:c>
      <x:c r="D347" s="27" t="str"/>
      <x:c r="E347" s="36" t="str">
        <x:v>Cartridge_And_Cloud_Document_Migration_Plan_v0.3.md</x:v>
      </x:c>
      <x:c r="F347" s="36" t="str">
        <x:v>MD</x:v>
      </x:c>
      <x:c r="G347" s="54" t="n">
        <x:v>2740</x:v>
      </x:c>
      <x:c r="H347" s="36" t="str">
        <x:v>e72d9cd5b5f41609df36f157d26025eb93cb707e433341a939a4b5201cb725c8</x:v>
      </x:c>
      <x:c r="I347" s="36" t="n">
        <x:v>1</x:v>
      </x:c>
      <x:c r="J347" s="36" t="str">
        <x:v>Authoring source</x:v>
      </x:c>
      <x:c r="K347" s="36" t="str">
        <x:v>DIRECT</x:v>
      </x:c>
      <x:c r="L347" s="36" t="str">
        <x:v>adr, checksum, continuidad, handoff, sprint, steam, test</x:v>
      </x:c>
      <x:c r="M347" s="36" t="str">
        <x:v>Retain read-only; current authority remains 00–34.</x:v>
      </x:c>
      <x:c r="N347" s="36" t="str">
        <x:v>33 risk/continuity context</x:v>
      </x:c>
      <x:c r="O347" s="36" t="str">
        <x:v>00_Official_Baseline/v0.6/99_Source_Markdown/Cartridge_And_Cloud_Document_Migration_Plan_v0.3.md</x:v>
      </x:c>
    </x:row>
    <x:row r="348">
      <x:c r="A348" s="27" t="str">
        <x:v>HIST-0344</x:v>
      </x:c>
      <x:c r="B348" s="27" t="str">
        <x:v>00_Official_Baseline</x:v>
      </x:c>
      <x:c r="C348" s="27" t="str">
        <x:v>v0.6</x:v>
      </x:c>
      <x:c r="D348" s="27" t="str"/>
      <x:c r="E348" s="36" t="str">
        <x:v>Cartridge_And_Cloud_Documentation_Validation_Report_v0.4.md</x:v>
      </x:c>
      <x:c r="F348" s="36" t="str">
        <x:v>MD</x:v>
      </x:c>
      <x:c r="G348" s="54" t="n">
        <x:v>2021</x:v>
      </x:c>
      <x:c r="H348" s="36" t="str">
        <x:v>a08d4ff750799f8b8d4cf0bd9412f4e6c5c7258055d089a896d0abaf8bf52d69</x:v>
      </x:c>
      <x:c r="I348" s="36" t="n">
        <x:v>1</x:v>
      </x:c>
      <x:c r="J348" s="36" t="str">
        <x:v>Authoring source</x:v>
      </x:c>
      <x:c r="K348" s="36" t="str">
        <x:v>DIRECT</x:v>
      </x:c>
      <x:c r="L348" s="36" t="str">
        <x:v>checksum, continuidad, sprint, steam, test, validation</x:v>
      </x:c>
      <x:c r="M348" s="36" t="str">
        <x:v>Retain read-only; current authority remains 00–34.</x:v>
      </x:c>
      <x:c r="N348" s="36" t="str">
        <x:v>33 risk/continuity context</x:v>
      </x:c>
      <x:c r="O348" s="36" t="str">
        <x:v>00_Official_Baseline/v0.6/99_Source_Markdown/Cartridge_And_Cloud_Documentation_Validation_Report_v0.4.md</x:v>
      </x:c>
    </x:row>
    <x:row r="349">
      <x:c r="A349" s="27" t="str">
        <x:v>HIST-0345</x:v>
      </x:c>
      <x:c r="B349" s="27" t="str">
        <x:v>00_Official_Baseline</x:v>
      </x:c>
      <x:c r="C349" s="27" t="str">
        <x:v>v0.6</x:v>
      </x:c>
      <x:c r="D349" s="27" t="str"/>
      <x:c r="E349" s="36" t="str">
        <x:v>Cartridge_And_Cloud_Economy_Balance_Specification_v0.3.md</x:v>
      </x:c>
      <x:c r="F349" s="36" t="str">
        <x:v>MD</x:v>
      </x:c>
      <x:c r="G349" s="54" t="n">
        <x:v>2564</x:v>
      </x:c>
      <x:c r="H349" s="36" t="str">
        <x:v>0f3a938d2dcfb83e03b20cc8b7902342d8124f42965cb9585c81a8854ce16abc</x:v>
      </x:c>
      <x:c r="I349" s="36" t="n">
        <x:v>1</x:v>
      </x:c>
      <x:c r="J349" s="36" t="str">
        <x:v>Authoring source</x:v>
      </x:c>
      <x:c r="K349" s="36" t="str">
        <x:v>SUPPORTING</x:v>
      </x:c>
      <x:c r="L349" s="36" t="str">
        <x:v>sprint, steam</x:v>
      </x:c>
      <x:c r="M349" s="36" t="str">
        <x:v>Retain read-only; current authority remains 00–34.</x:v>
      </x:c>
      <x:c r="N349" s="36" t="str">
        <x:v>33 risk/continuity context</x:v>
      </x:c>
      <x:c r="O349" s="36" t="str">
        <x:v>00_Official_Baseline/v0.6/99_Source_Markdown/Cartridge_And_Cloud_Economy_Balance_Specification_v0.3.md</x:v>
      </x:c>
    </x:row>
    <x:row r="350">
      <x:c r="A350" s="27" t="str">
        <x:v>HIST-0346</x:v>
      </x:c>
      <x:c r="B350" s="27" t="str">
        <x:v>00_Official_Baseline</x:v>
      </x:c>
      <x:c r="C350" s="27" t="str">
        <x:v>v0.6</x:v>
      </x:c>
      <x:c r="D350" s="27" t="str"/>
      <x:c r="E350" s="36" t="str">
        <x:v>Cartridge_And_Cloud_Enfoque_v0.8.md</x:v>
      </x:c>
      <x:c r="F350" s="36" t="str">
        <x:v>MD</x:v>
      </x:c>
      <x:c r="G350" s="54" t="n">
        <x:v>3665</x:v>
      </x:c>
      <x:c r="H350" s="36" t="str">
        <x:v>7723b3a72d7b63ace8f1401c9eb2ed250a671e6a49e867f134583c4572ce524c</x:v>
      </x:c>
      <x:c r="I350" s="36" t="n">
        <x:v>2</x:v>
      </x:c>
      <x:c r="J350" s="36" t="str">
        <x:v>Authoring source</x:v>
      </x:c>
      <x:c r="K350" s="36" t="str">
        <x:v>DIRECT</x:v>
      </x:c>
      <x:c r="L350" s="36" t="str">
        <x:v>build, qa, sprint, steam, test</x:v>
      </x:c>
      <x:c r="M350" s="36" t="str">
        <x:v>Retain read-only; current authority remains 00–34.</x:v>
      </x:c>
      <x:c r="N350" s="36" t="str">
        <x:v>33 risk/continuity context</x:v>
      </x:c>
      <x:c r="O350" s="36" t="str">
        <x:v>00_Official_Baseline/v0.6/99_Source_Markdown/Cartridge_And_Cloud_Enfoque_v0.8.md</x:v>
      </x:c>
    </x:row>
    <x:row r="351">
      <x:c r="A351" s="27" t="str">
        <x:v>HIST-0347</x:v>
      </x:c>
      <x:c r="B351" s="27" t="str">
        <x:v>00_Official_Baseline</x:v>
      </x:c>
      <x:c r="C351" s="27" t="str">
        <x:v>v0.6</x:v>
      </x:c>
      <x:c r="D351" s="27" t="str"/>
      <x:c r="E351" s="36" t="str">
        <x:v>Cartridge_And_Cloud_GDD_v0.6_PCSteam.md</x:v>
      </x:c>
      <x:c r="F351" s="36" t="str">
        <x:v>MD</x:v>
      </x:c>
      <x:c r="G351" s="54" t="n">
        <x:v>4005</x:v>
      </x:c>
      <x:c r="H351" s="36" t="str">
        <x:v>333c7777584bcdee29c1caa8f90f4e43e3013e88cc339466a1a51f5bdd42c0d7</x:v>
      </x:c>
      <x:c r="I351" s="36" t="n">
        <x:v>1</x:v>
      </x:c>
      <x:c r="J351" s="36" t="str">
        <x:v>Authoring source</x:v>
      </x:c>
      <x:c r="K351" s="36" t="str">
        <x:v>SUPPORTING</x:v>
      </x:c>
      <x:c r="L351" s="36" t="str">
        <x:v>backup, sprint, steam</x:v>
      </x:c>
      <x:c r="M351" s="36" t="str">
        <x:v>Retain read-only; current authority remains 00–34.</x:v>
      </x:c>
      <x:c r="N351" s="36" t="str">
        <x:v>33 risk/continuity context</x:v>
      </x:c>
      <x:c r="O351" s="36" t="str">
        <x:v>00_Official_Baseline/v0.6/99_Source_Markdown/Cartridge_And_Cloud_GDD_v0.6_PCSteam.md</x:v>
      </x:c>
    </x:row>
    <x:row r="352">
      <x:c r="A352" s="27" t="str">
        <x:v>HIST-0348</x:v>
      </x:c>
      <x:c r="B352" s="27" t="str">
        <x:v>00_Official_Baseline</x:v>
      </x:c>
      <x:c r="C352" s="27" t="str">
        <x:v>v0.6</x:v>
      </x:c>
      <x:c r="D352" s="27" t="str"/>
      <x:c r="E352" s="36" t="str">
        <x:v>Cartridge_And_Cloud_Initial_Content_Catalog_v0.3.md</x:v>
      </x:c>
      <x:c r="F352" s="36" t="str">
        <x:v>MD</x:v>
      </x:c>
      <x:c r="G352" s="54" t="n">
        <x:v>2784</x:v>
      </x:c>
      <x:c r="H352" s="36" t="str">
        <x:v>68f8841d7f5e83b1078bbf8c110e799165b74f5d75a823839d0acfd3086b333e</x:v>
      </x:c>
      <x:c r="I352" s="36" t="n">
        <x:v>1</x:v>
      </x:c>
      <x:c r="J352" s="36" t="str">
        <x:v>Authoring source</x:v>
      </x:c>
      <x:c r="K352" s="36" t="str">
        <x:v>SUPPORTING</x:v>
      </x:c>
      <x:c r="L352" s="36" t="str">
        <x:v>sprint, steam</x:v>
      </x:c>
      <x:c r="M352" s="36" t="str">
        <x:v>Retain read-only; current authority remains 00–34.</x:v>
      </x:c>
      <x:c r="N352" s="36" t="str">
        <x:v>33 risk/continuity context</x:v>
      </x:c>
      <x:c r="O352" s="36" t="str">
        <x:v>00_Official_Baseline/v0.6/99_Source_Markdown/Cartridge_And_Cloud_Initial_Content_Catalog_v0.3.md</x:v>
      </x:c>
    </x:row>
    <x:row r="353">
      <x:c r="A353" s="27" t="str">
        <x:v>HIST-0349</x:v>
      </x:c>
      <x:c r="B353" s="27" t="str">
        <x:v>00_Official_Baseline</x:v>
      </x:c>
      <x:c r="C353" s="27" t="str">
        <x:v>v0.6</x:v>
      </x:c>
      <x:c r="D353" s="27" t="str"/>
      <x:c r="E353" s="36" t="str">
        <x:v>Cartridge_And_Cloud_Legal_Credits_Licenses_Register_v0.5.md</x:v>
      </x:c>
      <x:c r="F353" s="36" t="str">
        <x:v>MD</x:v>
      </x:c>
      <x:c r="G353" s="54" t="n">
        <x:v>1951</x:v>
      </x:c>
      <x:c r="H353" s="36" t="str">
        <x:v>610fc2ca1dd8ea1859fb779039e5de841610646d1e5601d316b2fe34410c3c81</x:v>
      </x:c>
      <x:c r="I353" s="36" t="n">
        <x:v>1</x:v>
      </x:c>
      <x:c r="J353" s="36" t="str">
        <x:v>Authoring source</x:v>
      </x:c>
      <x:c r="K353" s="36" t="str">
        <x:v>SUPPORTING</x:v>
      </x:c>
      <x:c r="L353" s="36" t="str">
        <x:v>legal, license, sprint, steam</x:v>
      </x:c>
      <x:c r="M353" s="36" t="str">
        <x:v>Retain read-only; current authority remains 00–34.</x:v>
      </x:c>
      <x:c r="N353" s="36" t="str">
        <x:v>33 risk/continuity context</x:v>
      </x:c>
      <x:c r="O353" s="36" t="str">
        <x:v>00_Official_Baseline/v0.6/99_Source_Markdown/Cartridge_And_Cloud_Legal_Credits_Licenses_Register_v0.5.md</x:v>
      </x:c>
    </x:row>
    <x:row r="354">
      <x:c r="A354" s="27" t="str">
        <x:v>HIST-0350</x:v>
      </x:c>
      <x:c r="B354" s="27" t="str">
        <x:v>00_Official_Baseline</x:v>
      </x:c>
      <x:c r="C354" s="27" t="str">
        <x:v>v0.6</x:v>
      </x:c>
      <x:c r="D354" s="27" t="str"/>
      <x:c r="E354" s="36" t="str">
        <x:v>Cartridge_And_Cloud_Localization_Plan_v0.5.md</x:v>
      </x:c>
      <x:c r="F354" s="36" t="str">
        <x:v>MD</x:v>
      </x:c>
      <x:c r="G354" s="54" t="n">
        <x:v>1891</x:v>
      </x:c>
      <x:c r="H354" s="36" t="str">
        <x:v>e8c63ec8a67f5d87f5dcec078c94ac08620b27a064a5a6866a20fa78de1becf9</x:v>
      </x:c>
      <x:c r="I354" s="36" t="n">
        <x:v>1</x:v>
      </x:c>
      <x:c r="J354" s="36" t="str">
        <x:v>Authoring source</x:v>
      </x:c>
      <x:c r="K354" s="36" t="str">
        <x:v>SUPPORTING</x:v>
      </x:c>
      <x:c r="L354" s="36" t="str">
        <x:v>build, qa, sprint, steam</x:v>
      </x:c>
      <x:c r="M354" s="36" t="str">
        <x:v>Retain read-only; current authority remains 00–34.</x:v>
      </x:c>
      <x:c r="N354" s="36" t="str">
        <x:v>33 risk/continuity context</x:v>
      </x:c>
      <x:c r="O354" s="36" t="str">
        <x:v>00_Official_Baseline/v0.6/99_Source_Markdown/Cartridge_And_Cloud_Localization_Plan_v0.5.md</x:v>
      </x:c>
    </x:row>
    <x:row r="355">
      <x:c r="A355" s="27" t="str">
        <x:v>HIST-0351</x:v>
      </x:c>
      <x:c r="B355" s="27" t="str">
        <x:v>00_Official_Baseline</x:v>
      </x:c>
      <x:c r="C355" s="27" t="str">
        <x:v>v0.6</x:v>
      </x:c>
      <x:c r="D355" s="27" t="str"/>
      <x:c r="E355" s="36" t="str">
        <x:v>Cartridge_And_Cloud_Marketing_Plan_v0.5.md</x:v>
      </x:c>
      <x:c r="F355" s="36" t="str">
        <x:v>MD</x:v>
      </x:c>
      <x:c r="G355" s="54" t="n">
        <x:v>1864</x:v>
      </x:c>
      <x:c r="H355" s="36" t="str">
        <x:v>96b3223429d38a0c83f4c89f07b63e3c258a72cbc76ada7c5e8e5991b62ab1ea</x:v>
      </x:c>
      <x:c r="I355" s="36" t="n">
        <x:v>1</x:v>
      </x:c>
      <x:c r="J355" s="36" t="str">
        <x:v>Authoring source</x:v>
      </x:c>
      <x:c r="K355" s="36" t="str">
        <x:v>SUPPORTING</x:v>
      </x:c>
      <x:c r="L355" s="36" t="str">
        <x:v>build, sprint, steam</x:v>
      </x:c>
      <x:c r="M355" s="36" t="str">
        <x:v>Retain read-only; current authority remains 00–34.</x:v>
      </x:c>
      <x:c r="N355" s="36" t="str">
        <x:v>33 risk/continuity context</x:v>
      </x:c>
      <x:c r="O355" s="36" t="str">
        <x:v>00_Official_Baseline/v0.6/99_Source_Markdown/Cartridge_And_Cloud_Marketing_Plan_v0.5.md</x:v>
      </x:c>
    </x:row>
    <x:row r="356">
      <x:c r="A356" s="27" t="str">
        <x:v>HIST-0352</x:v>
      </x:c>
      <x:c r="B356" s="27" t="str">
        <x:v>00_Official_Baseline</x:v>
      </x:c>
      <x:c r="C356" s="27" t="str">
        <x:v>v0.6</x:v>
      </x:c>
      <x:c r="D356" s="27" t="str"/>
      <x:c r="E356" s="36" t="str">
        <x:v>Cartridge_And_Cloud_Modelo_de_Datos_v0.5.md</x:v>
      </x:c>
      <x:c r="F356" s="36" t="str">
        <x:v>MD</x:v>
      </x:c>
      <x:c r="G356" s="54" t="n">
        <x:v>3168</x:v>
      </x:c>
      <x:c r="H356" s="36" t="str">
        <x:v>409201b990309744b05a65a3306034e605e7254d10a5d4232b707cdbc8779b4a</x:v>
      </x:c>
      <x:c r="I356" s="36" t="n">
        <x:v>1</x:v>
      </x:c>
      <x:c r="J356" s="36" t="str">
        <x:v>Authoring source</x:v>
      </x:c>
      <x:c r="K356" s="36" t="str">
        <x:v>SUPPORTING</x:v>
      </x:c>
      <x:c r="L356" s="36" t="str">
        <x:v>backup, recovery, sprint, steam</x:v>
      </x:c>
      <x:c r="M356" s="36" t="str">
        <x:v>Retain read-only; current authority remains 00–34.</x:v>
      </x:c>
      <x:c r="N356" s="36" t="str">
        <x:v>33 risk/continuity context</x:v>
      </x:c>
      <x:c r="O356" s="36" t="str">
        <x:v>00_Official_Baseline/v0.6/99_Source_Markdown/Cartridge_And_Cloud_Modelo_de_Datos_v0.5.md</x:v>
      </x:c>
    </x:row>
    <x:row r="357">
      <x:c r="A357" s="27" t="str">
        <x:v>HIST-0353</x:v>
      </x:c>
      <x:c r="B357" s="27" t="str">
        <x:v>00_Official_Baseline</x:v>
      </x:c>
      <x:c r="C357" s="27" t="str">
        <x:v>v0.6</x:v>
      </x:c>
      <x:c r="D357" s="27" t="str"/>
      <x:c r="E357" s="36" t="str">
        <x:v>Cartridge_And_Cloud_Package_Manifest_v0.4.md</x:v>
      </x:c>
      <x:c r="F357" s="36" t="str">
        <x:v>MD</x:v>
      </x:c>
      <x:c r="G357" s="54" t="n">
        <x:v>1910</x:v>
      </x:c>
      <x:c r="H357" s="36" t="str">
        <x:v>89ae5a7d733d8d70f36b64cfe3653aed99149827155fcddec0cadf650fd38acb</x:v>
      </x:c>
      <x:c r="I357" s="36" t="n">
        <x:v>1</x:v>
      </x:c>
      <x:c r="J357" s="36" t="str">
        <x:v>Authoring source</x:v>
      </x:c>
      <x:c r="K357" s="36" t="str">
        <x:v>DIRECT</x:v>
      </x:c>
      <x:c r="L357" s="36" t="str">
        <x:v>checksum, manifest, qa, release, sprint, steam</x:v>
      </x:c>
      <x:c r="M357" s="36" t="str">
        <x:v>Retain read-only; current authority remains 00–34.</x:v>
      </x:c>
      <x:c r="N357" s="36" t="str">
        <x:v>33 risk/continuity context</x:v>
      </x:c>
      <x:c r="O357" s="36" t="str">
        <x:v>00_Official_Baseline/v0.6/99_Source_Markdown/Cartridge_And_Cloud_Package_Manifest_v0.4.md</x:v>
      </x:c>
    </x:row>
    <x:row r="358">
      <x:c r="A358" s="27" t="str">
        <x:v>HIST-0354</x:v>
      </x:c>
      <x:c r="B358" s="27" t="str">
        <x:v>00_Official_Baseline</x:v>
      </x:c>
      <x:c r="C358" s="27" t="str">
        <x:v>v0.6</x:v>
      </x:c>
      <x:c r="D358" s="27" t="str"/>
      <x:c r="E358" s="36" t="str">
        <x:v>Cartridge_And_Cloud_Production_Roadmap_Sprint_Plan_v0.6.md</x:v>
      </x:c>
      <x:c r="F358" s="36" t="str">
        <x:v>MD</x:v>
      </x:c>
      <x:c r="G358" s="54" t="n">
        <x:v>3191</x:v>
      </x:c>
      <x:c r="H358" s="36" t="str">
        <x:v>f7b50c87cbc0faa2478f677f868e2e29dd1e74abfe74c1cbb30aed74ab7ac70a</x:v>
      </x:c>
      <x:c r="I358" s="36" t="n">
        <x:v>1</x:v>
      </x:c>
      <x:c r="J358" s="36" t="str">
        <x:v>Authoring source</x:v>
      </x:c>
      <x:c r="K358" s="36" t="str">
        <x:v>DIRECT</x:v>
      </x:c>
      <x:c r="L358" s="36" t="str">
        <x:v>build, closure, qa, recovery, roadmap, save, sprint, steam</x:v>
      </x:c>
      <x:c r="M358" s="36" t="str">
        <x:v>Retain read-only; current authority remains 00–34.</x:v>
      </x:c>
      <x:c r="N358" s="36" t="str">
        <x:v>33 risk/continuity context</x:v>
      </x:c>
      <x:c r="O358" s="36" t="str">
        <x:v>00_Official_Baseline/v0.6/99_Source_Markdown/Cartridge_And_Cloud_Production_Roadmap_Sprint_Plan_v0.6.md</x:v>
      </x:c>
    </x:row>
    <x:row r="359">
      <x:c r="A359" s="27" t="str">
        <x:v>HIST-0355</x:v>
      </x:c>
      <x:c r="B359" s="27" t="str">
        <x:v>00_Official_Baseline</x:v>
      </x:c>
      <x:c r="C359" s="27" t="str">
        <x:v>v0.6</x:v>
      </x:c>
      <x:c r="D359" s="27" t="str"/>
      <x:c r="E359" s="36" t="str">
        <x:v>Cartridge_And_Cloud_Project_Binder_Indice_Maestro_v0.6.md</x:v>
      </x:c>
      <x:c r="F359" s="36" t="str">
        <x:v>MD</x:v>
      </x:c>
      <x:c r="G359" s="54" t="n">
        <x:v>3763</x:v>
      </x:c>
      <x:c r="H359" s="36" t="str">
        <x:v>04094957ed2328e54337bc8fc2d0822abb440a4602ee9d4055d358d0c165669f</x:v>
      </x:c>
      <x:c r="I359" s="36" t="n">
        <x:v>1</x:v>
      </x:c>
      <x:c r="J359" s="36" t="str">
        <x:v>Authoring source</x:v>
      </x:c>
      <x:c r="K359" s="36" t="str">
        <x:v>DIRECT</x:v>
      </x:c>
      <x:c r="L359" s="36" t="str">
        <x:v>closure, handoff, qa, release, roadmap, sprint, steam, test</x:v>
      </x:c>
      <x:c r="M359" s="36" t="str">
        <x:v>Retain read-only; current authority remains 00–34.</x:v>
      </x:c>
      <x:c r="N359" s="36" t="str">
        <x:v>33 risk/continuity context</x:v>
      </x:c>
      <x:c r="O359" s="36" t="str">
        <x:v>00_Official_Baseline/v0.6/99_Source_Markdown/Cartridge_And_Cloud_Project_Binder_Indice_Maestro_v0.6.md</x:v>
      </x:c>
    </x:row>
    <x:row r="360">
      <x:c r="A360" s="27" t="str">
        <x:v>HIST-0356</x:v>
      </x:c>
      <x:c r="B360" s="27" t="str">
        <x:v>00_Official_Baseline</x:v>
      </x:c>
      <x:c r="C360" s="27" t="str">
        <x:v>v0.6</x:v>
      </x:c>
      <x:c r="D360" s="27" t="str"/>
      <x:c r="E360" s="36" t="str">
        <x:v>Cartridge_And_Cloud_QA_Testing_Plan_v0.6.md</x:v>
      </x:c>
      <x:c r="F360" s="36" t="str">
        <x:v>MD</x:v>
      </x:c>
      <x:c r="G360" s="54" t="n">
        <x:v>2637</x:v>
      </x:c>
      <x:c r="H360" s="36" t="str">
        <x:v>7659a777a9aa78f083d8a6d577898bec89430cae108b079ee7137c769da7f069</x:v>
      </x:c>
      <x:c r="I360" s="36" t="n">
        <x:v>1</x:v>
      </x:c>
      <x:c r="J360" s="36" t="str">
        <x:v>Authoring source</x:v>
      </x:c>
      <x:c r="K360" s="36" t="str">
        <x:v>DIRECT</x:v>
      </x:c>
      <x:c r="L360" s="36" t="str">
        <x:v>build, qa, save, sprint, steam, test</x:v>
      </x:c>
      <x:c r="M360" s="36" t="str">
        <x:v>Retain read-only; current authority remains 00–34.</x:v>
      </x:c>
      <x:c r="N360" s="36" t="str">
        <x:v>33 risk/continuity context</x:v>
      </x:c>
      <x:c r="O360" s="36" t="str">
        <x:v>00_Official_Baseline/v0.6/99_Source_Markdown/Cartridge_And_Cloud_QA_Testing_Plan_v0.6.md</x:v>
      </x:c>
    </x:row>
    <x:row r="361">
      <x:c r="A361" s="27" t="str">
        <x:v>HIST-0357</x:v>
      </x:c>
      <x:c r="B361" s="27" t="str">
        <x:v>00_Official_Baseline</x:v>
      </x:c>
      <x:c r="C361" s="27" t="str">
        <x:v>v0.6</x:v>
      </x:c>
      <x:c r="D361" s="27" t="str"/>
      <x:c r="E361" s="36" t="str">
        <x:v>Cartridge_And_Cloud_Steam_Publishing_Plan_v0.5.md</x:v>
      </x:c>
      <x:c r="F361" s="36" t="str">
        <x:v>MD</x:v>
      </x:c>
      <x:c r="G361" s="54" t="n">
        <x:v>1866</x:v>
      </x:c>
      <x:c r="H361" s="36" t="str">
        <x:v>f7840ee791e07430dd750500421dc6e262d21d5119e634634919247ff13cf8d0</x:v>
      </x:c>
      <x:c r="I361" s="36" t="n">
        <x:v>1</x:v>
      </x:c>
      <x:c r="J361" s="36" t="str">
        <x:v>Authoring source</x:v>
      </x:c>
      <x:c r="K361" s="36" t="str">
        <x:v>DIRECT</x:v>
      </x:c>
      <x:c r="L361" s="36" t="str">
        <x:v>build, save, sprint, steam, test</x:v>
      </x:c>
      <x:c r="M361" s="36" t="str">
        <x:v>Retain read-only; current authority remains 00–34.</x:v>
      </x:c>
      <x:c r="N361" s="36" t="str">
        <x:v>33 risk/continuity context</x:v>
      </x:c>
      <x:c r="O361" s="36" t="str">
        <x:v>00_Official_Baseline/v0.6/99_Source_Markdown/Cartridge_And_Cloud_Steam_Publishing_Plan_v0.5.md</x:v>
      </x:c>
    </x:row>
    <x:row r="362">
      <x:c r="A362" s="27" t="str">
        <x:v>HIST-0358</x:v>
      </x:c>
      <x:c r="B362" s="27" t="str">
        <x:v>00_Official_Baseline</x:v>
      </x:c>
      <x:c r="C362" s="27" t="str">
        <x:v>v0.6</x:v>
      </x:c>
      <x:c r="D362" s="27" t="str"/>
      <x:c r="E362" s="36" t="str">
        <x:v>Cartridge_And_Cloud_TDD_v0.6_Technical_Design_Document.md</x:v>
      </x:c>
      <x:c r="F362" s="36" t="str">
        <x:v>MD</x:v>
      </x:c>
      <x:c r="G362" s="54" t="n">
        <x:v>4268</x:v>
      </x:c>
      <x:c r="H362" s="36" t="str">
        <x:v>daa5578e670e61ffe40db754ef512d02885d1bb7600c74487194ad8ec27cb2ce</x:v>
      </x:c>
      <x:c r="I362" s="36" t="n">
        <x:v>1</x:v>
      </x:c>
      <x:c r="J362" s="36" t="str">
        <x:v>Authoring source</x:v>
      </x:c>
      <x:c r="K362" s="36" t="str">
        <x:v>DIRECT</x:v>
      </x:c>
      <x:c r="L362" s="36" t="str">
        <x:v>build, save, sprint, steam, test</x:v>
      </x:c>
      <x:c r="M362" s="36" t="str">
        <x:v>Retain read-only; current authority remains 00–34.</x:v>
      </x:c>
      <x:c r="N362" s="36" t="str">
        <x:v>33 risk/continuity context</x:v>
      </x:c>
      <x:c r="O362" s="36" t="str">
        <x:v>00_Official_Baseline/v0.6/99_Source_Markdown/Cartridge_And_Cloud_TDD_v0.6_Technical_Design_Document.md</x:v>
      </x:c>
    </x:row>
    <x:row r="363">
      <x:c r="A363" s="27" t="str">
        <x:v>HIST-0359</x:v>
      </x:c>
      <x:c r="B363" s="27" t="str">
        <x:v>00_Official_Baseline</x:v>
      </x:c>
      <x:c r="C363" s="27" t="str">
        <x:v>v0.6</x:v>
      </x:c>
      <x:c r="D363" s="27" t="str"/>
      <x:c r="E363" s="36" t="str">
        <x:v>Cartridge_And_Cloud_UI_Style_Guide_v0.5.md</x:v>
      </x:c>
      <x:c r="F363" s="36" t="str">
        <x:v>MD</x:v>
      </x:c>
      <x:c r="G363" s="54" t="n">
        <x:v>2181</x:v>
      </x:c>
      <x:c r="H363" s="36" t="str">
        <x:v>857f070207a752796ff5c21968020d3230a8c357d84a140593c74c47c59ee645</x:v>
      </x:c>
      <x:c r="I363" s="36" t="n">
        <x:v>1</x:v>
      </x:c>
      <x:c r="J363" s="36" t="str">
        <x:v>Authoring source</x:v>
      </x:c>
      <x:c r="K363" s="36" t="str">
        <x:v>SUPPORTING</x:v>
      </x:c>
      <x:c r="L363" s="36" t="str">
        <x:v>sprint, steam, test</x:v>
      </x:c>
      <x:c r="M363" s="36" t="str">
        <x:v>Retain read-only; current authority remains 00–34.</x:v>
      </x:c>
      <x:c r="N363" s="36" t="str">
        <x:v>33 risk/continuity context</x:v>
      </x:c>
      <x:c r="O363" s="36" t="str">
        <x:v>00_Official_Baseline/v0.6/99_Source_Markdown/Cartridge_And_Cloud_UI_Style_Guide_v0.5.md</x:v>
      </x:c>
    </x:row>
    <x:row r="364">
      <x:c r="A364" s="27" t="str">
        <x:v>HIST-0360</x:v>
      </x:c>
      <x:c r="B364" s="27" t="str">
        <x:v>00_Official_Baseline</x:v>
      </x:c>
      <x:c r="C364" s="27" t="str">
        <x:v>v0.6</x:v>
      </x:c>
      <x:c r="D364" s="27" t="str"/>
      <x:c r="E364" s="36" t="str">
        <x:v>Cartridge_And_Cloud_Unity_Project_Setup_Guide_v0.6.md</x:v>
      </x:c>
      <x:c r="F364" s="36" t="str">
        <x:v>MD</x:v>
      </x:c>
      <x:c r="G364" s="54" t="n">
        <x:v>2805</x:v>
      </x:c>
      <x:c r="H364" s="36" t="str">
        <x:v>e0ba621f7cbd548da5ffa6484a1c2a0c91b820f845e5d410e318f01c34547497</x:v>
      </x:c>
      <x:c r="I364" s="36" t="n">
        <x:v>1</x:v>
      </x:c>
      <x:c r="J364" s="36" t="str">
        <x:v>Authoring source</x:v>
      </x:c>
      <x:c r="K364" s="36" t="str">
        <x:v>SUPPORTING</x:v>
      </x:c>
      <x:c r="L364" s="36" t="str">
        <x:v>build, sprint, steam, test</x:v>
      </x:c>
      <x:c r="M364" s="36" t="str">
        <x:v>Retain read-only; current authority remains 00–34.</x:v>
      </x:c>
      <x:c r="N364" s="36" t="str">
        <x:v>33 risk/continuity context</x:v>
      </x:c>
      <x:c r="O364" s="36" t="str">
        <x:v>00_Official_Baseline/v0.6/99_Source_Markdown/Cartridge_And_Cloud_Unity_Project_Setup_Guide_v0.6.md</x:v>
      </x:c>
    </x:row>
    <x:row r="365">
      <x:c r="A365" s="27" t="str">
        <x:v>HIST-0361</x:v>
      </x:c>
      <x:c r="B365" s="27" t="str">
        <x:v>00_Official_Baseline</x:v>
      </x:c>
      <x:c r="C365" s="27" t="str">
        <x:v>v0.6</x:v>
      </x:c>
      <x:c r="D365" s="27" t="str"/>
      <x:c r="E365" s="36" t="str">
        <x:v>Cartridge_And_Cloud_UX_Flow_v0.5.md</x:v>
      </x:c>
      <x:c r="F365" s="36" t="str">
        <x:v>MD</x:v>
      </x:c>
      <x:c r="G365" s="54" t="n">
        <x:v>2707</x:v>
      </x:c>
      <x:c r="H365" s="36" t="str">
        <x:v>5c755541bbc69510af12839f8435e090972edc7b7bb484139683614f69fcb85c</x:v>
      </x:c>
      <x:c r="I365" s="36" t="n">
        <x:v>1</x:v>
      </x:c>
      <x:c r="J365" s="36" t="str">
        <x:v>Authoring source</x:v>
      </x:c>
      <x:c r="K365" s="36" t="str">
        <x:v>DIRECT</x:v>
      </x:c>
      <x:c r="L365" s="36" t="str">
        <x:v>backup, save, sprint, steam, test</x:v>
      </x:c>
      <x:c r="M365" s="36" t="str">
        <x:v>Retain read-only; current authority remains 00–34.</x:v>
      </x:c>
      <x:c r="N365" s="36" t="str">
        <x:v>33 risk/continuity context</x:v>
      </x:c>
      <x:c r="O365" s="36" t="str">
        <x:v>00_Official_Baseline/v0.6/99_Source_Markdown/Cartridge_And_Cloud_UX_Flow_v0.5.md</x:v>
      </x:c>
    </x:row>
    <x:row r="366">
      <x:c r="A366" s="27" t="str">
        <x:v>HIST-0362</x:v>
      </x:c>
      <x:c r="B366" s="27" t="str">
        <x:v>00_Official_Baseline</x:v>
      </x:c>
      <x:c r="C366" s="27" t="str">
        <x:v>v0.6</x:v>
      </x:c>
      <x:c r="D366" s="27" t="str"/>
      <x:c r="E366" s="36" t="str">
        <x:v>Cartridge_And_Cloud_Vertical_Slice_Specification_v0.4.md</x:v>
      </x:c>
      <x:c r="F366" s="36" t="str">
        <x:v>MD</x:v>
      </x:c>
      <x:c r="G366" s="54" t="n">
        <x:v>3027</x:v>
      </x:c>
      <x:c r="H366" s="36" t="str">
        <x:v>efff0d3056515ad3e71a9c751f7ec86ce932d3098fb5870b246c04559695a3f5</x:v>
      </x:c>
      <x:c r="I366" s="36" t="n">
        <x:v>1</x:v>
      </x:c>
      <x:c r="J366" s="36" t="str">
        <x:v>Authoring source</x:v>
      </x:c>
      <x:c r="K366" s="36" t="str">
        <x:v>SUPPORTING</x:v>
      </x:c>
      <x:c r="L366" s="36" t="str">
        <x:v>build, sprint, steam</x:v>
      </x:c>
      <x:c r="M366" s="36" t="str">
        <x:v>Retain read-only; current authority remains 00–34.</x:v>
      </x:c>
      <x:c r="N366" s="36" t="str">
        <x:v>33 risk/continuity context</x:v>
      </x:c>
      <x:c r="O366" s="36" t="str">
        <x:v>00_Official_Baseline/v0.6/99_Source_Markdown/Cartridge_And_Cloud_Vertical_Slice_Specification_v0.4.md</x:v>
      </x:c>
    </x:row>
    <x:row r="367">
      <x:c r="A367" s="27" t="str">
        <x:v>HIST-0363</x:v>
      </x:c>
      <x:c r="B367" s="27" t="str">
        <x:v>00_Official_Baseline</x:v>
      </x:c>
      <x:c r="C367" s="27" t="str">
        <x:v>v0.6</x:v>
      </x:c>
      <x:c r="D367" s="27" t="str"/>
      <x:c r="E367" s="36" t="str">
        <x:v>BASELINE_CHANGELOG_v0.5_to_v0.6.md</x:v>
      </x:c>
      <x:c r="F367" s="36" t="str">
        <x:v>MD</x:v>
      </x:c>
      <x:c r="G367" s="54" t="n">
        <x:v>477</x:v>
      </x:c>
      <x:c r="H367" s="36" t="str">
        <x:v>04ef84bbe6d5aadc3bec5cce41fd0bcefe9d23ea8f7263febc5bd97bae97aa4a</x:v>
      </x:c>
      <x:c r="I367" s="36" t="n">
        <x:v>1</x:v>
      </x:c>
      <x:c r="J367" s="36" t="str">
        <x:v>Published historical baseline</x:v>
      </x:c>
      <x:c r="K367" s="36" t="str">
        <x:v>SUPPORTING</x:v>
      </x:c>
      <x:c r="L367" s="36" t="str">
        <x:v>acceptance, closure, sprint, test</x:v>
      </x:c>
      <x:c r="M367" s="36" t="str">
        <x:v>Retain read-only; current authority remains 00–34.</x:v>
      </x:c>
      <x:c r="N367" s="36" t="str">
        <x:v>33 risk/continuity context</x:v>
      </x:c>
      <x:c r="O367" s="36" t="str">
        <x:v>00_Official_Baseline/v0.6/BASELINE_CHANGELOG_v0.5_to_v0.6.md</x:v>
      </x:c>
    </x:row>
    <x:row r="368">
      <x:c r="A368" s="27" t="str">
        <x:v>HIST-0364</x:v>
      </x:c>
      <x:c r="B368" s="27" t="str">
        <x:v>00_Official_Baseline</x:v>
      </x:c>
      <x:c r="C368" s="27" t="str">
        <x:v>v0.6</x:v>
      </x:c>
      <x:c r="D368" s="27" t="str"/>
      <x:c r="E368" s="36" t="str">
        <x:v>BASELINE_INTEGRITY_REPORT.md</x:v>
      </x:c>
      <x:c r="F368" s="36" t="str">
        <x:v>MD</x:v>
      </x:c>
      <x:c r="G368" s="54" t="n">
        <x:v>978</x:v>
      </x:c>
      <x:c r="H368" s="36" t="str">
        <x:v>8c99d82b6fa2e1633f3acabe5cd051d846dd0c8f36dc3814e4b5fc7445b0068f</x:v>
      </x:c>
      <x:c r="I368" s="36" t="n">
        <x:v>1</x:v>
      </x:c>
      <x:c r="J368" s="36" t="str">
        <x:v>Published historical baseline</x:v>
      </x:c>
      <x:c r="K368" s="36" t="str">
        <x:v>DIRECT</x:v>
      </x:c>
      <x:c r="L368" s="36" t="str">
        <x:v>acceptance, build, checksum, manifest, sprint, test, validation</x:v>
      </x:c>
      <x:c r="M368" s="36" t="str">
        <x:v>Retain read-only; current authority remains 00–34.</x:v>
      </x:c>
      <x:c r="N368" s="36" t="str">
        <x:v>33 risk/continuity context</x:v>
      </x:c>
      <x:c r="O368" s="36" t="str">
        <x:v>00_Official_Baseline/v0.6/BASELINE_INTEGRITY_REPORT.md</x:v>
      </x:c>
    </x:row>
    <x:row r="369">
      <x:c r="A369" s="27" t="str">
        <x:v>HIST-0365</x:v>
      </x:c>
      <x:c r="B369" s="27" t="str">
        <x:v>00_Official_Baseline</x:v>
      </x:c>
      <x:c r="C369" s="27" t="str">
        <x:v>v0.6</x:v>
      </x:c>
      <x:c r="D369" s="27" t="str"/>
      <x:c r="E369" s="36" t="str">
        <x:v>BASELINE_MANIFEST.csv</x:v>
      </x:c>
      <x:c r="F369" s="36" t="str">
        <x:v>CSV</x:v>
      </x:c>
      <x:c r="G369" s="54" t="n">
        <x:v>11095</x:v>
      </x:c>
      <x:c r="H369" s="36" t="str">
        <x:v>2a5fc9a5d9e79f83e3103bd49084dcd5db0582bf911a2201e1dbc1c94b80d628</x:v>
      </x:c>
      <x:c r="I369" s="36" t="n">
        <x:v>1</x:v>
      </x:c>
      <x:c r="J369" s="36" t="str">
        <x:v>Published historical baseline</x:v>
      </x:c>
      <x:c r="K369" s="36" t="str">
        <x:v>DIRECT</x:v>
      </x:c>
      <x:c r="L369" s="36" t="str">
        <x:v>acceptance, adr, build, closure, current_status, handoff, legal, license, manifest, qa, release, roadmap, sprint, steam, test, validation</x:v>
      </x:c>
      <x:c r="M369" s="36" t="str">
        <x:v>Retain read-only; current authority remains 00–34.</x:v>
      </x:c>
      <x:c r="N369" s="36" t="str">
        <x:v>33 risk/continuity context</x:v>
      </x:c>
      <x:c r="O369" s="36" t="str">
        <x:v>00_Official_Baseline/v0.6/BASELINE_MANIFEST.csv</x:v>
      </x:c>
    </x:row>
    <x:row r="370">
      <x:c r="A370" s="27" t="str">
        <x:v>HIST-0366</x:v>
      </x:c>
      <x:c r="B370" s="27" t="str">
        <x:v>00_Official_Baseline</x:v>
      </x:c>
      <x:c r="C370" s="27" t="str">
        <x:v>v0.6</x:v>
      </x:c>
      <x:c r="D370" s="27" t="str"/>
      <x:c r="E370" s="36" t="str">
        <x:v>CHECKSUMS_SHA256.txt</x:v>
      </x:c>
      <x:c r="F370" s="36" t="str">
        <x:v>TXT</x:v>
      </x:c>
      <x:c r="G370" s="54" t="n">
        <x:v>10464</x:v>
      </x:c>
      <x:c r="H370" s="36" t="str">
        <x:v>129b78704f6af279a789ad01988ca19be78fcd30d3952202633cfd061b5e4b86</x:v>
      </x:c>
      <x:c r="I370" s="36" t="n">
        <x:v>1</x:v>
      </x:c>
      <x:c r="J370" s="36" t="str">
        <x:v>Published historical baseline</x:v>
      </x:c>
      <x:c r="K370" s="36" t="str">
        <x:v>DIRECT</x:v>
      </x:c>
      <x:c r="L370" s="36" t="str">
        <x:v>acceptance, adr, build, checksum, closure, current_status, handoff, legal, license, manifest, qa, release, roadmap, sprint, steam, test, validation</x:v>
      </x:c>
      <x:c r="M370" s="36" t="str">
        <x:v>Retain read-only; current authority remains 00–34.</x:v>
      </x:c>
      <x:c r="N370" s="36" t="str">
        <x:v>33 risk/continuity context</x:v>
      </x:c>
      <x:c r="O370" s="36" t="str">
        <x:v>00_Official_Baseline/v0.6/CHECKSUMS_SHA256.txt</x:v>
      </x:c>
    </x:row>
    <x:row r="371">
      <x:c r="A371" s="27" t="str">
        <x:v>HIST-0367</x:v>
      </x:c>
      <x:c r="B371" s="27" t="str">
        <x:v>00_Official_Baseline</x:v>
      </x:c>
      <x:c r="C371" s="27" t="str">
        <x:v>v0.6</x:v>
      </x:c>
      <x:c r="D371" s="27" t="str"/>
      <x:c r="E371" s="36" t="str">
        <x:v>CURRENT_PROJECT_HANDOFF.md</x:v>
      </x:c>
      <x:c r="F371" s="36" t="str">
        <x:v>MD</x:v>
      </x:c>
      <x:c r="G371" s="54" t="n">
        <x:v>1241</x:v>
      </x:c>
      <x:c r="H371" s="36" t="str">
        <x:v>7a297d84a36ecdd9e4296a631fc5acbff882218d125e63312850e8f28b46cd87</x:v>
      </x:c>
      <x:c r="I371" s="36" t="n">
        <x:v>2</x:v>
      </x:c>
      <x:c r="J371" s="36" t="str">
        <x:v>Published historical baseline</x:v>
      </x:c>
      <x:c r="K371" s="36" t="str">
        <x:v>SUPPORTING</x:v>
      </x:c>
      <x:c r="L371" s="36" t="str">
        <x:v>build, handoff, sprint, test</x:v>
      </x:c>
      <x:c r="M371" s="36" t="str">
        <x:v>Retain read-only; current authority remains 00–34.</x:v>
      </x:c>
      <x:c r="N371" s="36" t="str">
        <x:v>33 risk/continuity context</x:v>
      </x:c>
      <x:c r="O371" s="36" t="str">
        <x:v>00_Official_Baseline/v0.6/CURRENT_PROJECT_HANDOFF.md</x:v>
      </x:c>
    </x:row>
    <x:row r="372">
      <x:c r="A372" s="27" t="str">
        <x:v>HIST-0368</x:v>
      </x:c>
      <x:c r="B372" s="27" t="str">
        <x:v>00_Official_Baseline</x:v>
      </x:c>
      <x:c r="C372" s="27" t="str">
        <x:v>v0.6</x:v>
      </x:c>
      <x:c r="D372" s="27" t="str"/>
      <x:c r="E372" s="36" t="str">
        <x:v>DOCUMENT_LIFECYCLE_POLICY.md</x:v>
      </x:c>
      <x:c r="F372" s="36" t="str">
        <x:v>MD</x:v>
      </x:c>
      <x:c r="G372" s="54" t="n">
        <x:v>219</x:v>
      </x:c>
      <x:c r="H372" s="36" t="str">
        <x:v>2d1fc818cf2dd136bc27c5920c1eecf0cd0e4d11c1e725930f06b8954074b3b9</x:v>
      </x:c>
      <x:c r="I372" s="36" t="n">
        <x:v>1</x:v>
      </x:c>
      <x:c r="J372" s="36" t="str">
        <x:v>Published historical baseline</x:v>
      </x:c>
      <x:c r="K372" s="36" t="str">
        <x:v>CONTEXT / PRESERVED</x:v>
      </x:c>
      <x:c r="L372" s="36" t="str"/>
      <x:c r="M372" s="36" t="str">
        <x:v>Retain read-only; current authority remains 00–34.</x:v>
      </x:c>
      <x:c r="N372" s="36" t="str">
        <x:v>Preserved context; not mined as normative authority.</x:v>
      </x:c>
      <x:c r="O372" s="36" t="str">
        <x:v>00_Official_Baseline/v0.6/DOCUMENT_LIFECYCLE_POLICY.md</x:v>
      </x:c>
    </x:row>
    <x:row r="373">
      <x:c r="A373" s="27" t="str">
        <x:v>HIST-0369</x:v>
      </x:c>
      <x:c r="B373" s="27" t="str">
        <x:v>00_Official_Baseline</x:v>
      </x:c>
      <x:c r="C373" s="27" t="str">
        <x:v>v0.6</x:v>
      </x:c>
      <x:c r="D373" s="27" t="str"/>
      <x:c r="E373" s="36" t="str">
        <x:v>DOCUMENTATION_VALIDATION_REPORT.md</x:v>
      </x:c>
      <x:c r="F373" s="36" t="str">
        <x:v>MD</x:v>
      </x:c>
      <x:c r="G373" s="54" t="n">
        <x:v>1370</x:v>
      </x:c>
      <x:c r="H373" s="36" t="str">
        <x:v>689cecc2f66971314e99bd44ba378e6a58c676813359778b191f0759f1a36553</x:v>
      </x:c>
      <x:c r="I373" s="36" t="n">
        <x:v>1</x:v>
      </x:c>
      <x:c r="J373" s="36" t="str">
        <x:v>Published historical baseline</x:v>
      </x:c>
      <x:c r="K373" s="36" t="str">
        <x:v>DIRECT</x:v>
      </x:c>
      <x:c r="L373" s="36" t="str">
        <x:v>acceptance, build, handoff, sprint, test, validation</x:v>
      </x:c>
      <x:c r="M373" s="36" t="str">
        <x:v>Retain read-only; current authority remains 00–34.</x:v>
      </x:c>
      <x:c r="N373" s="36" t="str">
        <x:v>33 risk/continuity context</x:v>
      </x:c>
      <x:c r="O373" s="36" t="str">
        <x:v>00_Official_Baseline/v0.6/DOCUMENTATION_VALIDATION_REPORT.md</x:v>
      </x:c>
    </x:row>
    <x:row r="374">
      <x:c r="A374" s="27" t="str">
        <x:v>HIST-0370</x:v>
      </x:c>
      <x:c r="B374" s="27" t="str">
        <x:v>00_Official_Baseline</x:v>
      </x:c>
      <x:c r="C374" s="27" t="str">
        <x:v>v0.6</x:v>
      </x:c>
      <x:c r="D374" s="27" t="str"/>
      <x:c r="E374" s="36" t="str">
        <x:v>MIGRATION_SUMMARY.md</x:v>
      </x:c>
      <x:c r="F374" s="36" t="str">
        <x:v>MD</x:v>
      </x:c>
      <x:c r="G374" s="54" t="n">
        <x:v>107</x:v>
      </x:c>
      <x:c r="H374" s="36" t="str">
        <x:v>cb45adf79a97128907b2823f5bdba02c56ddeadcedf13771a8908aa9597c7117</x:v>
      </x:c>
      <x:c r="I374" s="36" t="n">
        <x:v>1</x:v>
      </x:c>
      <x:c r="J374" s="36" t="str">
        <x:v>Published historical baseline</x:v>
      </x:c>
      <x:c r="K374" s="36" t="str">
        <x:v>CONTEXT / PRESERVED</x:v>
      </x:c>
      <x:c r="L374" s="36" t="str"/>
      <x:c r="M374" s="36" t="str">
        <x:v>Retain read-only; current authority remains 00–34.</x:v>
      </x:c>
      <x:c r="N374" s="36" t="str">
        <x:v>Preserved context; not mined as normative authority.</x:v>
      </x:c>
      <x:c r="O374" s="36" t="str">
        <x:v>00_Official_Baseline/v0.6/MIGRATION_SUMMARY.md</x:v>
      </x:c>
    </x:row>
    <x:row r="375">
      <x:c r="A375" s="27" t="str">
        <x:v>HIST-0371</x:v>
      </x:c>
      <x:c r="B375" s="27" t="str">
        <x:v>00_Official_Baseline</x:v>
      </x:c>
      <x:c r="C375" s="27" t="str">
        <x:v>v0.6</x:v>
      </x:c>
      <x:c r="D375" s="27" t="str"/>
      <x:c r="E375" s="36" t="str">
        <x:v>PACKAGE_MANIFEST.md</x:v>
      </x:c>
      <x:c r="F375" s="36" t="str">
        <x:v>MD</x:v>
      </x:c>
      <x:c r="G375" s="54" t="n">
        <x:v>876</x:v>
      </x:c>
      <x:c r="H375" s="36" t="str">
        <x:v>c25b2f638ce7814f8f2d9a153481efe6891a01b7e873f1a3251775ee51b922dd</x:v>
      </x:c>
      <x:c r="I375" s="36" t="n">
        <x:v>1</x:v>
      </x:c>
      <x:c r="J375" s="36" t="str">
        <x:v>Published historical baseline</x:v>
      </x:c>
      <x:c r="K375" s="36" t="str">
        <x:v>DIRECT</x:v>
      </x:c>
      <x:c r="L375" s="36" t="str">
        <x:v>checksum, handoff, manifest, qa, release, roadmap, sprint, validation</x:v>
      </x:c>
      <x:c r="M375" s="36" t="str">
        <x:v>Retain read-only; current authority remains 00–34.</x:v>
      </x:c>
      <x:c r="N375" s="36" t="str">
        <x:v>33 risk/continuity context</x:v>
      </x:c>
      <x:c r="O375" s="36" t="str">
        <x:v>00_Official_Baseline/v0.6/PACKAGE_MANIFEST.md</x:v>
      </x:c>
    </x:row>
    <x:row r="376">
      <x:c r="A376" s="27" t="str">
        <x:v>HIST-0372</x:v>
      </x:c>
      <x:c r="B376" s="27" t="str">
        <x:v>00_Official_Baseline</x:v>
      </x:c>
      <x:c r="C376" s="27" t="str">
        <x:v>v0.6</x:v>
      </x:c>
      <x:c r="D376" s="27" t="str"/>
      <x:c r="E376" s="36" t="str">
        <x:v>PDF_VALIDATION_REPORT.md</x:v>
      </x:c>
      <x:c r="F376" s="36" t="str">
        <x:v>MD</x:v>
      </x:c>
      <x:c r="G376" s="54" t="n">
        <x:v>2561</x:v>
      </x:c>
      <x:c r="H376" s="36" t="str">
        <x:v>9bdd1e982f2dba4c51c17e30800fff385bfc5140adcf48714367e8831b84b438</x:v>
      </x:c>
      <x:c r="I376" s="36" t="n">
        <x:v>1</x:v>
      </x:c>
      <x:c r="J376" s="36" t="str">
        <x:v>Published historical baseline</x:v>
      </x:c>
      <x:c r="K376" s="36" t="str">
        <x:v>DIRECT</x:v>
      </x:c>
      <x:c r="L376" s="36" t="str">
        <x:v>build, legal, license, manifest, qa, release, roadmap, sprint, steam, test, validation</x:v>
      </x:c>
      <x:c r="M376" s="36" t="str">
        <x:v>Retain read-only; current authority remains 00–34.</x:v>
      </x:c>
      <x:c r="N376" s="36" t="str">
        <x:v>33 risk/continuity context</x:v>
      </x:c>
      <x:c r="O376" s="36" t="str">
        <x:v>00_Official_Baseline/v0.6/PDF_VALIDATION_REPORT.md</x:v>
      </x:c>
    </x:row>
    <x:row r="377">
      <x:c r="A377" s="27" t="str">
        <x:v>HIST-0373</x:v>
      </x:c>
      <x:c r="B377" s="27" t="str">
        <x:v>00_Official_Baseline</x:v>
      </x:c>
      <x:c r="C377" s="27" t="str">
        <x:v>v0.6</x:v>
      </x:c>
      <x:c r="D377" s="27" t="str"/>
      <x:c r="E377" s="36" t="str">
        <x:v>README.en.md</x:v>
      </x:c>
      <x:c r="F377" s="36" t="str">
        <x:v>MD</x:v>
      </x:c>
      <x:c r="G377" s="54" t="n">
        <x:v>124</x:v>
      </x:c>
      <x:c r="H377" s="36" t="str">
        <x:v>44459d4d622f5c66ee3848ff0e1a0a0fa8879f97af60e3f619092cb84cb1fd7e</x:v>
      </x:c>
      <x:c r="I377" s="36" t="n">
        <x:v>1</x:v>
      </x:c>
      <x:c r="J377" s="36" t="str">
        <x:v>Published historical baseline</x:v>
      </x:c>
      <x:c r="K377" s="36" t="str">
        <x:v>CONTEXT / PRESERVED</x:v>
      </x:c>
      <x:c r="L377" s="36" t="str">
        <x:v>handoff</x:v>
      </x:c>
      <x:c r="M377" s="36" t="str">
        <x:v>Retain read-only; current authority remains 00–34.</x:v>
      </x:c>
      <x:c r="N377" s="36" t="str">
        <x:v>Preserved context; not mined as normative authority.</x:v>
      </x:c>
      <x:c r="O377" s="36" t="str">
        <x:v>00_Official_Baseline/v0.6/README.en.md</x:v>
      </x:c>
    </x:row>
    <x:row r="378">
      <x:c r="A378" s="27" t="str">
        <x:v>HIST-0374</x:v>
      </x:c>
      <x:c r="B378" s="27" t="str">
        <x:v>00_Official_Baseline</x:v>
      </x:c>
      <x:c r="C378" s="27" t="str">
        <x:v>v0.6</x:v>
      </x:c>
      <x:c r="D378" s="27" t="str"/>
      <x:c r="E378" s="36" t="str">
        <x:v>README.md</x:v>
      </x:c>
      <x:c r="F378" s="36" t="str">
        <x:v>MD</x:v>
      </x:c>
      <x:c r="G378" s="54" t="n">
        <x:v>471</x:v>
      </x:c>
      <x:c r="H378" s="36" t="str">
        <x:v>ac0e90bdca7aa7a46b4affcd7ff9b755586339a228473d3b4eb1645eeca82a79</x:v>
      </x:c>
      <x:c r="I378" s="36" t="n">
        <x:v>1</x:v>
      </x:c>
      <x:c r="J378" s="36" t="str">
        <x:v>Published historical baseline</x:v>
      </x:c>
      <x:c r="K378" s="36" t="str">
        <x:v>SUPPORTING</x:v>
      </x:c>
      <x:c r="L378" s="36" t="str">
        <x:v>handoff, sprint</x:v>
      </x:c>
      <x:c r="M378" s="36" t="str">
        <x:v>Retain read-only; current authority remains 00–34.</x:v>
      </x:c>
      <x:c r="N378" s="36" t="str">
        <x:v>33 risk/continuity context</x:v>
      </x:c>
      <x:c r="O378" s="36" t="str">
        <x:v>00_Official_Baseline/v0.6/README.md</x:v>
      </x:c>
    </x:row>
    <x:row r="379">
      <x:c r="A379" s="27" t="str">
        <x:v>HIST-0375</x:v>
      </x:c>
      <x:c r="B379" s="27" t="str">
        <x:v>00_Official_Baseline</x:v>
      </x:c>
      <x:c r="C379" s="27" t="str">
        <x:v>v0.6</x:v>
      </x:c>
      <x:c r="D379" s="27" t="str"/>
      <x:c r="E379" s="36" t="str">
        <x:v>SPRINTS_0_16_DOCUMENT_IMPACT_MATRIX.md</x:v>
      </x:c>
      <x:c r="F379" s="36" t="str">
        <x:v>MD</x:v>
      </x:c>
      <x:c r="G379" s="54" t="n">
        <x:v>293</x:v>
      </x:c>
      <x:c r="H379" s="36" t="str">
        <x:v>5b16179ec39a2a7c460824cc9e821c2f9856adcae3aaf4cc57ce43d280ac05e2</x:v>
      </x:c>
      <x:c r="I379" s="36" t="n">
        <x:v>1</x:v>
      </x:c>
      <x:c r="J379" s="36" t="str">
        <x:v>Published historical baseline</x:v>
      </x:c>
      <x:c r="K379" s="36" t="str">
        <x:v>SUPPORTING</x:v>
      </x:c>
      <x:c r="L379" s="36" t="str">
        <x:v>handoff, qa, save, sprint</x:v>
      </x:c>
      <x:c r="M379" s="36" t="str">
        <x:v>Retain read-only; current authority remains 00–34.</x:v>
      </x:c>
      <x:c r="N379" s="36" t="str">
        <x:v>33 risk/continuity context</x:v>
      </x:c>
      <x:c r="O379" s="36" t="str">
        <x:v>00_Official_Baseline/v0.6/SPRINTS_0_16_DOCUMENT_IMPACT_MATRIX.md</x:v>
      </x:c>
    </x:row>
    <x:row r="380">
      <x:c r="A380" s="27" t="str">
        <x:v>HIST-0376</x:v>
      </x:c>
      <x:c r="B380" s="27" t="str">
        <x:v>01_Working_Documents</x:v>
      </x:c>
      <x:c r="C380" s="27" t="str"/>
      <x:c r="D380" s="27" t="str">
        <x:v>Sprint 16</x:v>
      </x:c>
      <x:c r="E380" s="36" t="str">
        <x:v>ChatGPT Image 29 jun 2026, 21_37_54.png</x:v>
      </x:c>
      <x:c r="F380" s="36" t="str">
        <x:v>PNG</x:v>
      </x:c>
      <x:c r="G380" s="54" t="n">
        <x:v>1977934</x:v>
      </x:c>
      <x:c r="H380" s="36" t="str">
        <x:v>cfdd490b742396ac2fff6ba0b1e6cea8d71fb2005305ddd9c82487ec7ea88b84</x:v>
      </x:c>
      <x:c r="I380" s="36" t="n">
        <x:v>1</x:v>
      </x:c>
      <x:c r="J380" s="36" t="str">
        <x:v>Working/draft/archive context</x:v>
      </x:c>
      <x:c r="K380" s="36" t="str">
        <x:v>CONTEXT / PRESERVED</x:v>
      </x:c>
      <x:c r="L380" s="36" t="str">
        <x:v>sprint</x:v>
      </x:c>
      <x:c r="M380" s="36" t="str">
        <x:v>Retain read-only; current authority remains 00–34.</x:v>
      </x:c>
      <x:c r="N380" s="36" t="str">
        <x:v>Preserved context; not mined as normative authority.</x:v>
      </x:c>
      <x:c r="O380" s="36" t="str">
        <x:v>01_Working_Documents/Sprint_16/Art_3D/Concept_Art/00_Visual_Targets/ChatGPT Image 29 jun 2026, 21_37_54.png</x:v>
      </x:c>
    </x:row>
    <x:row r="381">
      <x:c r="A381" s="27" t="str">
        <x:v>HIST-0377</x:v>
      </x:c>
      <x:c r="B381" s="27" t="str">
        <x:v>01_Working_Documents</x:v>
      </x:c>
      <x:c r="C381" s="27" t="str"/>
      <x:c r="D381" s="27" t="str">
        <x:v>Sprint 16</x:v>
      </x:c>
      <x:c r="E381" s="36" t="str">
        <x:v>.gitkeep</x:v>
      </x:c>
      <x:c r="F381" s="36" t="str">
        <x:v>NO EXT</x:v>
      </x:c>
      <x:c r="G381" s="54" t="n">
        <x:v>0</x:v>
      </x:c>
      <x:c r="H381" s="36" t="str">
        <x:v>e3b0c44298fc1c149afbf4c8996fb92427ae41e4649b934ca495991b7852b855</x:v>
      </x:c>
      <x:c r="I381" s="36" t="n">
        <x:v>6</x:v>
      </x:c>
      <x:c r="J381" s="36" t="str">
        <x:v>Working/draft/archive context</x:v>
      </x:c>
      <x:c r="K381" s="36" t="str">
        <x:v>CONTEXT / PRESERVED</x:v>
      </x:c>
      <x:c r="L381" s="36" t="str">
        <x:v>sprint</x:v>
      </x:c>
      <x:c r="M381" s="36" t="str">
        <x:v>Retain read-only; current authority remains 00–34.</x:v>
      </x:c>
      <x:c r="N381" s="36" t="str">
        <x:v>Preserved context; not mined as normative authority.</x:v>
      </x:c>
      <x:c r="O381" s="36" t="str">
        <x:v>01_Working_Documents/Sprint_16/Art_3D/Concept_Art/01_Architecture/.gitkeep</x:v>
      </x:c>
    </x:row>
    <x:row r="382">
      <x:c r="A382" s="27" t="str">
        <x:v>HIST-0378</x:v>
      </x:c>
      <x:c r="B382" s="27" t="str">
        <x:v>01_Working_Documents</x:v>
      </x:c>
      <x:c r="C382" s="27" t="str"/>
      <x:c r="D382" s="27" t="str">
        <x:v>Sprint 16</x:v>
      </x:c>
      <x:c r="E382" s="36" t="str">
        <x:v>ChatGPT Image 29 jun 2026, 21_38_14 (10).png</x:v>
      </x:c>
      <x:c r="F382" s="36" t="str">
        <x:v>PNG</x:v>
      </x:c>
      <x:c r="G382" s="54" t="n">
        <x:v>1767735</x:v>
      </x:c>
      <x:c r="H382" s="36" t="str">
        <x:v>42175ffa89a40d6bfb57217b38a5dfee04e337bc44b838ca8db01812e56454e5</x:v>
      </x:c>
      <x:c r="I382" s="36" t="n">
        <x:v>1</x:v>
      </x:c>
      <x:c r="J382" s="36" t="str">
        <x:v>Working/draft/archive context</x:v>
      </x:c>
      <x:c r="K382" s="36" t="str">
        <x:v>CONTEXT / PRESERVED</x:v>
      </x:c>
      <x:c r="L382" s="36" t="str">
        <x:v>sprint</x:v>
      </x:c>
      <x:c r="M382" s="36" t="str">
        <x:v>Retain read-only; current authority remains 00–34.</x:v>
      </x:c>
      <x:c r="N382" s="36" t="str">
        <x:v>Preserved context; not mined as normative authority.</x:v>
      </x:c>
      <x:c r="O382" s="36" t="str">
        <x:v>01_Working_Documents/Sprint_16/Art_3D/Concept_Art/02_Furniture/ChatGPT Image 29 jun 2026, 21_38_14 (10).png</x:v>
      </x:c>
    </x:row>
    <x:row r="383">
      <x:c r="A383" s="27" t="str">
        <x:v>HIST-0379</x:v>
      </x:c>
      <x:c r="B383" s="27" t="str">
        <x:v>01_Working_Documents</x:v>
      </x:c>
      <x:c r="C383" s="27" t="str"/>
      <x:c r="D383" s="27" t="str">
        <x:v>Sprint 16</x:v>
      </x:c>
      <x:c r="E383" s="36" t="str">
        <x:v>ChatGPT Image 29 jun 2026, 21_38_14 (7).png</x:v>
      </x:c>
      <x:c r="F383" s="36" t="str">
        <x:v>PNG</x:v>
      </x:c>
      <x:c r="G383" s="54" t="n">
        <x:v>1670316</x:v>
      </x:c>
      <x:c r="H383" s="36" t="str">
        <x:v>6d5032c38dc50979430763f7ee18a84deee243325d3400affc2012551864ee1a</x:v>
      </x:c>
      <x:c r="I383" s="36" t="n">
        <x:v>1</x:v>
      </x:c>
      <x:c r="J383" s="36" t="str">
        <x:v>Working/draft/archive context</x:v>
      </x:c>
      <x:c r="K383" s="36" t="str">
        <x:v>CONTEXT / PRESERVED</x:v>
      </x:c>
      <x:c r="L383" s="36" t="str">
        <x:v>sprint</x:v>
      </x:c>
      <x:c r="M383" s="36" t="str">
        <x:v>Retain read-only; current authority remains 00–34.</x:v>
      </x:c>
      <x:c r="N383" s="36" t="str">
        <x:v>Preserved context; not mined as normative authority.</x:v>
      </x:c>
      <x:c r="O383" s="36" t="str">
        <x:v>01_Working_Documents/Sprint_16/Art_3D/Concept_Art/02_Furniture/ChatGPT Image 29 jun 2026, 21_38_14 (7).png</x:v>
      </x:c>
    </x:row>
    <x:row r="384">
      <x:c r="A384" s="27" t="str">
        <x:v>HIST-0380</x:v>
      </x:c>
      <x:c r="B384" s="27" t="str">
        <x:v>01_Working_Documents</x:v>
      </x:c>
      <x:c r="C384" s="27" t="str"/>
      <x:c r="D384" s="27" t="str">
        <x:v>Sprint 16</x:v>
      </x:c>
      <x:c r="E384" s="36" t="str">
        <x:v>ChatGPT Image 29 jun 2026, 21_38_14 (8).png</x:v>
      </x:c>
      <x:c r="F384" s="36" t="str">
        <x:v>PNG</x:v>
      </x:c>
      <x:c r="G384" s="54" t="n">
        <x:v>1996425</x:v>
      </x:c>
      <x:c r="H384" s="36" t="str">
        <x:v>78f6c5d8ecc65077ee7191715e71f31b15a7ce22b59becf54e69dcca19bded48</x:v>
      </x:c>
      <x:c r="I384" s="36" t="n">
        <x:v>1</x:v>
      </x:c>
      <x:c r="J384" s="36" t="str">
        <x:v>Working/draft/archive context</x:v>
      </x:c>
      <x:c r="K384" s="36" t="str">
        <x:v>CONTEXT / PRESERVED</x:v>
      </x:c>
      <x:c r="L384" s="36" t="str">
        <x:v>sprint</x:v>
      </x:c>
      <x:c r="M384" s="36" t="str">
        <x:v>Retain read-only; current authority remains 00–34.</x:v>
      </x:c>
      <x:c r="N384" s="36" t="str">
        <x:v>Preserved context; not mined as normative authority.</x:v>
      </x:c>
      <x:c r="O384" s="36" t="str">
        <x:v>01_Working_Documents/Sprint_16/Art_3D/Concept_Art/02_Furniture/ChatGPT Image 29 jun 2026, 21_38_14 (8).png</x:v>
      </x:c>
    </x:row>
    <x:row r="385">
      <x:c r="A385" s="27" t="str">
        <x:v>HIST-0381</x:v>
      </x:c>
      <x:c r="B385" s="27" t="str">
        <x:v>01_Working_Documents</x:v>
      </x:c>
      <x:c r="C385" s="27" t="str"/>
      <x:c r="D385" s="27" t="str">
        <x:v>Sprint 16</x:v>
      </x:c>
      <x:c r="E385" s="36" t="str">
        <x:v>ChatGPT Image 29 jun 2026, 21_38_14 (9).png</x:v>
      </x:c>
      <x:c r="F385" s="36" t="str">
        <x:v>PNG</x:v>
      </x:c>
      <x:c r="G385" s="54" t="n">
        <x:v>1575644</x:v>
      </x:c>
      <x:c r="H385" s="36" t="str">
        <x:v>16f940c84ce6c14a277a5ed236d1306df17d80419e118507f0f2032f0b4ad558</x:v>
      </x:c>
      <x:c r="I385" s="36" t="n">
        <x:v>1</x:v>
      </x:c>
      <x:c r="J385" s="36" t="str">
        <x:v>Working/draft/archive context</x:v>
      </x:c>
      <x:c r="K385" s="36" t="str">
        <x:v>CONTEXT / PRESERVED</x:v>
      </x:c>
      <x:c r="L385" s="36" t="str">
        <x:v>sprint</x:v>
      </x:c>
      <x:c r="M385" s="36" t="str">
        <x:v>Retain read-only; current authority remains 00–34.</x:v>
      </x:c>
      <x:c r="N385" s="36" t="str">
        <x:v>Preserved context; not mined as normative authority.</x:v>
      </x:c>
      <x:c r="O385" s="36" t="str">
        <x:v>01_Working_Documents/Sprint_16/Art_3D/Concept_Art/02_Furniture/ChatGPT Image 29 jun 2026, 21_38_14 (9).png</x:v>
      </x:c>
    </x:row>
    <x:row r="386">
      <x:c r="A386" s="27" t="str">
        <x:v>HIST-0382</x:v>
      </x:c>
      <x:c r="B386" s="27" t="str">
        <x:v>01_Working_Documents</x:v>
      </x:c>
      <x:c r="C386" s="27" t="str"/>
      <x:c r="D386" s="27" t="str">
        <x:v>Sprint 16</x:v>
      </x:c>
      <x:c r="E386" s="36" t="str">
        <x:v>ChatGPT Image 29 jun 2026, 21_38_14 (1).png</x:v>
      </x:c>
      <x:c r="F386" s="36" t="str">
        <x:v>PNG</x:v>
      </x:c>
      <x:c r="G386" s="54" t="n">
        <x:v>1590353</x:v>
      </x:c>
      <x:c r="H386" s="36" t="str">
        <x:v>410d0bf38ab8848df5a496e250786d793d1d45bf8bbeab48c8f8ca83fa91d8fd</x:v>
      </x:c>
      <x:c r="I386" s="36" t="n">
        <x:v>1</x:v>
      </x:c>
      <x:c r="J386" s="36" t="str">
        <x:v>Working/draft/archive context</x:v>
      </x:c>
      <x:c r="K386" s="36" t="str">
        <x:v>CONTEXT / PRESERVED</x:v>
      </x:c>
      <x:c r="L386" s="36" t="str">
        <x:v>sprint</x:v>
      </x:c>
      <x:c r="M386" s="36" t="str">
        <x:v>Retain read-only; current authority remains 00–34.</x:v>
      </x:c>
      <x:c r="N386" s="36" t="str">
        <x:v>Preserved context; not mined as normative authority.</x:v>
      </x:c>
      <x:c r="O386" s="36" t="str">
        <x:v>01_Working_Documents/Sprint_16/Art_3D/Concept_Art/03_Products/ChatGPT Image 29 jun 2026, 21_38_14 (1).png</x:v>
      </x:c>
    </x:row>
    <x:row r="387">
      <x:c r="A387" s="27" t="str">
        <x:v>HIST-0383</x:v>
      </x:c>
      <x:c r="B387" s="27" t="str">
        <x:v>01_Working_Documents</x:v>
      </x:c>
      <x:c r="C387" s="27" t="str"/>
      <x:c r="D387" s="27" t="str">
        <x:v>Sprint 16</x:v>
      </x:c>
      <x:c r="E387" s="36" t="str">
        <x:v>ChatGPT Image 29 jun 2026, 21_38_14 (2).png</x:v>
      </x:c>
      <x:c r="F387" s="36" t="str">
        <x:v>PNG</x:v>
      </x:c>
      <x:c r="G387" s="54" t="n">
        <x:v>1786999</x:v>
      </x:c>
      <x:c r="H387" s="36" t="str">
        <x:v>6107ce0119514adab534d271d224c0a3b9b2006eebe551cc43297299a9edc404</x:v>
      </x:c>
      <x:c r="I387" s="36" t="n">
        <x:v>1</x:v>
      </x:c>
      <x:c r="J387" s="36" t="str">
        <x:v>Working/draft/archive context</x:v>
      </x:c>
      <x:c r="K387" s="36" t="str">
        <x:v>CONTEXT / PRESERVED</x:v>
      </x:c>
      <x:c r="L387" s="36" t="str">
        <x:v>sprint</x:v>
      </x:c>
      <x:c r="M387" s="36" t="str">
        <x:v>Retain read-only; current authority remains 00–34.</x:v>
      </x:c>
      <x:c r="N387" s="36" t="str">
        <x:v>Preserved context; not mined as normative authority.</x:v>
      </x:c>
      <x:c r="O387" s="36" t="str">
        <x:v>01_Working_Documents/Sprint_16/Art_3D/Concept_Art/03_Products/ChatGPT Image 29 jun 2026, 21_38_14 (2).png</x:v>
      </x:c>
    </x:row>
    <x:row r="388">
      <x:c r="A388" s="27" t="str">
        <x:v>HIST-0384</x:v>
      </x:c>
      <x:c r="B388" s="27" t="str">
        <x:v>01_Working_Documents</x:v>
      </x:c>
      <x:c r="C388" s="27" t="str"/>
      <x:c r="D388" s="27" t="str">
        <x:v>Sprint 16</x:v>
      </x:c>
      <x:c r="E388" s="36" t="str">
        <x:v>ChatGPT Image 29 jun 2026, 21_38_14 (3).png</x:v>
      </x:c>
      <x:c r="F388" s="36" t="str">
        <x:v>PNG</x:v>
      </x:c>
      <x:c r="G388" s="54" t="n">
        <x:v>1954907</x:v>
      </x:c>
      <x:c r="H388" s="36" t="str">
        <x:v>27639fb594bb9c24fc20403cbcf15a683b91af6b12250d3062fb2d0ec054528c</x:v>
      </x:c>
      <x:c r="I388" s="36" t="n">
        <x:v>1</x:v>
      </x:c>
      <x:c r="J388" s="36" t="str">
        <x:v>Working/draft/archive context</x:v>
      </x:c>
      <x:c r="K388" s="36" t="str">
        <x:v>CONTEXT / PRESERVED</x:v>
      </x:c>
      <x:c r="L388" s="36" t="str">
        <x:v>sprint</x:v>
      </x:c>
      <x:c r="M388" s="36" t="str">
        <x:v>Retain read-only; current authority remains 00–34.</x:v>
      </x:c>
      <x:c r="N388" s="36" t="str">
        <x:v>Preserved context; not mined as normative authority.</x:v>
      </x:c>
      <x:c r="O388" s="36" t="str">
        <x:v>01_Working_Documents/Sprint_16/Art_3D/Concept_Art/03_Products/ChatGPT Image 29 jun 2026, 21_38_14 (3).png</x:v>
      </x:c>
    </x:row>
    <x:row r="389">
      <x:c r="A389" s="27" t="str">
        <x:v>HIST-0385</x:v>
      </x:c>
      <x:c r="B389" s="27" t="str">
        <x:v>01_Working_Documents</x:v>
      </x:c>
      <x:c r="C389" s="27" t="str"/>
      <x:c r="D389" s="27" t="str">
        <x:v>Sprint 16</x:v>
      </x:c>
      <x:c r="E389" s="36" t="str">
        <x:v>ChatGPT Image 29 jun 2026, 21_38_14 (4).png</x:v>
      </x:c>
      <x:c r="F389" s="36" t="str">
        <x:v>PNG</x:v>
      </x:c>
      <x:c r="G389" s="54" t="n">
        <x:v>1939499</x:v>
      </x:c>
      <x:c r="H389" s="36" t="str">
        <x:v>7ade04828ed3b7623c7e7dc271adde637cdcbf746c6a78566a3faa3cb5073e63</x:v>
      </x:c>
      <x:c r="I389" s="36" t="n">
        <x:v>1</x:v>
      </x:c>
      <x:c r="J389" s="36" t="str">
        <x:v>Working/draft/archive context</x:v>
      </x:c>
      <x:c r="K389" s="36" t="str">
        <x:v>CONTEXT / PRESERVED</x:v>
      </x:c>
      <x:c r="L389" s="36" t="str">
        <x:v>sprint</x:v>
      </x:c>
      <x:c r="M389" s="36" t="str">
        <x:v>Retain read-only; current authority remains 00–34.</x:v>
      </x:c>
      <x:c r="N389" s="36" t="str">
        <x:v>Preserved context; not mined as normative authority.</x:v>
      </x:c>
      <x:c r="O389" s="36" t="str">
        <x:v>01_Working_Documents/Sprint_16/Art_3D/Concept_Art/03_Products/ChatGPT Image 29 jun 2026, 21_38_14 (4).png</x:v>
      </x:c>
    </x:row>
    <x:row r="390">
      <x:c r="A390" s="27" t="str">
        <x:v>HIST-0386</x:v>
      </x:c>
      <x:c r="B390" s="27" t="str">
        <x:v>01_Working_Documents</x:v>
      </x:c>
      <x:c r="C390" s="27" t="str"/>
      <x:c r="D390" s="27" t="str">
        <x:v>Sprint 16</x:v>
      </x:c>
      <x:c r="E390" s="36" t="str">
        <x:v>ChatGPT Image 29 jun 2026, 21_38_14 (5).png</x:v>
      </x:c>
      <x:c r="F390" s="36" t="str">
        <x:v>PNG</x:v>
      </x:c>
      <x:c r="G390" s="54" t="n">
        <x:v>1901472</x:v>
      </x:c>
      <x:c r="H390" s="36" t="str">
        <x:v>48be40e282d818092991e3f24d9e6b21e324025374a15ae762faf4fca8762779</x:v>
      </x:c>
      <x:c r="I390" s="36" t="n">
        <x:v>1</x:v>
      </x:c>
      <x:c r="J390" s="36" t="str">
        <x:v>Working/draft/archive context</x:v>
      </x:c>
      <x:c r="K390" s="36" t="str">
        <x:v>CONTEXT / PRESERVED</x:v>
      </x:c>
      <x:c r="L390" s="36" t="str">
        <x:v>sprint</x:v>
      </x:c>
      <x:c r="M390" s="36" t="str">
        <x:v>Retain read-only; current authority remains 00–34.</x:v>
      </x:c>
      <x:c r="N390" s="36" t="str">
        <x:v>Preserved context; not mined as normative authority.</x:v>
      </x:c>
      <x:c r="O390" s="36" t="str">
        <x:v>01_Working_Documents/Sprint_16/Art_3D/Concept_Art/03_Products/ChatGPT Image 29 jun 2026, 21_38_14 (5).png</x:v>
      </x:c>
    </x:row>
    <x:row r="391">
      <x:c r="A391" s="27" t="str">
        <x:v>HIST-0387</x:v>
      </x:c>
      <x:c r="B391" s="27" t="str">
        <x:v>01_Working_Documents</x:v>
      </x:c>
      <x:c r="C391" s="27" t="str"/>
      <x:c r="D391" s="27" t="str">
        <x:v>Sprint 16</x:v>
      </x:c>
      <x:c r="E391" s="36" t="str">
        <x:v>ChatGPT Image 29 jun 2026, 21_38_14 (6).png</x:v>
      </x:c>
      <x:c r="F391" s="36" t="str">
        <x:v>PNG</x:v>
      </x:c>
      <x:c r="G391" s="54" t="n">
        <x:v>1774013</x:v>
      </x:c>
      <x:c r="H391" s="36" t="str">
        <x:v>56891223f619f891a523c01037823ca04fa386cc2b0963858c6115e9984df4bd</x:v>
      </x:c>
      <x:c r="I391" s="36" t="n">
        <x:v>1</x:v>
      </x:c>
      <x:c r="J391" s="36" t="str">
        <x:v>Working/draft/archive context</x:v>
      </x:c>
      <x:c r="K391" s="36" t="str">
        <x:v>CONTEXT / PRESERVED</x:v>
      </x:c>
      <x:c r="L391" s="36" t="str">
        <x:v>sprint</x:v>
      </x:c>
      <x:c r="M391" s="36" t="str">
        <x:v>Retain read-only; current authority remains 00–34.</x:v>
      </x:c>
      <x:c r="N391" s="36" t="str">
        <x:v>Preserved context; not mined as normative authority.</x:v>
      </x:c>
      <x:c r="O391" s="36" t="str">
        <x:v>01_Working_Documents/Sprint_16/Art_3D/Concept_Art/03_Products/ChatGPT Image 29 jun 2026, 21_38_14 (6).png</x:v>
      </x:c>
    </x:row>
    <x:row r="392">
      <x:c r="A392" s="27" t="str">
        <x:v>HIST-0388</x:v>
      </x:c>
      <x:c r="B392" s="27" t="str">
        <x:v>01_Working_Documents</x:v>
      </x:c>
      <x:c r="C392" s="27" t="str"/>
      <x:c r="D392" s="27" t="str">
        <x:v>Sprint 16</x:v>
      </x:c>
      <x:c r="E392" s="36" t="str">
        <x:v>ChatGPT Image 29 jun 2026, 21_38_50 (1).png</x:v>
      </x:c>
      <x:c r="F392" s="36" t="str">
        <x:v>PNG</x:v>
      </x:c>
      <x:c r="G392" s="54" t="n">
        <x:v>1728315</x:v>
      </x:c>
      <x:c r="H392" s="36" t="str">
        <x:v>fd439e31144c41f1eedd8d417911c1f78fbdbe02623b4859535db50082e8a491</x:v>
      </x:c>
      <x:c r="I392" s="36" t="n">
        <x:v>1</x:v>
      </x:c>
      <x:c r="J392" s="36" t="str">
        <x:v>Working/draft/archive context</x:v>
      </x:c>
      <x:c r="K392" s="36" t="str">
        <x:v>CONTEXT / PRESERVED</x:v>
      </x:c>
      <x:c r="L392" s="36" t="str">
        <x:v>sprint</x:v>
      </x:c>
      <x:c r="M392" s="36" t="str">
        <x:v>Retain read-only; current authority remains 00–34.</x:v>
      </x:c>
      <x:c r="N392" s="36" t="str">
        <x:v>Preserved context; not mined as normative authority.</x:v>
      </x:c>
      <x:c r="O392" s="36" t="str">
        <x:v>01_Working_Documents/Sprint_16/Art_3D/Concept_Art/04_Characters/ChatGPT Image 29 jun 2026, 21_38_50 (1).png</x:v>
      </x:c>
    </x:row>
    <x:row r="393">
      <x:c r="A393" s="27" t="str">
        <x:v>HIST-0389</x:v>
      </x:c>
      <x:c r="B393" s="27" t="str">
        <x:v>01_Working_Documents</x:v>
      </x:c>
      <x:c r="C393" s="27" t="str"/>
      <x:c r="D393" s="27" t="str">
        <x:v>Sprint 16</x:v>
      </x:c>
      <x:c r="E393" s="36" t="str">
        <x:v>ChatGPT Image 29 jun 2026, 21_38_50 (2).png</x:v>
      </x:c>
      <x:c r="F393" s="36" t="str">
        <x:v>PNG</x:v>
      </x:c>
      <x:c r="G393" s="54" t="n">
        <x:v>1685372</x:v>
      </x:c>
      <x:c r="H393" s="36" t="str">
        <x:v>e5bca43f10a16a56d793260cf1bad77fa308db981207d5e6d37325159e6d8a11</x:v>
      </x:c>
      <x:c r="I393" s="36" t="n">
        <x:v>1</x:v>
      </x:c>
      <x:c r="J393" s="36" t="str">
        <x:v>Working/draft/archive context</x:v>
      </x:c>
      <x:c r="K393" s="36" t="str">
        <x:v>CONTEXT / PRESERVED</x:v>
      </x:c>
      <x:c r="L393" s="36" t="str">
        <x:v>sprint</x:v>
      </x:c>
      <x:c r="M393" s="36" t="str">
        <x:v>Retain read-only; current authority remains 00–34.</x:v>
      </x:c>
      <x:c r="N393" s="36" t="str">
        <x:v>Preserved context; not mined as normative authority.</x:v>
      </x:c>
      <x:c r="O393" s="36" t="str">
        <x:v>01_Working_Documents/Sprint_16/Art_3D/Concept_Art/04_Characters/ChatGPT Image 29 jun 2026, 21_38_50 (2).png</x:v>
      </x:c>
    </x:row>
    <x:row r="394">
      <x:c r="A394" s="27" t="str">
        <x:v>HIST-0390</x:v>
      </x:c>
      <x:c r="B394" s="27" t="str">
        <x:v>01_Working_Documents</x:v>
      </x:c>
      <x:c r="C394" s="27" t="str"/>
      <x:c r="D394" s="27" t="str">
        <x:v>Sprint 16</x:v>
      </x:c>
      <x:c r="E394" s="36" t="str">
        <x:v>ChatGPT Image 29 jun 2026, 21_38_50 (3).png</x:v>
      </x:c>
      <x:c r="F394" s="36" t="str">
        <x:v>PNG</x:v>
      </x:c>
      <x:c r="G394" s="54" t="n">
        <x:v>1651401</x:v>
      </x:c>
      <x:c r="H394" s="36" t="str">
        <x:v>093b91e470d56a2609622789d9955d99f700014a6e9733fb4dc32da839d6d7e2</x:v>
      </x:c>
      <x:c r="I394" s="36" t="n">
        <x:v>1</x:v>
      </x:c>
      <x:c r="J394" s="36" t="str">
        <x:v>Working/draft/archive context</x:v>
      </x:c>
      <x:c r="K394" s="36" t="str">
        <x:v>CONTEXT / PRESERVED</x:v>
      </x:c>
      <x:c r="L394" s="36" t="str">
        <x:v>sprint</x:v>
      </x:c>
      <x:c r="M394" s="36" t="str">
        <x:v>Retain read-only; current authority remains 00–34.</x:v>
      </x:c>
      <x:c r="N394" s="36" t="str">
        <x:v>Preserved context; not mined as normative authority.</x:v>
      </x:c>
      <x:c r="O394" s="36" t="str">
        <x:v>01_Working_Documents/Sprint_16/Art_3D/Concept_Art/04_Characters/ChatGPT Image 29 jun 2026, 21_38_50 (3).png</x:v>
      </x:c>
    </x:row>
    <x:row r="395">
      <x:c r="A395" s="27" t="str">
        <x:v>HIST-0391</x:v>
      </x:c>
      <x:c r="B395" s="27" t="str">
        <x:v>01_Working_Documents</x:v>
      </x:c>
      <x:c r="C395" s="27" t="str"/>
      <x:c r="D395" s="27" t="str">
        <x:v>Sprint 16</x:v>
      </x:c>
      <x:c r="E395" s="36" t="str">
        <x:v>ChatGPT Image 29 jun 2026, 21_38_50 (4).png</x:v>
      </x:c>
      <x:c r="F395" s="36" t="str">
        <x:v>PNG</x:v>
      </x:c>
      <x:c r="G395" s="54" t="n">
        <x:v>1521051</x:v>
      </x:c>
      <x:c r="H395" s="36" t="str">
        <x:v>546539231dbaf0ac0f0d3bd92bd4349e7ea7c13bee7dd1aa0768363529198c07</x:v>
      </x:c>
      <x:c r="I395" s="36" t="n">
        <x:v>1</x:v>
      </x:c>
      <x:c r="J395" s="36" t="str">
        <x:v>Working/draft/archive context</x:v>
      </x:c>
      <x:c r="K395" s="36" t="str">
        <x:v>CONTEXT / PRESERVED</x:v>
      </x:c>
      <x:c r="L395" s="36" t="str">
        <x:v>sprint</x:v>
      </x:c>
      <x:c r="M395" s="36" t="str">
        <x:v>Retain read-only; current authority remains 00–34.</x:v>
      </x:c>
      <x:c r="N395" s="36" t="str">
        <x:v>Preserved context; not mined as normative authority.</x:v>
      </x:c>
      <x:c r="O395" s="36" t="str">
        <x:v>01_Working_Documents/Sprint_16/Art_3D/Concept_Art/04_Characters/ChatGPT Image 29 jun 2026, 21_38_50 (4).png</x:v>
      </x:c>
    </x:row>
    <x:row r="396">
      <x:c r="A396" s="27" t="str">
        <x:v>HIST-0392</x:v>
      </x:c>
      <x:c r="B396" s="27" t="str">
        <x:v>01_Working_Documents</x:v>
      </x:c>
      <x:c r="C396" s="27" t="str"/>
      <x:c r="D396" s="27" t="str">
        <x:v>Sprint 16</x:v>
      </x:c>
      <x:c r="E396" s="36" t="str">
        <x:v>ChatGPT Image 29 jun 2026, 21_38_50 (5).png</x:v>
      </x:c>
      <x:c r="F396" s="36" t="str">
        <x:v>PNG</x:v>
      </x:c>
      <x:c r="G396" s="54" t="n">
        <x:v>1854890</x:v>
      </x:c>
      <x:c r="H396" s="36" t="str">
        <x:v>1d02083cf9c0736568b4fbefea98d57e1104d84e1def585b1c8bf87fec8462d1</x:v>
      </x:c>
      <x:c r="I396" s="36" t="n">
        <x:v>1</x:v>
      </x:c>
      <x:c r="J396" s="36" t="str">
        <x:v>Working/draft/archive context</x:v>
      </x:c>
      <x:c r="K396" s="36" t="str">
        <x:v>CONTEXT / PRESERVED</x:v>
      </x:c>
      <x:c r="L396" s="36" t="str">
        <x:v>sprint</x:v>
      </x:c>
      <x:c r="M396" s="36" t="str">
        <x:v>Retain read-only; current authority remains 00–34.</x:v>
      </x:c>
      <x:c r="N396" s="36" t="str">
        <x:v>Preserved context; not mined as normative authority.</x:v>
      </x:c>
      <x:c r="O396" s="36" t="str">
        <x:v>01_Working_Documents/Sprint_16/Art_3D/Concept_Art/04_Characters/ChatGPT Image 29 jun 2026, 21_38_50 (5).png</x:v>
      </x:c>
    </x:row>
    <x:row r="397">
      <x:c r="A397" s="27" t="str">
        <x:v>HIST-0393</x:v>
      </x:c>
      <x:c r="B397" s="27" t="str">
        <x:v>01_Working_Documents</x:v>
      </x:c>
      <x:c r="C397" s="27" t="str"/>
      <x:c r="D397" s="27" t="str">
        <x:v>Sprint 16</x:v>
      </x:c>
      <x:c r="E397" s="36" t="str">
        <x:v>ChatGPT Image 29 jun 2026, 21_38_50 (6).png</x:v>
      </x:c>
      <x:c r="F397" s="36" t="str">
        <x:v>PNG</x:v>
      </x:c>
      <x:c r="G397" s="54" t="n">
        <x:v>1675117</x:v>
      </x:c>
      <x:c r="H397" s="36" t="str">
        <x:v>6f0416232df549d46156a2f6ff92d039b785cf7aa44f82f17c840d05bc1927a6</x:v>
      </x:c>
      <x:c r="I397" s="36" t="n">
        <x:v>1</x:v>
      </x:c>
      <x:c r="J397" s="36" t="str">
        <x:v>Working/draft/archive context</x:v>
      </x:c>
      <x:c r="K397" s="36" t="str">
        <x:v>CONTEXT / PRESERVED</x:v>
      </x:c>
      <x:c r="L397" s="36" t="str">
        <x:v>sprint</x:v>
      </x:c>
      <x:c r="M397" s="36" t="str">
        <x:v>Retain read-only; current authority remains 00–34.</x:v>
      </x:c>
      <x:c r="N397" s="36" t="str">
        <x:v>Preserved context; not mined as normative authority.</x:v>
      </x:c>
      <x:c r="O397" s="36" t="str">
        <x:v>01_Working_Documents/Sprint_16/Art_3D/Concept_Art/04_Characters/ChatGPT Image 29 jun 2026, 21_38_50 (6).png</x:v>
      </x:c>
    </x:row>
    <x:row r="398">
      <x:c r="A398" s="27" t="str">
        <x:v>HIST-0394</x:v>
      </x:c>
      <x:c r="B398" s="27" t="str">
        <x:v>01_Working_Documents</x:v>
      </x:c>
      <x:c r="C398" s="27" t="str"/>
      <x:c r="D398" s="27" t="str">
        <x:v>Sprint 16</x:v>
      </x:c>
      <x:c r="E398" s="36" t="str">
        <x:v>ChatGPT Image 29 jun 2026, 21_38_50 (7).png</x:v>
      </x:c>
      <x:c r="F398" s="36" t="str">
        <x:v>PNG</x:v>
      </x:c>
      <x:c r="G398" s="54" t="n">
        <x:v>1684465</x:v>
      </x:c>
      <x:c r="H398" s="36" t="str">
        <x:v>ebb549522b8d6ac4ca57d47c8bf1d8cd0e96608824dfb5f0f2d7bd51b6c2dd98</x:v>
      </x:c>
      <x:c r="I398" s="36" t="n">
        <x:v>1</x:v>
      </x:c>
      <x:c r="J398" s="36" t="str">
        <x:v>Working/draft/archive context</x:v>
      </x:c>
      <x:c r="K398" s="36" t="str">
        <x:v>CONTEXT / PRESERVED</x:v>
      </x:c>
      <x:c r="L398" s="36" t="str">
        <x:v>sprint</x:v>
      </x:c>
      <x:c r="M398" s="36" t="str">
        <x:v>Retain read-only; current authority remains 00–34.</x:v>
      </x:c>
      <x:c r="N398" s="36" t="str">
        <x:v>Preserved context; not mined as normative authority.</x:v>
      </x:c>
      <x:c r="O398" s="36" t="str">
        <x:v>01_Working_Documents/Sprint_16/Art_3D/Concept_Art/04_Characters/ChatGPT Image 29 jun 2026, 21_38_50 (7).png</x:v>
      </x:c>
    </x:row>
    <x:row r="399">
      <x:c r="A399" s="27" t="str">
        <x:v>HIST-0395</x:v>
      </x:c>
      <x:c r="B399" s="27" t="str">
        <x:v>01_Working_Documents</x:v>
      </x:c>
      <x:c r="C399" s="27" t="str"/>
      <x:c r="D399" s="27" t="str">
        <x:v>Sprint 16</x:v>
      </x:c>
      <x:c r="E399" s="36" t="str">
        <x:v>ChatGPT Image 29 jun 2026, 21_38_50 (8).png</x:v>
      </x:c>
      <x:c r="F399" s="36" t="str">
        <x:v>PNG</x:v>
      </x:c>
      <x:c r="G399" s="54" t="n">
        <x:v>1902077</x:v>
      </x:c>
      <x:c r="H399" s="36" t="str">
        <x:v>3f1d37c6c690d4173bc0067a6460e29bc5bce2e8911c965d6a7b8aae05d296cf</x:v>
      </x:c>
      <x:c r="I399" s="36" t="n">
        <x:v>1</x:v>
      </x:c>
      <x:c r="J399" s="36" t="str">
        <x:v>Working/draft/archive context</x:v>
      </x:c>
      <x:c r="K399" s="36" t="str">
        <x:v>CONTEXT / PRESERVED</x:v>
      </x:c>
      <x:c r="L399" s="36" t="str">
        <x:v>sprint</x:v>
      </x:c>
      <x:c r="M399" s="36" t="str">
        <x:v>Retain read-only; current authority remains 00–34.</x:v>
      </x:c>
      <x:c r="N399" s="36" t="str">
        <x:v>Preserved context; not mined as normative authority.</x:v>
      </x:c>
      <x:c r="O399" s="36" t="str">
        <x:v>01_Working_Documents/Sprint_16/Art_3D/Concept_Art/04_Characters/ChatGPT Image 29 jun 2026, 21_38_50 (8).png</x:v>
      </x:c>
    </x:row>
    <x:row r="400">
      <x:c r="A400" s="27" t="str">
        <x:v>HIST-0396</x:v>
      </x:c>
      <x:c r="B400" s="27" t="str">
        <x:v>01_Working_Documents</x:v>
      </x:c>
      <x:c r="C400" s="27" t="str"/>
      <x:c r="D400" s="27" t="str">
        <x:v>Sprint 16</x:v>
      </x:c>
      <x:c r="E400" s="36" t="str">
        <x:v>ChatGPT Image 29 jun 2026, 21_39_17 (1).png</x:v>
      </x:c>
      <x:c r="F400" s="36" t="str">
        <x:v>PNG</x:v>
      </x:c>
      <x:c r="G400" s="54" t="n">
        <x:v>2230307</x:v>
      </x:c>
      <x:c r="H400" s="36" t="str">
        <x:v>ce23b3b1e2bf6186ab627de7247b794ea9ed6f8b80bd8d4cb02df94619801f09</x:v>
      </x:c>
      <x:c r="I400" s="36" t="n">
        <x:v>1</x:v>
      </x:c>
      <x:c r="J400" s="36" t="str">
        <x:v>Working/draft/archive context</x:v>
      </x:c>
      <x:c r="K400" s="36" t="str">
        <x:v>CONTEXT / PRESERVED</x:v>
      </x:c>
      <x:c r="L400" s="36" t="str">
        <x:v>sprint</x:v>
      </x:c>
      <x:c r="M400" s="36" t="str">
        <x:v>Retain read-only; current authority remains 00–34.</x:v>
      </x:c>
      <x:c r="N400" s="36" t="str">
        <x:v>Preserved context; not mined as normative authority.</x:v>
      </x:c>
      <x:c r="O400" s="36" t="str">
        <x:v>01_Working_Documents/Sprint_16/Art_3D/Concept_Art/05_Expansion_Concepts/ChatGPT Image 29 jun 2026, 21_39_17 (1).png</x:v>
      </x:c>
    </x:row>
    <x:row r="401">
      <x:c r="A401" s="27" t="str">
        <x:v>HIST-0397</x:v>
      </x:c>
      <x:c r="B401" s="27" t="str">
        <x:v>01_Working_Documents</x:v>
      </x:c>
      <x:c r="C401" s="27" t="str"/>
      <x:c r="D401" s="27" t="str">
        <x:v>Sprint 16</x:v>
      </x:c>
      <x:c r="E401" s="36" t="str">
        <x:v>ChatGPT Image 29 jun 2026, 21_39_17 (2).png</x:v>
      </x:c>
      <x:c r="F401" s="36" t="str">
        <x:v>PNG</x:v>
      </x:c>
      <x:c r="G401" s="54" t="n">
        <x:v>2385231</x:v>
      </x:c>
      <x:c r="H401" s="36" t="str">
        <x:v>79e9ccc8ba8126f7a63b5f38fdc4bafcbab5479b39e6882de1add15f66529e7f</x:v>
      </x:c>
      <x:c r="I401" s="36" t="n">
        <x:v>1</x:v>
      </x:c>
      <x:c r="J401" s="36" t="str">
        <x:v>Working/draft/archive context</x:v>
      </x:c>
      <x:c r="K401" s="36" t="str">
        <x:v>CONTEXT / PRESERVED</x:v>
      </x:c>
      <x:c r="L401" s="36" t="str">
        <x:v>sprint</x:v>
      </x:c>
      <x:c r="M401" s="36" t="str">
        <x:v>Retain read-only; current authority remains 00–34.</x:v>
      </x:c>
      <x:c r="N401" s="36" t="str">
        <x:v>Preserved context; not mined as normative authority.</x:v>
      </x:c>
      <x:c r="O401" s="36" t="str">
        <x:v>01_Working_Documents/Sprint_16/Art_3D/Concept_Art/05_Expansion_Concepts/ChatGPT Image 29 jun 2026, 21_39_17 (2).png</x:v>
      </x:c>
    </x:row>
    <x:row r="402">
      <x:c r="A402" s="27" t="str">
        <x:v>HIST-0398</x:v>
      </x:c>
      <x:c r="B402" s="27" t="str">
        <x:v>01_Working_Documents</x:v>
      </x:c>
      <x:c r="C402" s="27" t="str"/>
      <x:c r="D402" s="27" t="str">
        <x:v>Sprint 16</x:v>
      </x:c>
      <x:c r="E402" s="36" t="str">
        <x:v>ChatGPT Image 29 jun 2026, 21_39_17 (3).png</x:v>
      </x:c>
      <x:c r="F402" s="36" t="str">
        <x:v>PNG</x:v>
      </x:c>
      <x:c r="G402" s="54" t="n">
        <x:v>2195489</x:v>
      </x:c>
      <x:c r="H402" s="36" t="str">
        <x:v>78cb05222f8155d5bd9e709e8e214f4517023444ed79538c3693bb0b09ea232f</x:v>
      </x:c>
      <x:c r="I402" s="36" t="n">
        <x:v>1</x:v>
      </x:c>
      <x:c r="J402" s="36" t="str">
        <x:v>Working/draft/archive context</x:v>
      </x:c>
      <x:c r="K402" s="36" t="str">
        <x:v>CONTEXT / PRESERVED</x:v>
      </x:c>
      <x:c r="L402" s="36" t="str">
        <x:v>sprint</x:v>
      </x:c>
      <x:c r="M402" s="36" t="str">
        <x:v>Retain read-only; current authority remains 00–34.</x:v>
      </x:c>
      <x:c r="N402" s="36" t="str">
        <x:v>Preserved context; not mined as normative authority.</x:v>
      </x:c>
      <x:c r="O402" s="36" t="str">
        <x:v>01_Working_Documents/Sprint_16/Art_3D/Concept_Art/05_Expansion_Concepts/ChatGPT Image 29 jun 2026, 21_39_17 (3).png</x:v>
      </x:c>
    </x:row>
    <x:row r="403">
      <x:c r="A403" s="27" t="str">
        <x:v>HIST-0399</x:v>
      </x:c>
      <x:c r="B403" s="27" t="str">
        <x:v>01_Working_Documents</x:v>
      </x:c>
      <x:c r="C403" s="27" t="str"/>
      <x:c r="D403" s="27" t="str">
        <x:v>Sprint 16</x:v>
      </x:c>
      <x:c r="E403" s="36" t="str">
        <x:v>ChatGPT Image 29 jun 2026, 21_39_17 (4).png</x:v>
      </x:c>
      <x:c r="F403" s="36" t="str">
        <x:v>PNG</x:v>
      </x:c>
      <x:c r="G403" s="54" t="n">
        <x:v>2065962</x:v>
      </x:c>
      <x:c r="H403" s="36" t="str">
        <x:v>1074b34d1051c2e32fa23325f042158d04e7497b54d61c44f4cc1c3b4505b1f5</x:v>
      </x:c>
      <x:c r="I403" s="36" t="n">
        <x:v>1</x:v>
      </x:c>
      <x:c r="J403" s="36" t="str">
        <x:v>Working/draft/archive context</x:v>
      </x:c>
      <x:c r="K403" s="36" t="str">
        <x:v>CONTEXT / PRESERVED</x:v>
      </x:c>
      <x:c r="L403" s="36" t="str">
        <x:v>sprint</x:v>
      </x:c>
      <x:c r="M403" s="36" t="str">
        <x:v>Retain read-only; current authority remains 00–34.</x:v>
      </x:c>
      <x:c r="N403" s="36" t="str">
        <x:v>Preserved context; not mined as normative authority.</x:v>
      </x:c>
      <x:c r="O403" s="36" t="str">
        <x:v>01_Working_Documents/Sprint_16/Art_3D/Concept_Art/05_Expansion_Concepts/ChatGPT Image 29 jun 2026, 21_39_17 (4).png</x:v>
      </x:c>
    </x:row>
    <x:row r="404">
      <x:c r="A404" s="27" t="str">
        <x:v>HIST-0400</x:v>
      </x:c>
      <x:c r="B404" s="27" t="str">
        <x:v>01_Working_Documents</x:v>
      </x:c>
      <x:c r="C404" s="27" t="str"/>
      <x:c r="D404" s="27" t="str">
        <x:v>Sprint 16</x:v>
      </x:c>
      <x:c r="E404" s="36" t="str">
        <x:v>ChatGPT Image 29 jun 2026, 21_39_17 (5).png</x:v>
      </x:c>
      <x:c r="F404" s="36" t="str">
        <x:v>PNG</x:v>
      </x:c>
      <x:c r="G404" s="54" t="n">
        <x:v>2198732</x:v>
      </x:c>
      <x:c r="H404" s="36" t="str">
        <x:v>686585e4a4b1054b23cdea08297e28ddd0df211d966dc0ab8a6116ce9c17ca25</x:v>
      </x:c>
      <x:c r="I404" s="36" t="n">
        <x:v>1</x:v>
      </x:c>
      <x:c r="J404" s="36" t="str">
        <x:v>Working/draft/archive context</x:v>
      </x:c>
      <x:c r="K404" s="36" t="str">
        <x:v>CONTEXT / PRESERVED</x:v>
      </x:c>
      <x:c r="L404" s="36" t="str">
        <x:v>sprint</x:v>
      </x:c>
      <x:c r="M404" s="36" t="str">
        <x:v>Retain read-only; current authority remains 00–34.</x:v>
      </x:c>
      <x:c r="N404" s="36" t="str">
        <x:v>Preserved context; not mined as normative authority.</x:v>
      </x:c>
      <x:c r="O404" s="36" t="str">
        <x:v>01_Working_Documents/Sprint_16/Art_3D/Concept_Art/05_Expansion_Concepts/ChatGPT Image 29 jun 2026, 21_39_17 (5).png</x:v>
      </x:c>
    </x:row>
    <x:row r="405">
      <x:c r="A405" s="27" t="str">
        <x:v>HIST-0401</x:v>
      </x:c>
      <x:c r="B405" s="27" t="str">
        <x:v>01_Working_Documents</x:v>
      </x:c>
      <x:c r="C405" s="27" t="str"/>
      <x:c r="D405" s="27" t="str">
        <x:v>Sprint 16</x:v>
      </x:c>
      <x:c r="E405" s="36" t="str">
        <x:v>ChatGPT Image 29 jun 2026, 21_39_17 (6).png</x:v>
      </x:c>
      <x:c r="F405" s="36" t="str">
        <x:v>PNG</x:v>
      </x:c>
      <x:c r="G405" s="54" t="n">
        <x:v>2232046</x:v>
      </x:c>
      <x:c r="H405" s="36" t="str">
        <x:v>7c349ed7b9258e832c0e7c3f3529fb4fe8ea322f9d7c52ef004d98a741b21519</x:v>
      </x:c>
      <x:c r="I405" s="36" t="n">
        <x:v>1</x:v>
      </x:c>
      <x:c r="J405" s="36" t="str">
        <x:v>Working/draft/archive context</x:v>
      </x:c>
      <x:c r="K405" s="36" t="str">
        <x:v>CONTEXT / PRESERVED</x:v>
      </x:c>
      <x:c r="L405" s="36" t="str">
        <x:v>sprint</x:v>
      </x:c>
      <x:c r="M405" s="36" t="str">
        <x:v>Retain read-only; current authority remains 00–34.</x:v>
      </x:c>
      <x:c r="N405" s="36" t="str">
        <x:v>Preserved context; not mined as normative authority.</x:v>
      </x:c>
      <x:c r="O405" s="36" t="str">
        <x:v>01_Working_Documents/Sprint_16/Art_3D/Concept_Art/05_Expansion_Concepts/ChatGPT Image 29 jun 2026, 21_39_17 (6).png</x:v>
      </x:c>
    </x:row>
    <x:row r="406">
      <x:c r="A406" s="27" t="str">
        <x:v>HIST-0402</x:v>
      </x:c>
      <x:c r="B406" s="27" t="str">
        <x:v>01_Working_Documents</x:v>
      </x:c>
      <x:c r="C406" s="27" t="str"/>
      <x:c r="D406" s="27" t="str">
        <x:v>Sprint 16</x:v>
      </x:c>
      <x:c r="E406" s="36" t="str">
        <x:v>ChatGPT Image 29 jun 2026, 21_39_17 (7).png</x:v>
      </x:c>
      <x:c r="F406" s="36" t="str">
        <x:v>PNG</x:v>
      </x:c>
      <x:c r="G406" s="54" t="n">
        <x:v>2038776</x:v>
      </x:c>
      <x:c r="H406" s="36" t="str">
        <x:v>cf9a87944e4aaff1730c4162d300a6204d248f4e6a62f8c0fe46ee7152819ff5</x:v>
      </x:c>
      <x:c r="I406" s="36" t="n">
        <x:v>1</x:v>
      </x:c>
      <x:c r="J406" s="36" t="str">
        <x:v>Working/draft/archive context</x:v>
      </x:c>
      <x:c r="K406" s="36" t="str">
        <x:v>CONTEXT / PRESERVED</x:v>
      </x:c>
      <x:c r="L406" s="36" t="str">
        <x:v>sprint</x:v>
      </x:c>
      <x:c r="M406" s="36" t="str">
        <x:v>Retain read-only; current authority remains 00–34.</x:v>
      </x:c>
      <x:c r="N406" s="36" t="str">
        <x:v>Preserved context; not mined as normative authority.</x:v>
      </x:c>
      <x:c r="O406" s="36" t="str">
        <x:v>01_Working_Documents/Sprint_16/Art_3D/Concept_Art/05_Expansion_Concepts/ChatGPT Image 29 jun 2026, 21_39_17 (7).png</x:v>
      </x:c>
    </x:row>
    <x:row r="407">
      <x:c r="A407" s="27" t="str">
        <x:v>HIST-0403</x:v>
      </x:c>
      <x:c r="B407" s="27" t="str">
        <x:v>01_Working_Documents</x:v>
      </x:c>
      <x:c r="C407" s="27" t="str"/>
      <x:c r="D407" s="27" t="str">
        <x:v>Sprint 16</x:v>
      </x:c>
      <x:c r="E407" s="36" t="str">
        <x:v>ChatGPT Image 29 jun 2026, 21_39_17 (8).png</x:v>
      </x:c>
      <x:c r="F407" s="36" t="str">
        <x:v>PNG</x:v>
      </x:c>
      <x:c r="G407" s="54" t="n">
        <x:v>1962162</x:v>
      </x:c>
      <x:c r="H407" s="36" t="str">
        <x:v>cb6d28e87a016aa78cb5b6d1d84dbe42368fadc7b50f3ef8345214bf1e6a59dd</x:v>
      </x:c>
      <x:c r="I407" s="36" t="n">
        <x:v>1</x:v>
      </x:c>
      <x:c r="J407" s="36" t="str">
        <x:v>Working/draft/archive context</x:v>
      </x:c>
      <x:c r="K407" s="36" t="str">
        <x:v>CONTEXT / PRESERVED</x:v>
      </x:c>
      <x:c r="L407" s="36" t="str">
        <x:v>sprint</x:v>
      </x:c>
      <x:c r="M407" s="36" t="str">
        <x:v>Retain read-only; current authority remains 00–34.</x:v>
      </x:c>
      <x:c r="N407" s="36" t="str">
        <x:v>Preserved context; not mined as normative authority.</x:v>
      </x:c>
      <x:c r="O407" s="36" t="str">
        <x:v>01_Working_Documents/Sprint_16/Art_3D/Concept_Art/05_Expansion_Concepts/ChatGPT Image 29 jun 2026, 21_39_17 (8).png</x:v>
      </x:c>
    </x:row>
    <x:row r="408">
      <x:c r="A408" s="27" t="str">
        <x:v>HIST-0404</x:v>
      </x:c>
      <x:c r="B408" s="27" t="str">
        <x:v>10_Development_Records</x:v>
      </x:c>
      <x:c r="C408" s="27" t="str"/>
      <x:c r="D408" s="27" t="str"/>
      <x:c r="E408" s="36" t="str">
        <x:v>ADR-0001-Unity-and-Package-Baseline.md</x:v>
      </x:c>
      <x:c r="F408" s="36" t="str">
        <x:v>MD</x:v>
      </x:c>
      <x:c r="G408" s="54" t="n">
        <x:v>831</x:v>
      </x:c>
      <x:c r="H408" s="36" t="str">
        <x:v>196d02854bf9a34c0e4c2acd7056cde24e0a232c74d345f900997fff9689f853</x:v>
      </x:c>
      <x:c r="I408" s="36" t="n">
        <x:v>1</x:v>
      </x:c>
      <x:c r="J408" s="36" t="str">
        <x:v>Development evidence</x:v>
      </x:c>
      <x:c r="K408" s="36" t="str">
        <x:v>DIRECT</x:v>
      </x:c>
      <x:c r="L408" s="36" t="str">
        <x:v>adr, manifest, qa, release, test</x:v>
      </x:c>
      <x:c r="M408" s="36" t="str">
        <x:v>Retain read-only; current authority remains 00–34.</x:v>
      </x:c>
      <x:c r="N408" s="36" t="str">
        <x:v>33 risk/continuity context</x:v>
      </x:c>
      <x:c r="O408" s="36" t="str">
        <x:v>10_Development_Records/ADR/ADR-0001-Unity-and-Package-Baseline.md</x:v>
      </x:c>
    </x:row>
    <x:row r="409">
      <x:c r="A409" s="27" t="str">
        <x:v>HIST-0405</x:v>
      </x:c>
      <x:c r="B409" s="27" t="str">
        <x:v>10_Development_Records</x:v>
      </x:c>
      <x:c r="C409" s="27" t="str"/>
      <x:c r="D409" s="27" t="str"/>
      <x:c r="E409" s="36" t="str">
        <x:v>ADR-0002-Version-Control-and-Repository-Workflow.md</x:v>
      </x:c>
      <x:c r="F409" s="36" t="str">
        <x:v>MD</x:v>
      </x:c>
      <x:c r="G409" s="54" t="n">
        <x:v>701</x:v>
      </x:c>
      <x:c r="H409" s="36" t="str">
        <x:v>53e4ccc17554147c05af07525dbbe96401d99cc339774c075dffbd835edfb099</x:v>
      </x:c>
      <x:c r="I409" s="36" t="n">
        <x:v>1</x:v>
      </x:c>
      <x:c r="J409" s="36" t="str">
        <x:v>Development evidence</x:v>
      </x:c>
      <x:c r="K409" s="36" t="str">
        <x:v>SUPPORTING</x:v>
      </x:c>
      <x:c r="L409" s="36" t="str">
        <x:v>adr, build</x:v>
      </x:c>
      <x:c r="M409" s="36" t="str">
        <x:v>Retain read-only; current authority remains 00–34.</x:v>
      </x:c>
      <x:c r="N409" s="36" t="str">
        <x:v>33 risk/continuity context</x:v>
      </x:c>
      <x:c r="O409" s="36" t="str">
        <x:v>10_Development_Records/ADR/ADR-0002-Version-Control-and-Repository-Workflow.md</x:v>
      </x:c>
    </x:row>
    <x:row r="410">
      <x:c r="A410" s="27" t="str">
        <x:v>HIST-0406</x:v>
      </x:c>
      <x:c r="B410" s="27" t="str">
        <x:v>10_Development_Records</x:v>
      </x:c>
      <x:c r="C410" s="27" t="str"/>
      <x:c r="D410" s="27" t="str"/>
      <x:c r="E410" s="36" t="str">
        <x:v>ADR-0003-Documentation-Baseline-and-Operational-Layer.md</x:v>
      </x:c>
      <x:c r="F410" s="36" t="str">
        <x:v>MD</x:v>
      </x:c>
      <x:c r="G410" s="54" t="n">
        <x:v>808</x:v>
      </x:c>
      <x:c r="H410" s="36" t="str">
        <x:v>18a0308055e403fabd0e9b7a3d60910d22f9ba4dd2a35317408c441e905c605f</x:v>
      </x:c>
      <x:c r="I410" s="36" t="n">
        <x:v>1</x:v>
      </x:c>
      <x:c r="J410" s="36" t="str">
        <x:v>Development evidence</x:v>
      </x:c>
      <x:c r="K410" s="36" t="str">
        <x:v>CONTEXT / PRESERVED</x:v>
      </x:c>
      <x:c r="L410" s="36" t="str">
        <x:v>adr</x:v>
      </x:c>
      <x:c r="M410" s="36" t="str">
        <x:v>Retain read-only; current authority remains 00–34.</x:v>
      </x:c>
      <x:c r="N410" s="36" t="str">
        <x:v>Preserved context; not mined as normative authority.</x:v>
      </x:c>
      <x:c r="O410" s="36" t="str">
        <x:v>10_Development_Records/ADR/ADR-0003-Documentation-Baseline-and-Operational-Layer.md</x:v>
      </x:c>
    </x:row>
    <x:row r="411">
      <x:c r="A411" s="27" t="str">
        <x:v>HIST-0407</x:v>
      </x:c>
      <x:c r="B411" s="27" t="str">
        <x:v>10_Development_Records</x:v>
      </x:c>
      <x:c r="C411" s="27" t="str"/>
      <x:c r="D411" s="27" t="str"/>
      <x:c r="E411" s="36" t="str">
        <x:v>ADR-0004-Assembly-Dependency-Boundaries.md</x:v>
      </x:c>
      <x:c r="F411" s="36" t="str">
        <x:v>MD</x:v>
      </x:c>
      <x:c r="G411" s="54" t="n">
        <x:v>792</x:v>
      </x:c>
      <x:c r="H411" s="36" t="str">
        <x:v>8eea405d40efbffd5f51ad2c945994ffd82165bb5fef57900518c94fc23ac800</x:v>
      </x:c>
      <x:c r="I411" s="36" t="n">
        <x:v>1</x:v>
      </x:c>
      <x:c r="J411" s="36" t="str">
        <x:v>Development evidence</x:v>
      </x:c>
      <x:c r="K411" s="36" t="str">
        <x:v>SUPPORTING</x:v>
      </x:c>
      <x:c r="L411" s="36" t="str">
        <x:v>adr, dependencia, dependency, test</x:v>
      </x:c>
      <x:c r="M411" s="36" t="str">
        <x:v>Retain read-only; current authority remains 00–34.</x:v>
      </x:c>
      <x:c r="N411" s="36" t="str">
        <x:v>33 risk/continuity context</x:v>
      </x:c>
      <x:c r="O411" s="36" t="str">
        <x:v>10_Development_Records/ADR/ADR-0004-Assembly-Dependency-Boundaries.md</x:v>
      </x:c>
    </x:row>
    <x:row r="412">
      <x:c r="A412" s="27" t="str">
        <x:v>HIST-0408</x:v>
      </x:c>
      <x:c r="B412" s="27" t="str">
        <x:v>10_Development_Records</x:v>
      </x:c>
      <x:c r="C412" s="27" t="str"/>
      <x:c r="D412" s="27" t="str"/>
      <x:c r="E412" s="36" t="str">
        <x:v>ADR-0005-Scene-Baseline-and-Build-Order.md</x:v>
      </x:c>
      <x:c r="F412" s="36" t="str">
        <x:v>MD</x:v>
      </x:c>
      <x:c r="G412" s="54" t="n">
        <x:v>1662</x:v>
      </x:c>
      <x:c r="H412" s="36" t="str">
        <x:v>e83bbf7ee82448366ccdd997c18b11a620016ba4ea70b4576f8b159930db8880</x:v>
      </x:c>
      <x:c r="I412" s="36" t="n">
        <x:v>1</x:v>
      </x:c>
      <x:c r="J412" s="36" t="str">
        <x:v>Development evidence</x:v>
      </x:c>
      <x:c r="K412" s="36" t="str">
        <x:v>SUPPORTING</x:v>
      </x:c>
      <x:c r="L412" s="36" t="str">
        <x:v>adr, build, qa, test</x:v>
      </x:c>
      <x:c r="M412" s="36" t="str">
        <x:v>Retain read-only; current authority remains 00–34.</x:v>
      </x:c>
      <x:c r="N412" s="36" t="str">
        <x:v>33 risk/continuity context</x:v>
      </x:c>
      <x:c r="O412" s="36" t="str">
        <x:v>10_Development_Records/ADR/ADR-0005-Scene-Baseline-and-Build-Order.md</x:v>
      </x:c>
    </x:row>
    <x:row r="413">
      <x:c r="A413" s="27" t="str">
        <x:v>HIST-0409</x:v>
      </x:c>
      <x:c r="B413" s="27" t="str">
        <x:v>10_Development_Records</x:v>
      </x:c>
      <x:c r="C413" s="27" t="str"/>
      <x:c r="D413" s="27" t="str"/>
      <x:c r="E413" s="36" t="str">
        <x:v>ADR-0006-Smoke-Test-Baseline-and-Execution-Policy.md</x:v>
      </x:c>
      <x:c r="F413" s="36" t="str">
        <x:v>MD</x:v>
      </x:c>
      <x:c r="G413" s="54" t="n">
        <x:v>1527</x:v>
      </x:c>
      <x:c r="H413" s="36" t="str">
        <x:v>e2b6c379f89de34cfbf3064b62dad675d85560a4a0117ebc634cd49d703ab97a</x:v>
      </x:c>
      <x:c r="I413" s="36" t="n">
        <x:v>1</x:v>
      </x:c>
      <x:c r="J413" s="36" t="str">
        <x:v>Development evidence</x:v>
      </x:c>
      <x:c r="K413" s="36" t="str">
        <x:v>DIRECT</x:v>
      </x:c>
      <x:c r="L413" s="36" t="str">
        <x:v>adr, build, dependencia, sprint, test</x:v>
      </x:c>
      <x:c r="M413" s="36" t="str">
        <x:v>Retain read-only; current authority remains 00–34.</x:v>
      </x:c>
      <x:c r="N413" s="36" t="str">
        <x:v>33 risk/continuity context</x:v>
      </x:c>
      <x:c r="O413" s="36" t="str">
        <x:v>10_Development_Records/ADR/ADR-0006-Smoke-Test-Baseline-and-Execution-Policy.md</x:v>
      </x:c>
    </x:row>
    <x:row r="414">
      <x:c r="A414" s="27" t="str">
        <x:v>HIST-0410</x:v>
      </x:c>
      <x:c r="B414" s="27" t="str">
        <x:v>10_Development_Records</x:v>
      </x:c>
      <x:c r="C414" s="27" t="str"/>
      <x:c r="D414" s="27" t="str"/>
      <x:c r="E414" s="36" t="str">
        <x:v>ADR-0007-Windows-Development-Build-Baseline.md</x:v>
      </x:c>
      <x:c r="F414" s="36" t="str">
        <x:v>MD</x:v>
      </x:c>
      <x:c r="G414" s="54" t="n">
        <x:v>2251</x:v>
      </x:c>
      <x:c r="H414" s="36" t="str">
        <x:v>e62888a6608c248e56868b73025bd7044c455528178984f410f53fa18e942641</x:v>
      </x:c>
      <x:c r="I414" s="36" t="n">
        <x:v>1</x:v>
      </x:c>
      <x:c r="J414" s="36" t="str">
        <x:v>Development evidence</x:v>
      </x:c>
      <x:c r="K414" s="36" t="str">
        <x:v>DIRECT</x:v>
      </x:c>
      <x:c r="L414" s="36" t="str">
        <x:v>adr, build, release, sprint, steam, test</x:v>
      </x:c>
      <x:c r="M414" s="36" t="str">
        <x:v>Retain read-only; current authority remains 00–34.</x:v>
      </x:c>
      <x:c r="N414" s="36" t="str">
        <x:v>33 risk/continuity context</x:v>
      </x:c>
      <x:c r="O414" s="36" t="str">
        <x:v>10_Development_Records/ADR/ADR-0007-Windows-Development-Build-Baseline.md</x:v>
      </x:c>
    </x:row>
    <x:row r="415">
      <x:c r="A415" s="27" t="str">
        <x:v>HIST-0411</x:v>
      </x:c>
      <x:c r="B415" s="27" t="str">
        <x:v>10_Development_Records</x:v>
      </x:c>
      <x:c r="C415" s="27" t="str"/>
      <x:c r="D415" s="27" t="str">
        <x:v>Sprint 0</x:v>
      </x:c>
      <x:c r="E415" s="36" t="str">
        <x:v>ADR-0008-Sprint-0-Foundation-Closure-Policy.md</x:v>
      </x:c>
      <x:c r="F415" s="36" t="str">
        <x:v>MD</x:v>
      </x:c>
      <x:c r="G415" s="54" t="n">
        <x:v>1341</x:v>
      </x:c>
      <x:c r="H415" s="36" t="str">
        <x:v>76b9266ef045590959eef0187fff7fa2c4dcbfa7f6cf173159873e39cdaca757</x:v>
      </x:c>
      <x:c r="I415" s="36" t="n">
        <x:v>1</x:v>
      </x:c>
      <x:c r="J415" s="36" t="str">
        <x:v>Development evidence</x:v>
      </x:c>
      <x:c r="K415" s="36" t="str">
        <x:v>DIRECT</x:v>
      </x:c>
      <x:c r="L415" s="36" t="str">
        <x:v>adr, audit, build, closure, qa, riesgo, sprint, test</x:v>
      </x:c>
      <x:c r="M415" s="36" t="str">
        <x:v>Retain read-only; current authority remains 00–34.</x:v>
      </x:c>
      <x:c r="N415" s="36" t="str">
        <x:v>33 risk/continuity context</x:v>
      </x:c>
      <x:c r="O415" s="36" t="str">
        <x:v>10_Development_Records/ADR/ADR-0008-Sprint-0-Foundation-Closure-Policy.md</x:v>
      </x:c>
    </x:row>
    <x:row r="416">
      <x:c r="A416" s="27" t="str">
        <x:v>HIST-0412</x:v>
      </x:c>
      <x:c r="B416" s="27" t="str">
        <x:v>10_Development_Records</x:v>
      </x:c>
      <x:c r="C416" s="27" t="str"/>
      <x:c r="D416" s="27" t="str"/>
      <x:c r="E416" s="36" t="str">
        <x:v>S0.10_Windows_Final_Build_Record.md</x:v>
      </x:c>
      <x:c r="F416" s="36" t="str">
        <x:v>MD</x:v>
      </x:c>
      <x:c r="G416" s="54" t="n">
        <x:v>1484</x:v>
      </x:c>
      <x:c r="H416" s="36" t="str">
        <x:v>2bdddb6ad5bff23d564e9d179c0b31b5baa4dcf00624539571485725734231a2</x:v>
      </x:c>
      <x:c r="I416" s="36" t="n">
        <x:v>2</x:v>
      </x:c>
      <x:c r="J416" s="36" t="str">
        <x:v>Development evidence</x:v>
      </x:c>
      <x:c r="K416" s="36" t="str">
        <x:v>SUPPORTING</x:v>
      </x:c>
      <x:c r="L416" s="36" t="str">
        <x:v>build, sprint, test</x:v>
      </x:c>
      <x:c r="M416" s="36" t="str">
        <x:v>Retain read-only; current authority remains 00–34.</x:v>
      </x:c>
      <x:c r="N416" s="36" t="str">
        <x:v>33 risk/continuity context</x:v>
      </x:c>
      <x:c r="O416" s="36" t="str">
        <x:v>10_Development_Records/Builds/S0.10_Windows_Final_Build_Record.md</x:v>
      </x:c>
    </x:row>
    <x:row r="417">
      <x:c r="A417" s="27" t="str">
        <x:v>HIST-0413</x:v>
      </x:c>
      <x:c r="B417" s="27" t="str">
        <x:v>10_Development_Records</x:v>
      </x:c>
      <x:c r="C417" s="27" t="str"/>
      <x:c r="D417" s="27" t="str"/>
      <x:c r="E417" s="36" t="str">
        <x:v>S0.9_Windows_Development_Build_Record.md</x:v>
      </x:c>
      <x:c r="F417" s="36" t="str">
        <x:v>MD</x:v>
      </x:c>
      <x:c r="G417" s="54" t="n">
        <x:v>3786</x:v>
      </x:c>
      <x:c r="H417" s="36" t="str">
        <x:v>740b19ff9c450ae57b34c0cf73c850db19365dacc250c4ebfd9c0e581e06a3b8</x:v>
      </x:c>
      <x:c r="I417" s="36" t="n">
        <x:v>1</x:v>
      </x:c>
      <x:c r="J417" s="36" t="str">
        <x:v>Development evidence</x:v>
      </x:c>
      <x:c r="K417" s="36" t="str">
        <x:v>SUPPORTING</x:v>
      </x:c>
      <x:c r="L417" s="36" t="str">
        <x:v>audit, build, sprint, test</x:v>
      </x:c>
      <x:c r="M417" s="36" t="str">
        <x:v>Retain read-only; current authority remains 00–34.</x:v>
      </x:c>
      <x:c r="N417" s="36" t="str">
        <x:v>33 risk/continuity context</x:v>
      </x:c>
      <x:c r="O417" s="36" t="str">
        <x:v>10_Development_Records/Builds/S0.9_Windows_Development_Build_Record.md</x:v>
      </x:c>
    </x:row>
    <x:row r="418">
      <x:c r="A418" s="27" t="str">
        <x:v>HIST-0414</x:v>
      </x:c>
      <x:c r="B418" s="27" t="str">
        <x:v>10_Development_Records</x:v>
      </x:c>
      <x:c r="C418" s="27" t="str"/>
      <x:c r="D418" s="27" t="str">
        <x:v>Sprint 00</x:v>
      </x:c>
      <x:c r="E418" s="36" t="str">
        <x:v>Sprint_00_Traceability_Entries.csv</x:v>
      </x:c>
      <x:c r="F418" s="36" t="str">
        <x:v>CSV</x:v>
      </x:c>
      <x:c r="G418" s="54" t="n">
        <x:v>1389</x:v>
      </x:c>
      <x:c r="H418" s="36" t="str">
        <x:v>96349754d326421496811db64723ac62e6deff616bd1c0064ab0983eae625c79</x:v>
      </x:c>
      <x:c r="I418" s="36" t="n">
        <x:v>1</x:v>
      </x:c>
      <x:c r="J418" s="36" t="str">
        <x:v>Development evidence</x:v>
      </x:c>
      <x:c r="K418" s="36" t="str">
        <x:v>SUPPORTING</x:v>
      </x:c>
      <x:c r="L418" s="36" t="str">
        <x:v>manifest, sprint, validation</x:v>
      </x:c>
      <x:c r="M418" s="36" t="str">
        <x:v>Retain read-only; current authority remains 00–34.</x:v>
      </x:c>
      <x:c r="N418" s="36" t="str">
        <x:v>33 risk/continuity context</x:v>
      </x:c>
      <x:c r="O418" s="36" t="str">
        <x:v>10_Development_Records/Change_Control/Sprint_00_Traceability_Entries.csv</x:v>
      </x:c>
    </x:row>
    <x:row r="419">
      <x:c r="A419" s="27" t="str">
        <x:v>HIST-0415</x:v>
      </x:c>
      <x:c r="B419" s="27" t="str">
        <x:v>10_Development_Records</x:v>
      </x:c>
      <x:c r="C419" s="27" t="str">
        <x:v>v0.3</x:v>
      </x:c>
      <x:c r="D419" s="27" t="str"/>
      <x:c r="E419" s="36" t="str">
        <x:v>Document_Location_Map_v0.3.csv</x:v>
      </x:c>
      <x:c r="F419" s="36" t="str">
        <x:v>CSV</x:v>
      </x:c>
      <x:c r="G419" s="54" t="n">
        <x:v>13090</x:v>
      </x:c>
      <x:c r="H419" s="36" t="str">
        <x:v>c7ceec36eb4f097416d9f7a2452d0d56a1877cc24e3b14598c1f3f92fb354d5e</x:v>
      </x:c>
      <x:c r="I419" s="36" t="n">
        <x:v>1</x:v>
      </x:c>
      <x:c r="J419" s="36" t="str">
        <x:v>Development evidence</x:v>
      </x:c>
      <x:c r="K419" s="36" t="str">
        <x:v>DIRECT</x:v>
      </x:c>
      <x:c r="L419" s="36" t="str">
        <x:v>build, checksum, legal, license, manifest, qa, release, roadmap, sprint, steam, test, validation</x:v>
      </x:c>
      <x:c r="M419" s="36" t="str">
        <x:v>Retain read-only; current authority remains 00–34.</x:v>
      </x:c>
      <x:c r="N419" s="36" t="str">
        <x:v>33 risk/continuity context</x:v>
      </x:c>
      <x:c r="O419" s="36" t="str">
        <x:v>10_Development_Records/Document_Location_Map_v0.3.csv</x:v>
      </x:c>
    </x:row>
    <x:row r="420">
      <x:c r="A420" s="27" t="str">
        <x:v>HIST-0416</x:v>
      </x:c>
      <x:c r="B420" s="27" t="str">
        <x:v>10_Development_Records</x:v>
      </x:c>
      <x:c r="C420" s="27" t="str"/>
      <x:c r="D420" s="27" t="str">
        <x:v>Sprint 00</x:v>
      </x:c>
      <x:c r="E420" s="36" t="str">
        <x:v>Documentation_Audit_Sprint_00.md</x:v>
      </x:c>
      <x:c r="F420" s="36" t="str">
        <x:v>MD</x:v>
      </x:c>
      <x:c r="G420" s="54" t="n">
        <x:v>1781</x:v>
      </x:c>
      <x:c r="H420" s="36" t="str">
        <x:v>60c000c0ffc0c06a3ae184e4c845b5224b02a42c053448f0a5d84bc0cb222b64</x:v>
      </x:c>
      <x:c r="I420" s="36" t="n">
        <x:v>1</x:v>
      </x:c>
      <x:c r="J420" s="36" t="str">
        <x:v>Development evidence</x:v>
      </x:c>
      <x:c r="K420" s="36" t="str">
        <x:v>DIRECT</x:v>
      </x:c>
      <x:c r="L420" s="36" t="str">
        <x:v>adr, audit, build, manifest, qa, roadmap, sprint, steam, test, validation</x:v>
      </x:c>
      <x:c r="M420" s="36" t="str">
        <x:v>Retain read-only; current authority remains 00–34.</x:v>
      </x:c>
      <x:c r="N420" s="36" t="str">
        <x:v>33 risk/continuity context</x:v>
      </x:c>
      <x:c r="O420" s="36" t="str">
        <x:v>10_Development_Records/Documentation_Audit_Sprint_00.md</x:v>
      </x:c>
    </x:row>
    <x:row r="421">
      <x:c r="A421" s="27" t="str">
        <x:v>HIST-0417</x:v>
      </x:c>
      <x:c r="B421" s="27" t="str">
        <x:v>10_Development_Records</x:v>
      </x:c>
      <x:c r="C421" s="27" t="str"/>
      <x:c r="D421" s="27" t="str"/>
      <x:c r="E421" s="36" t="str">
        <x:v>.gitkeep</x:v>
      </x:c>
      <x:c r="F421" s="36" t="str">
        <x:v>NO EXT</x:v>
      </x:c>
      <x:c r="G421" s="54" t="n">
        <x:v>0</x:v>
      </x:c>
      <x:c r="H421" s="36" t="str">
        <x:v>e3b0c44298fc1c149afbf4c8996fb92427ae41e4649b934ca495991b7852b855</x:v>
      </x:c>
      <x:c r="I421" s="36" t="n">
        <x:v>6</x:v>
      </x:c>
      <x:c r="J421" s="36" t="str">
        <x:v>Development evidence</x:v>
      </x:c>
      <x:c r="K421" s="36" t="str">
        <x:v>CONTEXT / PRESERVED</x:v>
      </x:c>
      <x:c r="L421" s="36" t="str"/>
      <x:c r="M421" s="36" t="str">
        <x:v>Retain read-only; current authority remains 00–34.</x:v>
      </x:c>
      <x:c r="N421" s="36" t="str">
        <x:v>Preserved context; not mined as normative authority.</x:v>
      </x:c>
      <x:c r="O421" s="36" t="str">
        <x:v>10_Development_Records/Environment/.gitkeep</x:v>
      </x:c>
    </x:row>
    <x:row r="422">
      <x:c r="A422" s="27" t="str">
        <x:v>HIST-0418</x:v>
      </x:c>
      <x:c r="B422" s="27" t="str">
        <x:v>10_Development_Records</x:v>
      </x:c>
      <x:c r="C422" s="27" t="str"/>
      <x:c r="D422" s="27" t="str"/>
      <x:c r="E422" s="36" t="str">
        <x:v>DevelopmentEnvironment_Record.md</x:v>
      </x:c>
      <x:c r="F422" s="36" t="str">
        <x:v>MD</x:v>
      </x:c>
      <x:c r="G422" s="54" t="n">
        <x:v>1978</x:v>
      </x:c>
      <x:c r="H422" s="36" t="str">
        <x:v>34906df25b05006e5bf449ee1ee1a00a2ee89ba58b8b1b8f3c7a3b3ea9cc5906</x:v>
      </x:c>
      <x:c r="I422" s="36" t="n">
        <x:v>2</x:v>
      </x:c>
      <x:c r="J422" s="36" t="str">
        <x:v>Development evidence</x:v>
      </x:c>
      <x:c r="K422" s="36" t="str">
        <x:v>SUPPORTING</x:v>
      </x:c>
      <x:c r="L422" s="36" t="str">
        <x:v>build, test</x:v>
      </x:c>
      <x:c r="M422" s="36" t="str">
        <x:v>Retain read-only; current authority remains 00–34.</x:v>
      </x:c>
      <x:c r="N422" s="36" t="str">
        <x:v>33 risk/continuity context</x:v>
      </x:c>
      <x:c r="O422" s="36" t="str">
        <x:v>10_Development_Records/Environment/DevelopmentEnvironment_Record.md</x:v>
      </x:c>
    </x:row>
    <x:row r="423">
      <x:c r="A423" s="27" t="str">
        <x:v>HIST-0419</x:v>
      </x:c>
      <x:c r="B423" s="27" t="str">
        <x:v>10_Development_Records</x:v>
      </x:c>
      <x:c r="C423" s="27" t="str"/>
      <x:c r="D423" s="27" t="str"/>
      <x:c r="E423" s="36" t="str">
        <x:v>CURRENT_PROJECT_HANDOFF.md</x:v>
      </x:c>
      <x:c r="F423" s="36" t="str">
        <x:v>MD</x:v>
      </x:c>
      <x:c r="G423" s="54" t="n">
        <x:v>1168</x:v>
      </x:c>
      <x:c r="H423" s="36" t="str">
        <x:v>ea48666ee43dbf978bef364ee645cd3ff32f31e4e6dfbd96b9edfab316546028</x:v>
      </x:c>
      <x:c r="I423" s="36" t="n">
        <x:v>1</x:v>
      </x:c>
      <x:c r="J423" s="36" t="str">
        <x:v>Development evidence</x:v>
      </x:c>
      <x:c r="K423" s="36" t="str">
        <x:v>DIRECT</x:v>
      </x:c>
      <x:c r="L423" s="36" t="str">
        <x:v>build, handoff, qa, save, sprint, test, validation</x:v>
      </x:c>
      <x:c r="M423" s="36" t="str">
        <x:v>Retain read-only; current authority remains 00–34.</x:v>
      </x:c>
      <x:c r="N423" s="36" t="str">
        <x:v>33 risk/continuity context</x:v>
      </x:c>
      <x:c r="O423" s="36" t="str">
        <x:v>10_Development_Records/Handoff/CURRENT_PROJECT_HANDOFF.md</x:v>
      </x:c>
    </x:row>
    <x:row r="424">
      <x:c r="A424" s="27" t="str">
        <x:v>HIST-0420</x:v>
      </x:c>
      <x:c r="B424" s="27" t="str">
        <x:v>10_Development_Records</x:v>
      </x:c>
      <x:c r="C424" s="27" t="str"/>
      <x:c r="D424" s="27" t="str"/>
      <x:c r="E424" s="36" t="str">
        <x:v>S0.10_Package_Review_Record.md</x:v>
      </x:c>
      <x:c r="F424" s="36" t="str">
        <x:v>MD</x:v>
      </x:c>
      <x:c r="G424" s="54" t="n">
        <x:v>1315</x:v>
      </x:c>
      <x:c r="H424" s="36" t="str">
        <x:v>6caa7be0ef49e9fa2fd1719400d3190cfdcf47ef7f3ff9211ef6560b4233a71a</x:v>
      </x:c>
      <x:c r="I424" s="36" t="n">
        <x:v>2</x:v>
      </x:c>
      <x:c r="J424" s="36" t="str">
        <x:v>Development evidence</x:v>
      </x:c>
      <x:c r="K424" s="36" t="str">
        <x:v>SUPPORTING</x:v>
      </x:c>
      <x:c r="L424" s="36" t="str">
        <x:v>build, test</x:v>
      </x:c>
      <x:c r="M424" s="36" t="str">
        <x:v>Retain read-only; current authority remains 00–34.</x:v>
      </x:c>
      <x:c r="N424" s="36" t="str">
        <x:v>33 risk/continuity context</x:v>
      </x:c>
      <x:c r="O424" s="36" t="str">
        <x:v>10_Development_Records/Packages/S0.10_Package_Review_Record.md</x:v>
      </x:c>
    </x:row>
    <x:row r="425">
      <x:c r="A425" s="27" t="str">
        <x:v>HIST-0421</x:v>
      </x:c>
      <x:c r="B425" s="27" t="str">
        <x:v>10_Development_Records</x:v>
      </x:c>
      <x:c r="C425" s="27" t="str">
        <x:v>v0.3.9</x:v>
      </x:c>
      <x:c r="D425" s="27" t="str"/>
      <x:c r="E425" s="36" t="str">
        <x:v>Cartridge_And_Cloud_Production_Tracking_Operational_v0.3.9.xlsx</x:v>
      </x:c>
      <x:c r="F425" s="36" t="str">
        <x:v>XLSX</x:v>
      </x:c>
      <x:c r="G425" s="54" t="n">
        <x:v>23710</x:v>
      </x:c>
      <x:c r="H425" s="36" t="str">
        <x:v>7d9a25ae4fd823d8bc8e2f23ba37604cd30a92eb8a464f8bd07eedcffa88012e</x:v>
      </x:c>
      <x:c r="I425" s="36" t="n">
        <x:v>1</x:v>
      </x:c>
      <x:c r="J425" s="36" t="str">
        <x:v>Development evidence</x:v>
      </x:c>
      <x:c r="K425" s="36" t="str">
        <x:v>CONTEXT / PRESERVED</x:v>
      </x:c>
      <x:c r="L425" s="36" t="str"/>
      <x:c r="M425" s="36" t="str">
        <x:v>Retain read-only; current authority remains 00–34.</x:v>
      </x:c>
      <x:c r="N425" s="36" t="str">
        <x:v>Preserved context; not mined as normative authority.</x:v>
      </x:c>
      <x:c r="O425" s="36" t="str">
        <x:v>10_Development_Records/Production_Tracking/Cartridge_And_Cloud_Production_Tracking_Operational_v0.3.9.xlsx</x:v>
      </x:c>
    </x:row>
    <x:row r="426">
      <x:c r="A426" s="27" t="str">
        <x:v>HIST-0422</x:v>
      </x:c>
      <x:c r="B426" s="27" t="str">
        <x:v>10_Development_Records</x:v>
      </x:c>
      <x:c r="C426" s="27" t="str">
        <x:v>v0.5.0</x:v>
      </x:c>
      <x:c r="D426" s="27" t="str"/>
      <x:c r="E426" s="36" t="str">
        <x:v>Cartridge_And_Cloud_Production_Tracking_Operational_v0.5.0.xlsx</x:v>
      </x:c>
      <x:c r="F426" s="36" t="str">
        <x:v>XLSX</x:v>
      </x:c>
      <x:c r="G426" s="54" t="n">
        <x:v>11471</x:v>
      </x:c>
      <x:c r="H426" s="36" t="str">
        <x:v>d6a252b5afeaa9a51a7ccd160d3e4f2c4f5dead46cd5a3677df095a669181d4c</x:v>
      </x:c>
      <x:c r="I426" s="36" t="n">
        <x:v>2</x:v>
      </x:c>
      <x:c r="J426" s="36" t="str">
        <x:v>Development evidence</x:v>
      </x:c>
      <x:c r="K426" s="36" t="str">
        <x:v>CONTEXT / PRESERVED</x:v>
      </x:c>
      <x:c r="L426" s="36" t="str"/>
      <x:c r="M426" s="36" t="str">
        <x:v>Retain read-only; current authority remains 00–34.</x:v>
      </x:c>
      <x:c r="N426" s="36" t="str">
        <x:v>Preserved context; not mined as normative authority.</x:v>
      </x:c>
      <x:c r="O426" s="36" t="str">
        <x:v>10_Development_Records/Production_Tracking/Cartridge_And_Cloud_Production_Tracking_Operational_v0.5.0.xlsx</x:v>
      </x:c>
    </x:row>
    <x:row r="427">
      <x:c r="A427" s="27" t="str">
        <x:v>HIST-0423</x:v>
      </x:c>
      <x:c r="B427" s="27" t="str">
        <x:v>10_Development_Records</x:v>
      </x:c>
      <x:c r="C427" s="27" t="str">
        <x:v>v0.3.9</x:v>
      </x:c>
      <x:c r="D427" s="27" t="str"/>
      <x:c r="E427" s="36" t="str">
        <x:v>Cartridge_And_Cloud_QA_Operational_v0.3.9.xlsx</x:v>
      </x:c>
      <x:c r="F427" s="36" t="str">
        <x:v>XLSX</x:v>
      </x:c>
      <x:c r="G427" s="54" t="n">
        <x:v>26038</x:v>
      </x:c>
      <x:c r="H427" s="36" t="str">
        <x:v>80084cd5532d9f79a59f03210f1cf9ce3b828cd13b58cc80678b5887a5b06a07</x:v>
      </x:c>
      <x:c r="I427" s="36" t="n">
        <x:v>1</x:v>
      </x:c>
      <x:c r="J427" s="36" t="str">
        <x:v>Development evidence</x:v>
      </x:c>
      <x:c r="K427" s="36" t="str">
        <x:v>CONTEXT / PRESERVED</x:v>
      </x:c>
      <x:c r="L427" s="36" t="str">
        <x:v>qa</x:v>
      </x:c>
      <x:c r="M427" s="36" t="str">
        <x:v>Retain read-only; current authority remains 00–34.</x:v>
      </x:c>
      <x:c r="N427" s="36" t="str">
        <x:v>Preserved context; not mined as normative authority.</x:v>
      </x:c>
      <x:c r="O427" s="36" t="str">
        <x:v>10_Development_Records/Production_Tracking/Cartridge_And_Cloud_QA_Operational_v0.3.9.xlsx</x:v>
      </x:c>
    </x:row>
    <x:row r="428">
      <x:c r="A428" s="27" t="str">
        <x:v>HIST-0424</x:v>
      </x:c>
      <x:c r="B428" s="27" t="str">
        <x:v>10_Development_Records</x:v>
      </x:c>
      <x:c r="C428" s="27" t="str">
        <x:v>v0.5.0</x:v>
      </x:c>
      <x:c r="D428" s="27" t="str"/>
      <x:c r="E428" s="36" t="str">
        <x:v>Cartridge_And_Cloud_QA_Operational_v0.5.0.xlsx</x:v>
      </x:c>
      <x:c r="F428" s="36" t="str">
        <x:v>XLSX</x:v>
      </x:c>
      <x:c r="G428" s="54" t="n">
        <x:v>8327</x:v>
      </x:c>
      <x:c r="H428" s="36" t="str">
        <x:v>dbff9b69bb8edae19c2158fb4293aaf574a584a407cca672cf6f89dabae6690e</x:v>
      </x:c>
      <x:c r="I428" s="36" t="n">
        <x:v>2</x:v>
      </x:c>
      <x:c r="J428" s="36" t="str">
        <x:v>Development evidence</x:v>
      </x:c>
      <x:c r="K428" s="36" t="str">
        <x:v>CONTEXT / PRESERVED</x:v>
      </x:c>
      <x:c r="L428" s="36" t="str">
        <x:v>qa</x:v>
      </x:c>
      <x:c r="M428" s="36" t="str">
        <x:v>Retain read-only; current authority remains 00–34.</x:v>
      </x:c>
      <x:c r="N428" s="36" t="str">
        <x:v>Preserved context; not mined as normative authority.</x:v>
      </x:c>
      <x:c r="O428" s="36" t="str">
        <x:v>10_Development_Records/Production_Tracking/Cartridge_And_Cloud_QA_Operational_v0.5.0.xlsx</x:v>
      </x:c>
    </x:row>
    <x:row r="429">
      <x:c r="A429" s="27" t="str">
        <x:v>HIST-0425</x:v>
      </x:c>
      <x:c r="B429" s="27" t="str">
        <x:v>10_Development_Records</x:v>
      </x:c>
      <x:c r="C429" s="27" t="str">
        <x:v>v0.3.9</x:v>
      </x:c>
      <x:c r="D429" s="27" t="str"/>
      <x:c r="E429" s="36" t="str">
        <x:v>Cartridge_And_Cloud_Traceability_Operational_v0.3.9.xlsx</x:v>
      </x:c>
      <x:c r="F429" s="36" t="str">
        <x:v>XLSX</x:v>
      </x:c>
      <x:c r="G429" s="54" t="n">
        <x:v>26270</x:v>
      </x:c>
      <x:c r="H429" s="36" t="str">
        <x:v>ad72213e64e596c8d3540e8d20d84c75d0a1e7399efc5e0f1d09b4ca5af55ca4</x:v>
      </x:c>
      <x:c r="I429" s="36" t="n">
        <x:v>1</x:v>
      </x:c>
      <x:c r="J429" s="36" t="str">
        <x:v>Development evidence</x:v>
      </x:c>
      <x:c r="K429" s="36" t="str">
        <x:v>CONTEXT / PRESERVED</x:v>
      </x:c>
      <x:c r="L429" s="36" t="str"/>
      <x:c r="M429" s="36" t="str">
        <x:v>Retain read-only; current authority remains 00–34.</x:v>
      </x:c>
      <x:c r="N429" s="36" t="str">
        <x:v>Preserved context; not mined as normative authority.</x:v>
      </x:c>
      <x:c r="O429" s="36" t="str">
        <x:v>10_Development_Records/Production_Tracking/Cartridge_And_Cloud_Traceability_Operational_v0.3.9.xlsx</x:v>
      </x:c>
    </x:row>
    <x:row r="430">
      <x:c r="A430" s="27" t="str">
        <x:v>HIST-0426</x:v>
      </x:c>
      <x:c r="B430" s="27" t="str">
        <x:v>10_Development_Records</x:v>
      </x:c>
      <x:c r="C430" s="27" t="str">
        <x:v>v0.5.0</x:v>
      </x:c>
      <x:c r="D430" s="27" t="str"/>
      <x:c r="E430" s="36" t="str">
        <x:v>Cartridge_And_Cloud_Traceability_Operational_v0.5.0.xlsx</x:v>
      </x:c>
      <x:c r="F430" s="36" t="str">
        <x:v>XLSX</x:v>
      </x:c>
      <x:c r="G430" s="54" t="n">
        <x:v>8674</x:v>
      </x:c>
      <x:c r="H430" s="36" t="str">
        <x:v>da5c5afe865e1ae53df4c3453485263fe0dec512d824e2cefdd1d973566c6734</x:v>
      </x:c>
      <x:c r="I430" s="36" t="n">
        <x:v>2</x:v>
      </x:c>
      <x:c r="J430" s="36" t="str">
        <x:v>Development evidence</x:v>
      </x:c>
      <x:c r="K430" s="36" t="str">
        <x:v>CONTEXT / PRESERVED</x:v>
      </x:c>
      <x:c r="L430" s="36" t="str"/>
      <x:c r="M430" s="36" t="str">
        <x:v>Retain read-only; current authority remains 00–34.</x:v>
      </x:c>
      <x:c r="N430" s="36" t="str">
        <x:v>Preserved context; not mined as normative authority.</x:v>
      </x:c>
      <x:c r="O430" s="36" t="str">
        <x:v>10_Development_Records/Production_Tracking/Cartridge_And_Cloud_Traceability_Operational_v0.5.0.xlsx</x:v>
      </x:c>
    </x:row>
    <x:row r="431">
      <x:c r="A431" s="27" t="str">
        <x:v>HIST-0427</x:v>
      </x:c>
      <x:c r="B431" s="27" t="str">
        <x:v>10_Development_Records</x:v>
      </x:c>
      <x:c r="C431" s="27" t="str"/>
      <x:c r="D431" s="27" t="str"/>
      <x:c r="E431" s="36" t="str">
        <x:v>README_Production_Tracking.md</x:v>
      </x:c>
      <x:c r="F431" s="36" t="str">
        <x:v>MD</x:v>
      </x:c>
      <x:c r="G431" s="54" t="n">
        <x:v>452</x:v>
      </x:c>
      <x:c r="H431" s="36" t="str">
        <x:v>5c4df824d89d85e6f8885cd5285412412ef3e3f943e85f6ffe1f4b3cbd3f73e0</x:v>
      </x:c>
      <x:c r="I431" s="36" t="n">
        <x:v>1</x:v>
      </x:c>
      <x:c r="J431" s="36" t="str">
        <x:v>Development evidence</x:v>
      </x:c>
      <x:c r="K431" s="36" t="str">
        <x:v>DIRECT</x:v>
      </x:c>
      <x:c r="L431" s="36" t="str">
        <x:v>acceptance, adr, qa, risk, sprint, test</x:v>
      </x:c>
      <x:c r="M431" s="36" t="str">
        <x:v>Retain read-only; current authority remains 00–34.</x:v>
      </x:c>
      <x:c r="N431" s="36" t="str">
        <x:v>33 risk/continuity context</x:v>
      </x:c>
      <x:c r="O431" s="36" t="str">
        <x:v>10_Development_Records/Production_Tracking/README_Production_Tracking.md</x:v>
      </x:c>
    </x:row>
    <x:row r="432">
      <x:c r="A432" s="27" t="str">
        <x:v>HIST-0428</x:v>
      </x:c>
      <x:c r="B432" s="27" t="str">
        <x:v>10_Development_Records</x:v>
      </x:c>
      <x:c r="C432" s="27" t="str"/>
      <x:c r="D432" s="27" t="str">
        <x:v>Sprint 01</x:v>
      </x:c>
      <x:c r="E432" s="36" t="str">
        <x:v>S1_Living_Documentation_Update.md</x:v>
      </x:c>
      <x:c r="F432" s="36" t="str">
        <x:v>MD</x:v>
      </x:c>
      <x:c r="G432" s="54" t="n">
        <x:v>1377</x:v>
      </x:c>
      <x:c r="H432" s="36" t="str">
        <x:v>bff8a2c5c399246aa8f20ca9963bd203a5f636ed5ab7c7a2dddd048037828646</x:v>
      </x:c>
      <x:c r="I432" s="36" t="n">
        <x:v>2</x:v>
      </x:c>
      <x:c r="J432" s="36" t="str">
        <x:v>Development evidence</x:v>
      </x:c>
      <x:c r="K432" s="36" t="str">
        <x:v>DIRECT</x:v>
      </x:c>
      <x:c r="L432" s="36" t="str">
        <x:v>build, checksum, qa, roadmap, sprint, test, validation</x:v>
      </x:c>
      <x:c r="M432" s="36" t="str">
        <x:v>Retain read-only; current authority remains 00–34.</x:v>
      </x:c>
      <x:c r="N432" s="36" t="str">
        <x:v>33 risk/continuity context</x:v>
      </x:c>
      <x:c r="O432" s="36" t="str">
        <x:v>10_Development_Records/Sprint_01/Documentation/S1_Living_Documentation_Update.md</x:v>
      </x:c>
    </x:row>
    <x:row r="433">
      <x:c r="A433" s="27" t="str">
        <x:v>HIST-0429</x:v>
      </x:c>
      <x:c r="B433" s="27" t="str">
        <x:v>10_Development_Records</x:v>
      </x:c>
      <x:c r="C433" s="27" t="str"/>
      <x:c r="D433" s="27" t="str">
        <x:v>Sprint 01</x:v>
      </x:c>
      <x:c r="E433" s="36" t="str">
        <x:v>ADR-0009_Bootstrap_Owned_Scene_Flow.md</x:v>
      </x:c>
      <x:c r="F433" s="36" t="str">
        <x:v>MD</x:v>
      </x:c>
      <x:c r="G433" s="54" t="n">
        <x:v>1410</x:v>
      </x:c>
      <x:c r="H433" s="36" t="str">
        <x:v>15408cc4633c35efc6f8b622230184e1636f9140898e48811a2f3498a0e0e2b5</x:v>
      </x:c>
      <x:c r="I433" s="36" t="n">
        <x:v>1</x:v>
      </x:c>
      <x:c r="J433" s="36" t="str">
        <x:v>Development evidence</x:v>
      </x:c>
      <x:c r="K433" s="36" t="str">
        <x:v>SUPPORTING</x:v>
      </x:c>
      <x:c r="L433" s="36" t="str">
        <x:v>adr, dependency, sprint, test</x:v>
      </x:c>
      <x:c r="M433" s="36" t="str">
        <x:v>Retain read-only; current authority remains 00–34.</x:v>
      </x:c>
      <x:c r="N433" s="36" t="str">
        <x:v>33 risk/continuity context</x:v>
      </x:c>
      <x:c r="O433" s="36" t="str">
        <x:v>10_Development_Records/Sprint_01/Governance/ADR-0009_Bootstrap_Owned_Scene_Flow.md</x:v>
      </x:c>
    </x:row>
    <x:row r="434">
      <x:c r="A434" s="27" t="str">
        <x:v>HIST-0430</x:v>
      </x:c>
      <x:c r="B434" s="27" t="str">
        <x:v>10_Development_Records</x:v>
      </x:c>
      <x:c r="C434" s="27" t="str"/>
      <x:c r="D434" s="27" t="str">
        <x:v>Sprint 01</x:v>
      </x:c>
      <x:c r="E434" s="36" t="str">
        <x:v>ADR-0010_Phase_Level_Build_Evidence_and_Release_Policy.md</x:v>
      </x:c>
      <x:c r="F434" s="36" t="str">
        <x:v>MD</x:v>
      </x:c>
      <x:c r="G434" s="54" t="n">
        <x:v>2861</x:v>
      </x:c>
      <x:c r="H434" s="36" t="str">
        <x:v>ad328a9eabc2302b0688591df010650b693d9423f0f485eb1000e24d50475184</x:v>
      </x:c>
      <x:c r="I434" s="36" t="n">
        <x:v>2</x:v>
      </x:c>
      <x:c r="J434" s="36" t="str">
        <x:v>Development evidence</x:v>
      </x:c>
      <x:c r="K434" s="36" t="str">
        <x:v>DIRECT</x:v>
      </x:c>
      <x:c r="L434" s="36" t="str">
        <x:v>acceptance, adr, build, checksum, closure, qa, release, sprint, test, validation</x:v>
      </x:c>
      <x:c r="M434" s="36" t="str">
        <x:v>Retain read-only; current authority remains 00–34.</x:v>
      </x:c>
      <x:c r="N434" s="36" t="str">
        <x:v>33 risk/continuity context</x:v>
      </x:c>
      <x:c r="O434" s="36" t="str">
        <x:v>10_Development_Records/Sprint_01/Governance/ADR-0010_Phase_Level_Build_Evidence_and_Release_Policy.md</x:v>
      </x:c>
    </x:row>
    <x:row r="435">
      <x:c r="A435" s="27" t="str">
        <x:v>HIST-0431</x:v>
      </x:c>
      <x:c r="B435" s="27" t="str">
        <x:v>10_Development_Records</x:v>
      </x:c>
      <x:c r="C435" s="27" t="str"/>
      <x:c r="D435" s="27" t="str">
        <x:v>Sprint 01</x:v>
      </x:c>
      <x:c r="E435" s="36" t="str">
        <x:v>Sprint_01_Charter.md</x:v>
      </x:c>
      <x:c r="F435" s="36" t="str">
        <x:v>MD</x:v>
      </x:c>
      <x:c r="G435" s="54" t="n">
        <x:v>1301</x:v>
      </x:c>
      <x:c r="H435" s="36" t="str">
        <x:v>f3c7f38b6a040ce84e1b25dcea67964610a2c033f44d73c181db1446a63cf380</x:v>
      </x:c>
      <x:c r="I435" s="36" t="n">
        <x:v>1</x:v>
      </x:c>
      <x:c r="J435" s="36" t="str">
        <x:v>Development evidence</x:v>
      </x:c>
      <x:c r="K435" s="36" t="str">
        <x:v>DIRECT</x:v>
      </x:c>
      <x:c r="L435" s="36" t="str">
        <x:v>adr, build, closure, qa, save, sprint, validation</x:v>
      </x:c>
      <x:c r="M435" s="36" t="str">
        <x:v>Retain read-only; current authority remains 00–34.</x:v>
      </x:c>
      <x:c r="N435" s="36" t="str">
        <x:v>33 risk/continuity context</x:v>
      </x:c>
      <x:c r="O435" s="36" t="str">
        <x:v>10_Development_Records/Sprint_01/Governance/Sprint_01_Charter.md</x:v>
      </x:c>
    </x:row>
    <x:row r="436">
      <x:c r="A436" s="27" t="str">
        <x:v>HIST-0432</x:v>
      </x:c>
      <x:c r="B436" s="27" t="str">
        <x:v>10_Development_Records</x:v>
      </x:c>
      <x:c r="C436" s="27" t="str"/>
      <x:c r="D436" s="27" t="str">
        <x:v>Sprint 01</x:v>
      </x:c>
      <x:c r="E436" s="36" t="str">
        <x:v>Sprint_01_Current_Status.md</x:v>
      </x:c>
      <x:c r="F436" s="36" t="str">
        <x:v>MD</x:v>
      </x:c>
      <x:c r="G436" s="54" t="n">
        <x:v>1684</x:v>
      </x:c>
      <x:c r="H436" s="36" t="str">
        <x:v>3cef15c3e2f9c35c725c4a00cc366321fef51e35e9b4802713e8527dbe7ccf35</x:v>
      </x:c>
      <x:c r="I436" s="36" t="n">
        <x:v>2</x:v>
      </x:c>
      <x:c r="J436" s="36" t="str">
        <x:v>Development evidence</x:v>
      </x:c>
      <x:c r="K436" s="36" t="str">
        <x:v>DIRECT</x:v>
      </x:c>
      <x:c r="L436" s="36" t="str">
        <x:v>build, checksum, closure, current_status, incident, release, sprint, test</x:v>
      </x:c>
      <x:c r="M436" s="36" t="str">
        <x:v>Retain read-only; current authority remains 00–34.</x:v>
      </x:c>
      <x:c r="N436" s="36" t="str">
        <x:v>33 risk/continuity context</x:v>
      </x:c>
      <x:c r="O436" s="36" t="str">
        <x:v>10_Development_Records/Sprint_01/Governance/Sprint_01_Current_Status.md</x:v>
      </x:c>
    </x:row>
    <x:row r="437">
      <x:c r="A437" s="27" t="str">
        <x:v>HIST-0433</x:v>
      </x:c>
      <x:c r="B437" s="27" t="str">
        <x:v>10_Development_Records</x:v>
      </x:c>
      <x:c r="C437" s="27" t="str"/>
      <x:c r="D437" s="27" t="str">
        <x:v>Sprint 01</x:v>
      </x:c>
      <x:c r="E437" s="36" t="str">
        <x:v>S1_Acceptance_Matrix.md</x:v>
      </x:c>
      <x:c r="F437" s="36" t="str">
        <x:v>MD</x:v>
      </x:c>
      <x:c r="G437" s="54" t="n">
        <x:v>1455</x:v>
      </x:c>
      <x:c r="H437" s="36" t="str">
        <x:v>a5a4e0a192fe33559c582efd9ee4d53170e26af9e07db63aae1e22b1f5c66f49</x:v>
      </x:c>
      <x:c r="I437" s="36" t="n">
        <x:v>2</x:v>
      </x:c>
      <x:c r="J437" s="36" t="str">
        <x:v>Development evidence</x:v>
      </x:c>
      <x:c r="K437" s="36" t="str">
        <x:v>DIRECT</x:v>
      </x:c>
      <x:c r="L437" s="36" t="str">
        <x:v>acceptance, adr, build, closure, dependency, qa, save, sprint, test</x:v>
      </x:c>
      <x:c r="M437" s="36" t="str">
        <x:v>Retain read-only; current authority remains 00–34.</x:v>
      </x:c>
      <x:c r="N437" s="36" t="str">
        <x:v>33 risk/continuity context</x:v>
      </x:c>
      <x:c r="O437" s="36" t="str">
        <x:v>10_Development_Records/Sprint_01/QA/S1_Acceptance_Matrix.md</x:v>
      </x:c>
    </x:row>
    <x:row r="438">
      <x:c r="A438" s="27" t="str">
        <x:v>HIST-0434</x:v>
      </x:c>
      <x:c r="B438" s="27" t="str">
        <x:v>10_Development_Records</x:v>
      </x:c>
      <x:c r="C438" s="27" t="str"/>
      <x:c r="D438" s="27" t="str">
        <x:v>Sprint 01</x:v>
      </x:c>
      <x:c r="E438" s="36" t="str">
        <x:v>S1_QA_Execution_Record.md</x:v>
      </x:c>
      <x:c r="F438" s="36" t="str">
        <x:v>MD</x:v>
      </x:c>
      <x:c r="G438" s="54" t="n">
        <x:v>1065</x:v>
      </x:c>
      <x:c r="H438" s="36" t="str">
        <x:v>f9ae3d8cb7bd112af8d518e93ccfe03fbce2309d555f3130b0325427ef68daad</x:v>
      </x:c>
      <x:c r="I438" s="36" t="n">
        <x:v>2</x:v>
      </x:c>
      <x:c r="J438" s="36" t="str">
        <x:v>Development evidence</x:v>
      </x:c>
      <x:c r="K438" s="36" t="str">
        <x:v>DIRECT</x:v>
      </x:c>
      <x:c r="L438" s="36" t="str">
        <x:v>adr, build, incident, qa, sprint, test</x:v>
      </x:c>
      <x:c r="M438" s="36" t="str">
        <x:v>Retain read-only; current authority remains 00–34.</x:v>
      </x:c>
      <x:c r="N438" s="36" t="str">
        <x:v>33 risk/continuity context</x:v>
      </x:c>
      <x:c r="O438" s="36" t="str">
        <x:v>10_Development_Records/Sprint_01/QA/S1_QA_Execution_Record.md</x:v>
      </x:c>
    </x:row>
    <x:row r="439">
      <x:c r="A439" s="27" t="str">
        <x:v>HIST-0435</x:v>
      </x:c>
      <x:c r="B439" s="27" t="str">
        <x:v>10_Development_Records</x:v>
      </x:c>
      <x:c r="C439" s="27" t="str"/>
      <x:c r="D439" s="27" t="str">
        <x:v>Sprint 01</x:v>
      </x:c>
      <x:c r="E439" s="36" t="str">
        <x:v>S1_Test_Plan.md</x:v>
      </x:c>
      <x:c r="F439" s="36" t="str">
        <x:v>MD</x:v>
      </x:c>
      <x:c r="G439" s="54" t="n">
        <x:v>849</x:v>
      </x:c>
      <x:c r="H439" s="36" t="str">
        <x:v>a56d1b7284d6d12babe25a9a564ecd4ef8d2ef68d3aa82829460e09ea4b64afd</x:v>
      </x:c>
      <x:c r="I439" s="36" t="n">
        <x:v>1</x:v>
      </x:c>
      <x:c r="J439" s="36" t="str">
        <x:v>Development evidence</x:v>
      </x:c>
      <x:c r="K439" s="36" t="str">
        <x:v>SUPPORTING</x:v>
      </x:c>
      <x:c r="L439" s="36" t="str">
        <x:v>build, qa, sprint, test</x:v>
      </x:c>
      <x:c r="M439" s="36" t="str">
        <x:v>Retain read-only; current authority remains 00–34.</x:v>
      </x:c>
      <x:c r="N439" s="36" t="str">
        <x:v>33 risk/continuity context</x:v>
      </x:c>
      <x:c r="O439" s="36" t="str">
        <x:v>10_Development_Records/Sprint_01/QA/S1_Test_Plan.md</x:v>
      </x:c>
    </x:row>
    <x:row r="440">
      <x:c r="A440" s="27" t="str">
        <x:v>HIST-0436</x:v>
      </x:c>
      <x:c r="B440" s="27" t="str">
        <x:v>10_Development_Records</x:v>
      </x:c>
      <x:c r="C440" s="27" t="str"/>
      <x:c r="D440" s="27" t="str">
        <x:v>Sprint 01</x:v>
      </x:c>
      <x:c r="E440" s="36" t="str">
        <x:v>S1_Validation_Checklist.md</x:v>
      </x:c>
      <x:c r="F440" s="36" t="str">
        <x:v>MD</x:v>
      </x:c>
      <x:c r="G440" s="54" t="n">
        <x:v>1591</x:v>
      </x:c>
      <x:c r="H440" s="36" t="str">
        <x:v>a6538450622d348cafd5964a5af26d84ce9b5aa1890a06af6789b8bb4fd9dc9c</x:v>
      </x:c>
      <x:c r="I440" s="36" t="n">
        <x:v>2</x:v>
      </x:c>
      <x:c r="J440" s="36" t="str">
        <x:v>Development evidence</x:v>
      </x:c>
      <x:c r="K440" s="36" t="str">
        <x:v>DIRECT</x:v>
      </x:c>
      <x:c r="L440" s="36" t="str">
        <x:v>adr, build, checksum, qa, release, sprint, test, validation</x:v>
      </x:c>
      <x:c r="M440" s="36" t="str">
        <x:v>Retain read-only; current authority remains 00–34.</x:v>
      </x:c>
      <x:c r="N440" s="36" t="str">
        <x:v>33 risk/continuity context</x:v>
      </x:c>
      <x:c r="O440" s="36" t="str">
        <x:v>10_Development_Records/Sprint_01/QA/S1_Validation_Checklist.md</x:v>
      </x:c>
    </x:row>
    <x:row r="441">
      <x:c r="A441" s="27" t="str">
        <x:v>HIST-0437</x:v>
      </x:c>
      <x:c r="B441" s="27" t="str">
        <x:v>10_Development_Records</x:v>
      </x:c>
      <x:c r="C441" s="27" t="str"/>
      <x:c r="D441" s="27" t="str">
        <x:v>Sprint 01</x:v>
      </x:c>
      <x:c r="E441" s="36" t="str">
        <x:v>S1_Applied_Changes_Report.md</x:v>
      </x:c>
      <x:c r="F441" s="36" t="str">
        <x:v>MD</x:v>
      </x:c>
      <x:c r="G441" s="54" t="n">
        <x:v>1306</x:v>
      </x:c>
      <x:c r="H441" s="36" t="str">
        <x:v>d557d2ff80e615e43f1a11dcbb40a4dc3fd70427a2df9662b8676b5e0dbfe6e3</x:v>
      </x:c>
      <x:c r="I441" s="36" t="n">
        <x:v>2</x:v>
      </x:c>
      <x:c r="J441" s="36" t="str">
        <x:v>Development evidence</x:v>
      </x:c>
      <x:c r="K441" s="36" t="str">
        <x:v>DIRECT</x:v>
      </x:c>
      <x:c r="L441" s="36" t="str">
        <x:v>adr, build, checksum, closure, release, sprint, test, validation</x:v>
      </x:c>
      <x:c r="M441" s="36" t="str">
        <x:v>Retain read-only; current authority remains 00–34.</x:v>
      </x:c>
      <x:c r="N441" s="36" t="str">
        <x:v>33 risk/continuity context</x:v>
      </x:c>
      <x:c r="O441" s="36" t="str">
        <x:v>10_Development_Records/Sprint_01/S1_Applied_Changes_Report.md</x:v>
      </x:c>
    </x:row>
    <x:row r="442">
      <x:c r="A442" s="27" t="str">
        <x:v>HIST-0438</x:v>
      </x:c>
      <x:c r="B442" s="27" t="str">
        <x:v>10_Development_Records</x:v>
      </x:c>
      <x:c r="C442" s="27" t="str"/>
      <x:c r="D442" s="27" t="str">
        <x:v>Sprint 01</x:v>
      </x:c>
      <x:c r="E442" s="36" t="str">
        <x:v>Sprint_01_Closure_Record.md</x:v>
      </x:c>
      <x:c r="F442" s="36" t="str">
        <x:v>MD</x:v>
      </x:c>
      <x:c r="G442" s="54" t="n">
        <x:v>1841</x:v>
      </x:c>
      <x:c r="H442" s="36" t="str">
        <x:v>2b8dccc6fe9f2b2d9adff4bb17403626e70f533157a89d558c15549d2aaef69e</x:v>
      </x:c>
      <x:c r="I442" s="36" t="n">
        <x:v>2</x:v>
      </x:c>
      <x:c r="J442" s="36" t="str">
        <x:v>Development evidence</x:v>
      </x:c>
      <x:c r="K442" s="36" t="str">
        <x:v>DIRECT</x:v>
      </x:c>
      <x:c r="L442" s="36" t="str">
        <x:v>adr, build, checksum, closure, incident, release, sprint, test, validation</x:v>
      </x:c>
      <x:c r="M442" s="36" t="str">
        <x:v>Retain read-only; current authority remains 00–34.</x:v>
      </x:c>
      <x:c r="N442" s="36" t="str">
        <x:v>33 risk/continuity context</x:v>
      </x:c>
      <x:c r="O442" s="36" t="str">
        <x:v>10_Development_Records/Sprint_01/Sprint_01_Closure_Record.md</x:v>
      </x:c>
    </x:row>
    <x:row r="443">
      <x:c r="A443" s="27" t="str">
        <x:v>HIST-0439</x:v>
      </x:c>
      <x:c r="B443" s="27" t="str">
        <x:v>10_Development_Records</x:v>
      </x:c>
      <x:c r="C443" s="27" t="str"/>
      <x:c r="D443" s="27" t="str">
        <x:v>Sprint 01</x:v>
      </x:c>
      <x:c r="E443" s="36" t="str">
        <x:v>S1_Document_Impact_Working_Matrix.md</x:v>
      </x:c>
      <x:c r="F443" s="36" t="str">
        <x:v>MD</x:v>
      </x:c>
      <x:c r="G443" s="54" t="n">
        <x:v>2145</x:v>
      </x:c>
      <x:c r="H443" s="36" t="str">
        <x:v>954a2469df0ccd8fda09a9a22ac33abadd2c59aedfeaed3597633c449f244648</x:v>
      </x:c>
      <x:c r="I443" s="36" t="n">
        <x:v>2</x:v>
      </x:c>
      <x:c r="J443" s="36" t="str">
        <x:v>Development evidence</x:v>
      </x:c>
      <x:c r="K443" s="36" t="str">
        <x:v>DIRECT</x:v>
      </x:c>
      <x:c r="L443" s="36" t="str">
        <x:v>acceptance, adr, build, closure, qa, roadmap, sprint, test</x:v>
      </x:c>
      <x:c r="M443" s="36" t="str">
        <x:v>Retain read-only; current authority remains 00–34.</x:v>
      </x:c>
      <x:c r="N443" s="36" t="str">
        <x:v>33 risk/continuity context</x:v>
      </x:c>
      <x:c r="O443" s="36" t="str">
        <x:v>10_Development_Records/Sprint_01/Traceability/S1_Document_Impact_Working_Matrix.md</x:v>
      </x:c>
    </x:row>
    <x:row r="444">
      <x:c r="A444" s="27" t="str">
        <x:v>HIST-0440</x:v>
      </x:c>
      <x:c r="B444" s="27" t="str">
        <x:v>10_Development_Records</x:v>
      </x:c>
      <x:c r="C444" s="27" t="str"/>
      <x:c r="D444" s="27" t="str">
        <x:v>Sprint 01</x:v>
      </x:c>
      <x:c r="E444" s="36" t="str">
        <x:v>S1_Traceability_Entries.csv</x:v>
      </x:c>
      <x:c r="F444" s="36" t="str">
        <x:v>CSV</x:v>
      </x:c>
      <x:c r="G444" s="54" t="n">
        <x:v>1155</x:v>
      </x:c>
      <x:c r="H444" s="36" t="str">
        <x:v>aedac227bd8d99487c25becdb16546b4804200243132e405a6262c7d779fc1b7</x:v>
      </x:c>
      <x:c r="I444" s="36" t="n">
        <x:v>2</x:v>
      </x:c>
      <x:c r="J444" s="36" t="str">
        <x:v>Development evidence</x:v>
      </x:c>
      <x:c r="K444" s="36" t="str">
        <x:v>DIRECT</x:v>
      </x:c>
      <x:c r="L444" s="36" t="str">
        <x:v>adr, build, checksum, closure, qa, release, sprint, test</x:v>
      </x:c>
      <x:c r="M444" s="36" t="str">
        <x:v>Retain read-only; current authority remains 00–34.</x:v>
      </x:c>
      <x:c r="N444" s="36" t="str">
        <x:v>33 risk/continuity context</x:v>
      </x:c>
      <x:c r="O444" s="36" t="str">
        <x:v>10_Development_Records/Sprint_01/Traceability/S1_Traceability_Entries.csv</x:v>
      </x:c>
    </x:row>
    <x:row r="445">
      <x:c r="A445" s="27" t="str">
        <x:v>HIST-0441</x:v>
      </x:c>
      <x:c r="B445" s="27" t="str">
        <x:v>10_Development_Records</x:v>
      </x:c>
      <x:c r="C445" s="27" t="str"/>
      <x:c r="D445" s="27" t="str">
        <x:v>Sprint 02</x:v>
      </x:c>
      <x:c r="E445" s="36" t="str">
        <x:v>S2_2.4_PostImplementation_Record.md</x:v>
      </x:c>
      <x:c r="F445" s="36" t="str">
        <x:v>MD</x:v>
      </x:c>
      <x:c r="G445" s="54" t="n">
        <x:v>1370</x:v>
      </x:c>
      <x:c r="H445" s="36" t="str">
        <x:v>6d8abe4b6e4fda5c39ffd60d97011f543f82a7a104941401d40120785709fc4b</x:v>
      </x:c>
      <x:c r="I445" s="36" t="n">
        <x:v>2</x:v>
      </x:c>
      <x:c r="J445" s="36" t="str">
        <x:v>Development evidence</x:v>
      </x:c>
      <x:c r="K445" s="36" t="str">
        <x:v>DIRECT</x:v>
      </x:c>
      <x:c r="L445" s="36" t="str">
        <x:v>acceptance, adr, build, checksum, closure, incident, qa, release, save, sprint, validation</x:v>
      </x:c>
      <x:c r="M445" s="36" t="str">
        <x:v>Retain read-only; current authority remains 00–34.</x:v>
      </x:c>
      <x:c r="N445" s="36" t="str">
        <x:v>33 risk/continuity context</x:v>
      </x:c>
      <x:c r="O445" s="36" t="str">
        <x:v>10_Development_Records/Sprint_02/Documentation/S2_2.4_PostImplementation_Record.md</x:v>
      </x:c>
    </x:row>
    <x:row r="446">
      <x:c r="A446" s="27" t="str">
        <x:v>HIST-0442</x:v>
      </x:c>
      <x:c r="B446" s="27" t="str">
        <x:v>10_Development_Records</x:v>
      </x:c>
      <x:c r="C446" s="27" t="str"/>
      <x:c r="D446" s="27" t="str">
        <x:v>Sprint 02</x:v>
      </x:c>
      <x:c r="E446" s="36" t="str">
        <x:v>S2_2.4_PostImplementation_Template.md</x:v>
      </x:c>
      <x:c r="F446" s="36" t="str">
        <x:v>MD</x:v>
      </x:c>
      <x:c r="G446" s="54" t="n">
        <x:v>460</x:v>
      </x:c>
      <x:c r="H446" s="36" t="str">
        <x:v>b03fed839b37fa856b30c1b9255248bbe9363ac314b43fe8a737bcee151c1c01</x:v>
      </x:c>
      <x:c r="I446" s="36" t="n">
        <x:v>1</x:v>
      </x:c>
      <x:c r="J446" s="36" t="str">
        <x:v>Development evidence</x:v>
      </x:c>
      <x:c r="K446" s="36" t="str">
        <x:v>SUPPORTING</x:v>
      </x:c>
      <x:c r="L446" s="36" t="str">
        <x:v>build, incident, release, sprint</x:v>
      </x:c>
      <x:c r="M446" s="36" t="str">
        <x:v>Retain read-only; current authority remains 00–34.</x:v>
      </x:c>
      <x:c r="N446" s="36" t="str">
        <x:v>33 risk/continuity context</x:v>
      </x:c>
      <x:c r="O446" s="36" t="str">
        <x:v>10_Development_Records/Sprint_02/Documentation/S2_2.4_PostImplementation_Template.md</x:v>
      </x:c>
    </x:row>
    <x:row r="447">
      <x:c r="A447" s="27" t="str">
        <x:v>HIST-0443</x:v>
      </x:c>
      <x:c r="B447" s="27" t="str">
        <x:v>10_Development_Records</x:v>
      </x:c>
      <x:c r="C447" s="27" t="str"/>
      <x:c r="D447" s="27" t="str">
        <x:v>Sprint 02</x:v>
      </x:c>
      <x:c r="E447" s="36" t="str">
        <x:v>S2_Living_Documentation_Update.md</x:v>
      </x:c>
      <x:c r="F447" s="36" t="str">
        <x:v>MD</x:v>
      </x:c>
      <x:c r="G447" s="54" t="n">
        <x:v>1460</x:v>
      </x:c>
      <x:c r="H447" s="36" t="str">
        <x:v>2557d0a124f811aab18e38c5a5e6aebd1545e0befd0ed9d5e5d2bbb64b0b6902</x:v>
      </x:c>
      <x:c r="I447" s="36" t="n">
        <x:v>2</x:v>
      </x:c>
      <x:c r="J447" s="36" t="str">
        <x:v>Development evidence</x:v>
      </x:c>
      <x:c r="K447" s="36" t="str">
        <x:v>DIRECT</x:v>
      </x:c>
      <x:c r="L447" s="36" t="str">
        <x:v>backup, closure, recovery, save, sprint</x:v>
      </x:c>
      <x:c r="M447" s="36" t="str">
        <x:v>Retain read-only; current authority remains 00–34.</x:v>
      </x:c>
      <x:c r="N447" s="36" t="str">
        <x:v>33 risk/continuity context</x:v>
      </x:c>
      <x:c r="O447" s="36" t="str">
        <x:v>10_Development_Records/Sprint_02/Documentation/S2_Living_Documentation_Update.md</x:v>
      </x:c>
    </x:row>
    <x:row r="448">
      <x:c r="A448" s="27" t="str">
        <x:v>HIST-0444</x:v>
      </x:c>
      <x:c r="B448" s="27" t="str">
        <x:v>10_Development_Records</x:v>
      </x:c>
      <x:c r="C448" s="27" t="str"/>
      <x:c r="D448" s="27" t="str">
        <x:v>Sprint 02</x:v>
      </x:c>
      <x:c r="E448" s="36" t="str">
        <x:v>ADR-0011_Minimal_Versioned_Save_Skeleton.md</x:v>
      </x:c>
      <x:c r="F448" s="36" t="str">
        <x:v>MD</x:v>
      </x:c>
      <x:c r="G448" s="54" t="n">
        <x:v>2505</x:v>
      </x:c>
      <x:c r="H448" s="36" t="str">
        <x:v>4048b071ec41b0d5caf4beb0d5a4ff7547e409f566a403d0e9331a604de076dd</x:v>
      </x:c>
      <x:c r="I448" s="36" t="n">
        <x:v>2</x:v>
      </x:c>
      <x:c r="J448" s="36" t="str">
        <x:v>Development evidence</x:v>
      </x:c>
      <x:c r="K448" s="36" t="str">
        <x:v>DIRECT</x:v>
      </x:c>
      <x:c r="L448" s="36" t="str">
        <x:v>adr, backup, build, dependency, incident, save, sprint, test, validation</x:v>
      </x:c>
      <x:c r="M448" s="36" t="str">
        <x:v>Retain read-only; current authority remains 00–34.</x:v>
      </x:c>
      <x:c r="N448" s="36" t="str">
        <x:v>33 risk/continuity context</x:v>
      </x:c>
      <x:c r="O448" s="36" t="str">
        <x:v>10_Development_Records/Sprint_02/Governance/ADR-0011_Minimal_Versioned_Save_Skeleton.md</x:v>
      </x:c>
    </x:row>
    <x:row r="449">
      <x:c r="A449" s="27" t="str">
        <x:v>HIST-0445</x:v>
      </x:c>
      <x:c r="B449" s="27" t="str">
        <x:v>10_Development_Records</x:v>
      </x:c>
      <x:c r="C449" s="27" t="str"/>
      <x:c r="D449" s="27" t="str">
        <x:v>Sprint 02</x:v>
      </x:c>
      <x:c r="E449" s="36" t="str">
        <x:v>Sprint_02_Charter.md</x:v>
      </x:c>
      <x:c r="F449" s="36" t="str">
        <x:v>MD</x:v>
      </x:c>
      <x:c r="G449" s="54" t="n">
        <x:v>1126</x:v>
      </x:c>
      <x:c r="H449" s="36" t="str">
        <x:v>1b8188ebbe5e23566a34e61d6d6871f98977434424cb98e246a55649685c73d8</x:v>
      </x:c>
      <x:c r="I449" s="36" t="n">
        <x:v>1</x:v>
      </x:c>
      <x:c r="J449" s="36" t="str">
        <x:v>Development evidence</x:v>
      </x:c>
      <x:c r="K449" s="36" t="str">
        <x:v>DIRECT</x:v>
      </x:c>
      <x:c r="L449" s="36" t="str">
        <x:v>acceptance, backup, build, closure, qa, save, sprint, validation</x:v>
      </x:c>
      <x:c r="M449" s="36" t="str">
        <x:v>Retain read-only; current authority remains 00–34.</x:v>
      </x:c>
      <x:c r="N449" s="36" t="str">
        <x:v>33 risk/continuity context</x:v>
      </x:c>
      <x:c r="O449" s="36" t="str">
        <x:v>10_Development_Records/Sprint_02/Governance/Sprint_02_Charter.md</x:v>
      </x:c>
    </x:row>
    <x:row r="450">
      <x:c r="A450" s="27" t="str">
        <x:v>HIST-0446</x:v>
      </x:c>
      <x:c r="B450" s="27" t="str">
        <x:v>10_Development_Records</x:v>
      </x:c>
      <x:c r="C450" s="27" t="str"/>
      <x:c r="D450" s="27" t="str">
        <x:v>Sprint 02</x:v>
      </x:c>
      <x:c r="E450" s="36" t="str">
        <x:v>Sprint_02_Current_Status.md</x:v>
      </x:c>
      <x:c r="F450" s="36" t="str">
        <x:v>MD</x:v>
      </x:c>
      <x:c r="G450" s="54" t="n">
        <x:v>1868</x:v>
      </x:c>
      <x:c r="H450" s="36" t="str">
        <x:v>5af2cc8138ca5ef7d49e84c24974f5d1c5939f84dc9f356d6563c417067c3ef7</x:v>
      </x:c>
      <x:c r="I450" s="36" t="n">
        <x:v>2</x:v>
      </x:c>
      <x:c r="J450" s="36" t="str">
        <x:v>Development evidence</x:v>
      </x:c>
      <x:c r="K450" s="36" t="str">
        <x:v>DIRECT</x:v>
      </x:c>
      <x:c r="L450" s="36" t="str">
        <x:v>build, checksum, closure, current_status, qa, release, save, sprint, test, validation</x:v>
      </x:c>
      <x:c r="M450" s="36" t="str">
        <x:v>Retain read-only; current authority remains 00–34.</x:v>
      </x:c>
      <x:c r="N450" s="36" t="str">
        <x:v>33 risk/continuity context</x:v>
      </x:c>
      <x:c r="O450" s="36" t="str">
        <x:v>10_Development_Records/Sprint_02/Governance/Sprint_02_Current_Status.md</x:v>
      </x:c>
    </x:row>
    <x:row r="451">
      <x:c r="A451" s="27" t="str">
        <x:v>HIST-0447</x:v>
      </x:c>
      <x:c r="B451" s="27" t="str">
        <x:v>10_Development_Records</x:v>
      </x:c>
      <x:c r="C451" s="27" t="str"/>
      <x:c r="D451" s="27" t="str">
        <x:v>Sprint 02</x:v>
      </x:c>
      <x:c r="E451" s="36" t="str">
        <x:v>S2_Acceptance_Matrix.md</x:v>
      </x:c>
      <x:c r="F451" s="36" t="str">
        <x:v>MD</x:v>
      </x:c>
      <x:c r="G451" s="54" t="n">
        <x:v>993</x:v>
      </x:c>
      <x:c r="H451" s="36" t="str">
        <x:v>1c184fd5c44de6051e83614676a1571d4d49e7cd8b4d68c8ef85167b64e2692f</x:v>
      </x:c>
      <x:c r="I451" s="36" t="n">
        <x:v>2</x:v>
      </x:c>
      <x:c r="J451" s="36" t="str">
        <x:v>Development evidence</x:v>
      </x:c>
      <x:c r="K451" s="36" t="str">
        <x:v>DIRECT</x:v>
      </x:c>
      <x:c r="L451" s="36" t="str">
        <x:v>acceptance, audit, build, qa, save, sprint</x:v>
      </x:c>
      <x:c r="M451" s="36" t="str">
        <x:v>Retain read-only; current authority remains 00–34.</x:v>
      </x:c>
      <x:c r="N451" s="36" t="str">
        <x:v>33 risk/continuity context</x:v>
      </x:c>
      <x:c r="O451" s="36" t="str">
        <x:v>10_Development_Records/Sprint_02/QA/S2_Acceptance_Matrix.md</x:v>
      </x:c>
    </x:row>
    <x:row r="452">
      <x:c r="A452" s="27" t="str">
        <x:v>HIST-0448</x:v>
      </x:c>
      <x:c r="B452" s="27" t="str">
        <x:v>10_Development_Records</x:v>
      </x:c>
      <x:c r="C452" s="27" t="str"/>
      <x:c r="D452" s="27" t="str">
        <x:v>Sprint 02</x:v>
      </x:c>
      <x:c r="E452" s="36" t="str">
        <x:v>S2_QA_Execution_Record.md</x:v>
      </x:c>
      <x:c r="F452" s="36" t="str">
        <x:v>MD</x:v>
      </x:c>
      <x:c r="G452" s="54" t="n">
        <x:v>1827</x:v>
      </x:c>
      <x:c r="H452" s="36" t="str">
        <x:v>70ad9d5ab6b32071b69fcbb35e7f76889b95b4d84ec6c6e6174ab2d793ccea4f</x:v>
      </x:c>
      <x:c r="I452" s="36" t="n">
        <x:v>2</x:v>
      </x:c>
      <x:c r="J452" s="36" t="str">
        <x:v>Development evidence</x:v>
      </x:c>
      <x:c r="K452" s="36" t="str">
        <x:v>DIRECT</x:v>
      </x:c>
      <x:c r="L452" s="36" t="str">
        <x:v>backup, build, qa, save, sprint, test</x:v>
      </x:c>
      <x:c r="M452" s="36" t="str">
        <x:v>Retain read-only; current authority remains 00–34.</x:v>
      </x:c>
      <x:c r="N452" s="36" t="str">
        <x:v>33 risk/continuity context</x:v>
      </x:c>
      <x:c r="O452" s="36" t="str">
        <x:v>10_Development_Records/Sprint_02/QA/S2_QA_Execution_Record.md</x:v>
      </x:c>
    </x:row>
    <x:row r="453">
      <x:c r="A453" s="27" t="str">
        <x:v>HIST-0449</x:v>
      </x:c>
      <x:c r="B453" s="27" t="str">
        <x:v>10_Development_Records</x:v>
      </x:c>
      <x:c r="C453" s="27" t="str"/>
      <x:c r="D453" s="27" t="str">
        <x:v>Sprint 02</x:v>
      </x:c>
      <x:c r="E453" s="36" t="str">
        <x:v>S2_Test_Plan.md</x:v>
      </x:c>
      <x:c r="F453" s="36" t="str">
        <x:v>MD</x:v>
      </x:c>
      <x:c r="G453" s="54" t="n">
        <x:v>602</x:v>
      </x:c>
      <x:c r="H453" s="36" t="str">
        <x:v>3f95a04a925fcad042d844730b40372f0f5704adb450918cbcf555f874f0c332</x:v>
      </x:c>
      <x:c r="I453" s="36" t="n">
        <x:v>1</x:v>
      </x:c>
      <x:c r="J453" s="36" t="str">
        <x:v>Development evidence</x:v>
      </x:c>
      <x:c r="K453" s="36" t="str">
        <x:v>DIRECT</x:v>
      </x:c>
      <x:c r="L453" s="36" t="str">
        <x:v>build, qa, save, sprint, test</x:v>
      </x:c>
      <x:c r="M453" s="36" t="str">
        <x:v>Retain read-only; current authority remains 00–34.</x:v>
      </x:c>
      <x:c r="N453" s="36" t="str">
        <x:v>33 risk/continuity context</x:v>
      </x:c>
      <x:c r="O453" s="36" t="str">
        <x:v>10_Development_Records/Sprint_02/QA/S2_Test_Plan.md</x:v>
      </x:c>
    </x:row>
    <x:row r="454">
      <x:c r="A454" s="27" t="str">
        <x:v>HIST-0450</x:v>
      </x:c>
      <x:c r="B454" s="27" t="str">
        <x:v>10_Development_Records</x:v>
      </x:c>
      <x:c r="C454" s="27" t="str"/>
      <x:c r="D454" s="27" t="str">
        <x:v>Sprint 02</x:v>
      </x:c>
      <x:c r="E454" s="36" t="str">
        <x:v>S2_Validation_Checklist.md</x:v>
      </x:c>
      <x:c r="F454" s="36" t="str">
        <x:v>MD</x:v>
      </x:c>
      <x:c r="G454" s="54" t="n">
        <x:v>1272</x:v>
      </x:c>
      <x:c r="H454" s="36" t="str">
        <x:v>c0a872b546a633fd2774377e613690ce0b756b0acb22eecc799f2083cb294606</x:v>
      </x:c>
      <x:c r="I454" s="36" t="n">
        <x:v>2</x:v>
      </x:c>
      <x:c r="J454" s="36" t="str">
        <x:v>Development evidence</x:v>
      </x:c>
      <x:c r="K454" s="36" t="str">
        <x:v>DIRECT</x:v>
      </x:c>
      <x:c r="L454" s="36" t="str">
        <x:v>acceptance, adr, build, closure, dependency, qa, save, sprint, test, validation</x:v>
      </x:c>
      <x:c r="M454" s="36" t="str">
        <x:v>Retain read-only; current authority remains 00–34.</x:v>
      </x:c>
      <x:c r="N454" s="36" t="str">
        <x:v>33 risk/continuity context</x:v>
      </x:c>
      <x:c r="O454" s="36" t="str">
        <x:v>10_Development_Records/Sprint_02/QA/S2_Validation_Checklist.md</x:v>
      </x:c>
    </x:row>
    <x:row r="455">
      <x:c r="A455" s="27" t="str">
        <x:v>HIST-0451</x:v>
      </x:c>
      <x:c r="B455" s="27" t="str">
        <x:v>10_Development_Records</x:v>
      </x:c>
      <x:c r="C455" s="27" t="str"/>
      <x:c r="D455" s="27" t="str">
        <x:v>Sprint 02</x:v>
      </x:c>
      <x:c r="E455" s="36" t="str">
        <x:v>S2_Applied_Changes_Report.md</x:v>
      </x:c>
      <x:c r="F455" s="36" t="str">
        <x:v>MD</x:v>
      </x:c>
      <x:c r="G455" s="54" t="n">
        <x:v>1915</x:v>
      </x:c>
      <x:c r="H455" s="36" t="str">
        <x:v>0798b0b347296ca20893768eb0865f0e4b6eeb18d6f99df19cf436122da8285f</x:v>
      </x:c>
      <x:c r="I455" s="36" t="n">
        <x:v>2</x:v>
      </x:c>
      <x:c r="J455" s="36" t="str">
        <x:v>Development evidence</x:v>
      </x:c>
      <x:c r="K455" s="36" t="str">
        <x:v>DIRECT</x:v>
      </x:c>
      <x:c r="L455" s="36" t="str">
        <x:v>backup, build, incident, qa, save, sprint, test, validation</x:v>
      </x:c>
      <x:c r="M455" s="36" t="str">
        <x:v>Retain read-only; current authority remains 00–34.</x:v>
      </x:c>
      <x:c r="N455" s="36" t="str">
        <x:v>33 risk/continuity context</x:v>
      </x:c>
      <x:c r="O455" s="36" t="str">
        <x:v>10_Development_Records/Sprint_02/S2_Applied_Changes_Report.md</x:v>
      </x:c>
    </x:row>
    <x:row r="456">
      <x:c r="A456" s="27" t="str">
        <x:v>HIST-0452</x:v>
      </x:c>
      <x:c r="B456" s="27" t="str">
        <x:v>10_Development_Records</x:v>
      </x:c>
      <x:c r="C456" s="27" t="str"/>
      <x:c r="D456" s="27" t="str">
        <x:v>Sprint 02</x:v>
      </x:c>
      <x:c r="E456" s="36" t="str">
        <x:v>Sprint_02_Closure_Record.md</x:v>
      </x:c>
      <x:c r="F456" s="36" t="str">
        <x:v>MD</x:v>
      </x:c>
      <x:c r="G456" s="54" t="n">
        <x:v>1900</x:v>
      </x:c>
      <x:c r="H456" s="36" t="str">
        <x:v>5be13768cf7133b2e1ccaf90c13f0fbac1186bb46125b2512559a0943d2d3bf9</x:v>
      </x:c>
      <x:c r="I456" s="36" t="n">
        <x:v>2</x:v>
      </x:c>
      <x:c r="J456" s="36" t="str">
        <x:v>Development evidence</x:v>
      </x:c>
      <x:c r="K456" s="36" t="str">
        <x:v>DIRECT</x:v>
      </x:c>
      <x:c r="L456" s="36" t="str">
        <x:v>build, closure, incident, qa, release, save, sprint, validation</x:v>
      </x:c>
      <x:c r="M456" s="36" t="str">
        <x:v>Retain read-only; current authority remains 00–34.</x:v>
      </x:c>
      <x:c r="N456" s="36" t="str">
        <x:v>33 risk/continuity context</x:v>
      </x:c>
      <x:c r="O456" s="36" t="str">
        <x:v>10_Development_Records/Sprint_02/Sprint_02_Closure_Record.md</x:v>
      </x:c>
    </x:row>
    <x:row r="457">
      <x:c r="A457" s="27" t="str">
        <x:v>HIST-0453</x:v>
      </x:c>
      <x:c r="B457" s="27" t="str">
        <x:v>10_Development_Records</x:v>
      </x:c>
      <x:c r="C457" s="27" t="str"/>
      <x:c r="D457" s="27" t="str">
        <x:v>Sprint 02</x:v>
      </x:c>
      <x:c r="E457" s="36" t="str">
        <x:v>S2_Document_Impact_Working_Matrix.md</x:v>
      </x:c>
      <x:c r="F457" s="36" t="str">
        <x:v>MD</x:v>
      </x:c>
      <x:c r="G457" s="54" t="n">
        <x:v>1594</x:v>
      </x:c>
      <x:c r="H457" s="36" t="str">
        <x:v>b43e047a96a94ab7edc30626030648f1c5c159e8d7522afc10f107f2b0e38852</x:v>
      </x:c>
      <x:c r="I457" s="36" t="n">
        <x:v>2</x:v>
      </x:c>
      <x:c r="J457" s="36" t="str">
        <x:v>Development evidence</x:v>
      </x:c>
      <x:c r="K457" s="36" t="str">
        <x:v>DIRECT</x:v>
      </x:c>
      <x:c r="L457" s="36" t="str">
        <x:v>adr, build, closure, incident, qa, roadmap, save, sprint, test, validation</x:v>
      </x:c>
      <x:c r="M457" s="36" t="str">
        <x:v>Retain read-only; current authority remains 00–34.</x:v>
      </x:c>
      <x:c r="N457" s="36" t="str">
        <x:v>33 risk/continuity context</x:v>
      </x:c>
      <x:c r="O457" s="36" t="str">
        <x:v>10_Development_Records/Sprint_02/Traceability/S2_Document_Impact_Working_Matrix.md</x:v>
      </x:c>
    </x:row>
    <x:row r="458">
      <x:c r="A458" s="27" t="str">
        <x:v>HIST-0454</x:v>
      </x:c>
      <x:c r="B458" s="27" t="str">
        <x:v>10_Development_Records</x:v>
      </x:c>
      <x:c r="C458" s="27" t="str"/>
      <x:c r="D458" s="27" t="str">
        <x:v>Sprint 02</x:v>
      </x:c>
      <x:c r="E458" s="36" t="str">
        <x:v>S2_Traceability_Entries.csv</x:v>
      </x:c>
      <x:c r="F458" s="36" t="str">
        <x:v>CSV</x:v>
      </x:c>
      <x:c r="G458" s="54" t="n">
        <x:v>1154</x:v>
      </x:c>
      <x:c r="H458" s="36" t="str">
        <x:v>f1d0d1ccab1084dd3975ab05236e9d7d9768595ebd5570f3fdd2e2075e0f9c50</x:v>
      </x:c>
      <x:c r="I458" s="36" t="n">
        <x:v>2</x:v>
      </x:c>
      <x:c r="J458" s="36" t="str">
        <x:v>Development evidence</x:v>
      </x:c>
      <x:c r="K458" s="36" t="str">
        <x:v>DIRECT</x:v>
      </x:c>
      <x:c r="L458" s="36" t="str">
        <x:v>adr, closure, incident, qa, save, sprint, test</x:v>
      </x:c>
      <x:c r="M458" s="36" t="str">
        <x:v>Retain read-only; current authority remains 00–34.</x:v>
      </x:c>
      <x:c r="N458" s="36" t="str">
        <x:v>33 risk/continuity context</x:v>
      </x:c>
      <x:c r="O458" s="36" t="str">
        <x:v>10_Development_Records/Sprint_02/Traceability/S2_Traceability_Entries.csv</x:v>
      </x:c>
    </x:row>
    <x:row r="459">
      <x:c r="A459" s="27" t="str">
        <x:v>HIST-0455</x:v>
      </x:c>
      <x:c r="B459" s="27" t="str">
        <x:v>10_Development_Records</x:v>
      </x:c>
      <x:c r="C459" s="27" t="str"/>
      <x:c r="D459" s="27" t="str">
        <x:v>Sprint 03</x:v>
      </x:c>
      <x:c r="E459" s="36" t="str">
        <x:v>S3_3.4_PostImplementation_Record.md</x:v>
      </x:c>
      <x:c r="F459" s="36" t="str">
        <x:v>MD</x:v>
      </x:c>
      <x:c r="G459" s="54" t="n">
        <x:v>1620</x:v>
      </x:c>
      <x:c r="H459" s="36" t="str">
        <x:v>cf1d302783bfb7156655cc269fad60d1457fbac83048709a2d2e5b3591111969</x:v>
      </x:c>
      <x:c r="I459" s="36" t="n">
        <x:v>2</x:v>
      </x:c>
      <x:c r="J459" s="36" t="str">
        <x:v>Development evidence</x:v>
      </x:c>
      <x:c r="K459" s="36" t="str">
        <x:v>DIRECT</x:v>
      </x:c>
      <x:c r="L459" s="36" t="str">
        <x:v>acceptance, adr, build, checksum, closure, incident, qa, release, sprint, test, validation</x:v>
      </x:c>
      <x:c r="M459" s="36" t="str">
        <x:v>Retain read-only; current authority remains 00–34.</x:v>
      </x:c>
      <x:c r="N459" s="36" t="str">
        <x:v>33 risk/continuity context</x:v>
      </x:c>
      <x:c r="O459" s="36" t="str">
        <x:v>10_Development_Records/Sprint_03/Documentation/S3_3.4_PostImplementation_Record.md</x:v>
      </x:c>
    </x:row>
    <x:row r="460">
      <x:c r="A460" s="27" t="str">
        <x:v>HIST-0456</x:v>
      </x:c>
      <x:c r="B460" s="27" t="str">
        <x:v>10_Development_Records</x:v>
      </x:c>
      <x:c r="C460" s="27" t="str"/>
      <x:c r="D460" s="27" t="str">
        <x:v>Sprint 03</x:v>
      </x:c>
      <x:c r="E460" s="36" t="str">
        <x:v>S3_Living_Documentation_Update.md</x:v>
      </x:c>
      <x:c r="F460" s="36" t="str">
        <x:v>MD</x:v>
      </x:c>
      <x:c r="G460" s="54" t="n">
        <x:v>1924</x:v>
      </x:c>
      <x:c r="H460" s="36" t="str">
        <x:v>06304b6d9cb64a6550920e046f4b0a04edf2e210e85ab19afb2631bd07f12138</x:v>
      </x:c>
      <x:c r="I460" s="36" t="n">
        <x:v>2</x:v>
      </x:c>
      <x:c r="J460" s="36" t="str">
        <x:v>Development evidence</x:v>
      </x:c>
      <x:c r="K460" s="36" t="str">
        <x:v>DIRECT</x:v>
      </x:c>
      <x:c r="L460" s="36" t="str">
        <x:v>build, closure, save, sprint, test</x:v>
      </x:c>
      <x:c r="M460" s="36" t="str">
        <x:v>Retain read-only; current authority remains 00–34.</x:v>
      </x:c>
      <x:c r="N460" s="36" t="str">
        <x:v>33 risk/continuity context</x:v>
      </x:c>
      <x:c r="O460" s="36" t="str">
        <x:v>10_Development_Records/Sprint_03/Documentation/S3_Living_Documentation_Update.md</x:v>
      </x:c>
    </x:row>
    <x:row r="461">
      <x:c r="A461" s="27" t="str">
        <x:v>HIST-0457</x:v>
      </x:c>
      <x:c r="B461" s="27" t="str">
        <x:v>10_Development_Records</x:v>
      </x:c>
      <x:c r="C461" s="27" t="str"/>
      <x:c r="D461" s="27" t="str">
        <x:v>Sprint 03</x:v>
      </x:c>
      <x:c r="E461" s="36" t="str">
        <x:v>ADR-0012_Scene_Driven_Input_Contexts.md</x:v>
      </x:c>
      <x:c r="F461" s="36" t="str">
        <x:v>MD</x:v>
      </x:c>
      <x:c r="G461" s="54" t="n">
        <x:v>1159</x:v>
      </x:c>
      <x:c r="H461" s="36" t="str">
        <x:v>13c16537cc90fb0cdf3e74d588a585635c8b7b998433a1ed52501aad1d89af0f</x:v>
      </x:c>
      <x:c r="I461" s="36" t="n">
        <x:v>2</x:v>
      </x:c>
      <x:c r="J461" s="36" t="str">
        <x:v>Development evidence</x:v>
      </x:c>
      <x:c r="K461" s="36" t="str">
        <x:v>DIRECT</x:v>
      </x:c>
      <x:c r="L461" s="36" t="str">
        <x:v>adr, save, sprint, test, validation</x:v>
      </x:c>
      <x:c r="M461" s="36" t="str">
        <x:v>Retain read-only; current authority remains 00–34.</x:v>
      </x:c>
      <x:c r="N461" s="36" t="str">
        <x:v>33 risk/continuity context</x:v>
      </x:c>
      <x:c r="O461" s="36" t="str">
        <x:v>10_Development_Records/Sprint_03/Governance/ADR-0012_Scene_Driven_Input_Contexts.md</x:v>
      </x:c>
    </x:row>
    <x:row r="462">
      <x:c r="A462" s="27" t="str">
        <x:v>HIST-0458</x:v>
      </x:c>
      <x:c r="B462" s="27" t="str">
        <x:v>10_Development_Records</x:v>
      </x:c>
      <x:c r="C462" s="27" t="str"/>
      <x:c r="D462" s="27" t="str">
        <x:v>Sprint 03</x:v>
      </x:c>
      <x:c r="E462" s="36" t="str">
        <x:v>ADR-0013_Direct_Planar_Click_To_Move_Foundation.md</x:v>
      </x:c>
      <x:c r="F462" s="36" t="str">
        <x:v>MD</x:v>
      </x:c>
      <x:c r="G462" s="54" t="n">
        <x:v>1449</x:v>
      </x:c>
      <x:c r="H462" s="36" t="str">
        <x:v>24601e21279c905274e2c7092c1504eae9f72be23477d15741fab33d79971059</x:v>
      </x:c>
      <x:c r="I462" s="36" t="n">
        <x:v>2</x:v>
      </x:c>
      <x:c r="J462" s="36" t="str">
        <x:v>Development evidence</x:v>
      </x:c>
      <x:c r="K462" s="36" t="str">
        <x:v>DIRECT</x:v>
      </x:c>
      <x:c r="L462" s="36" t="str">
        <x:v>adr, save, sprint, test, validation</x:v>
      </x:c>
      <x:c r="M462" s="36" t="str">
        <x:v>Retain read-only; current authority remains 00–34.</x:v>
      </x:c>
      <x:c r="N462" s="36" t="str">
        <x:v>33 risk/continuity context</x:v>
      </x:c>
      <x:c r="O462" s="36" t="str">
        <x:v>10_Development_Records/Sprint_03/Governance/ADR-0013_Direct_Planar_Click_To_Move_Foundation.md</x:v>
      </x:c>
    </x:row>
    <x:row r="463">
      <x:c r="A463" s="27" t="str">
        <x:v>HIST-0459</x:v>
      </x:c>
      <x:c r="B463" s="27" t="str">
        <x:v>10_Development_Records</x:v>
      </x:c>
      <x:c r="C463" s="27" t="str"/>
      <x:c r="D463" s="27" t="str">
        <x:v>Sprint 03</x:v>
      </x:c>
      <x:c r="E463" s="36" t="str">
        <x:v>ADR-0014_Orbit_Zoom_Follow_Camera.md</x:v>
      </x:c>
      <x:c r="F463" s="36" t="str">
        <x:v>MD</x:v>
      </x:c>
      <x:c r="G463" s="54" t="n">
        <x:v>1331</x:v>
      </x:c>
      <x:c r="H463" s="36" t="str">
        <x:v>c7bcb3d83c5544605bac741e625f1a441f5ba10047e204e4ce6dbd9eb7468a77</x:v>
      </x:c>
      <x:c r="I463" s="36" t="n">
        <x:v>2</x:v>
      </x:c>
      <x:c r="J463" s="36" t="str">
        <x:v>Development evidence</x:v>
      </x:c>
      <x:c r="K463" s="36" t="str">
        <x:v>DIRECT</x:v>
      </x:c>
      <x:c r="L463" s="36" t="str">
        <x:v>adr, dependency, save, sprint, test, validation</x:v>
      </x:c>
      <x:c r="M463" s="36" t="str">
        <x:v>Retain read-only; current authority remains 00–34.</x:v>
      </x:c>
      <x:c r="N463" s="36" t="str">
        <x:v>33 risk/continuity context</x:v>
      </x:c>
      <x:c r="O463" s="36" t="str">
        <x:v>10_Development_Records/Sprint_03/Governance/ADR-0014_Orbit_Zoom_Follow_Camera.md</x:v>
      </x:c>
    </x:row>
    <x:row r="464">
      <x:c r="A464" s="27" t="str">
        <x:v>HIST-0460</x:v>
      </x:c>
      <x:c r="B464" s="27" t="str">
        <x:v>10_Development_Records</x:v>
      </x:c>
      <x:c r="C464" s="27" t="str"/>
      <x:c r="D464" s="27" t="str">
        <x:v>Sprint 03</x:v>
      </x:c>
      <x:c r="E464" s="36" t="str">
        <x:v>ADR-0015_Project_Input_Actions_And_Context_Routing.md</x:v>
      </x:c>
      <x:c r="F464" s="36" t="str">
        <x:v>MD</x:v>
      </x:c>
      <x:c r="G464" s="54" t="n">
        <x:v>1653</x:v>
      </x:c>
      <x:c r="H464" s="36" t="str">
        <x:v>b665c0f33852bfb4ae7d0de42fac1636487181e19c28593c1d728d412e21954e</x:v>
      </x:c>
      <x:c r="I464" s="36" t="n">
        <x:v>2</x:v>
      </x:c>
      <x:c r="J464" s="36" t="str">
        <x:v>Development evidence</x:v>
      </x:c>
      <x:c r="K464" s="36" t="str">
        <x:v>DIRECT</x:v>
      </x:c>
      <x:c r="L464" s="36" t="str">
        <x:v>adr, build, save, sprint, test, validation</x:v>
      </x:c>
      <x:c r="M464" s="36" t="str">
        <x:v>Retain read-only; current authority remains 00–34.</x:v>
      </x:c>
      <x:c r="N464" s="36" t="str">
        <x:v>33 risk/continuity context</x:v>
      </x:c>
      <x:c r="O464" s="36" t="str">
        <x:v>10_Development_Records/Sprint_03/Governance/ADR-0015_Project_Input_Actions_And_Context_Routing.md</x:v>
      </x:c>
    </x:row>
    <x:row r="465">
      <x:c r="A465" s="27" t="str">
        <x:v>HIST-0461</x:v>
      </x:c>
      <x:c r="B465" s="27" t="str">
        <x:v>10_Development_Records</x:v>
      </x:c>
      <x:c r="C465" s="27" t="str"/>
      <x:c r="D465" s="27" t="str">
        <x:v>Sprint 03</x:v>
      </x:c>
      <x:c r="E465" s="36" t="str">
        <x:v>Sprint_03_Charter.md</x:v>
      </x:c>
      <x:c r="F465" s="36" t="str">
        <x:v>MD</x:v>
      </x:c>
      <x:c r="G465" s="54" t="n">
        <x:v>1705</x:v>
      </x:c>
      <x:c r="H465" s="36" t="str">
        <x:v>126a9ef68bf789045c3ec9d23b5e8a1643ebe6023784c6d9b43df1e9aa8fd15c</x:v>
      </x:c>
      <x:c r="I465" s="36" t="n">
        <x:v>2</x:v>
      </x:c>
      <x:c r="J465" s="36" t="str">
        <x:v>Development evidence</x:v>
      </x:c>
      <x:c r="K465" s="36" t="str">
        <x:v>DIRECT</x:v>
      </x:c>
      <x:c r="L465" s="36" t="str">
        <x:v>build, closure, dependency, qa, save, sprint, test, validation</x:v>
      </x:c>
      <x:c r="M465" s="36" t="str">
        <x:v>Retain read-only; current authority remains 00–34.</x:v>
      </x:c>
      <x:c r="N465" s="36" t="str">
        <x:v>33 risk/continuity context</x:v>
      </x:c>
      <x:c r="O465" s="36" t="str">
        <x:v>10_Development_Records/Sprint_03/Governance/Sprint_03_Charter.md</x:v>
      </x:c>
    </x:row>
    <x:row r="466">
      <x:c r="A466" s="27" t="str">
        <x:v>HIST-0462</x:v>
      </x:c>
      <x:c r="B466" s="27" t="str">
        <x:v>10_Development_Records</x:v>
      </x:c>
      <x:c r="C466" s="27" t="str"/>
      <x:c r="D466" s="27" t="str">
        <x:v>Sprint 03</x:v>
      </x:c>
      <x:c r="E466" s="36" t="str">
        <x:v>Sprint_03_Current_Status.md</x:v>
      </x:c>
      <x:c r="F466" s="36" t="str">
        <x:v>MD</x:v>
      </x:c>
      <x:c r="G466" s="54" t="n">
        <x:v>1914</x:v>
      </x:c>
      <x:c r="H466" s="36" t="str">
        <x:v>45e1fcd518bdb144ab357425bf1e3e37b14f33f61900b34942835d4f3a568235</x:v>
      </x:c>
      <x:c r="I466" s="36" t="n">
        <x:v>2</x:v>
      </x:c>
      <x:c r="J466" s="36" t="str">
        <x:v>Development evidence</x:v>
      </x:c>
      <x:c r="K466" s="36" t="str">
        <x:v>DIRECT</x:v>
      </x:c>
      <x:c r="L466" s="36" t="str">
        <x:v>build, checksum, closure, current_status, release, sprint, test</x:v>
      </x:c>
      <x:c r="M466" s="36" t="str">
        <x:v>Retain read-only; current authority remains 00–34.</x:v>
      </x:c>
      <x:c r="N466" s="36" t="str">
        <x:v>33 risk/continuity context</x:v>
      </x:c>
      <x:c r="O466" s="36" t="str">
        <x:v>10_Development_Records/Sprint_03/Governance/Sprint_03_Current_Status.md</x:v>
      </x:c>
    </x:row>
    <x:row r="467">
      <x:c r="A467" s="27" t="str">
        <x:v>HIST-0463</x:v>
      </x:c>
      <x:c r="B467" s="27" t="str">
        <x:v>10_Development_Records</x:v>
      </x:c>
      <x:c r="C467" s="27" t="str"/>
      <x:c r="D467" s="27" t="str">
        <x:v>Sprint 03</x:v>
      </x:c>
      <x:c r="E467" s="36" t="str">
        <x:v>S3.1_Validation_Checklist.md</x:v>
      </x:c>
      <x:c r="F467" s="36" t="str">
        <x:v>MD</x:v>
      </x:c>
      <x:c r="G467" s="54" t="n">
        <x:v>572</x:v>
      </x:c>
      <x:c r="H467" s="36" t="str">
        <x:v>504a5c5285be528dd826475d48095d89f3e9ef702c59ebab2408debe90246aa7</x:v>
      </x:c>
      <x:c r="I467" s="36" t="n">
        <x:v>2</x:v>
      </x:c>
      <x:c r="J467" s="36" t="str">
        <x:v>Development evidence</x:v>
      </x:c>
      <x:c r="K467" s="36" t="str">
        <x:v>DIRECT</x:v>
      </x:c>
      <x:c r="L467" s="36" t="str">
        <x:v>build, qa, sprint, test, validation</x:v>
      </x:c>
      <x:c r="M467" s="36" t="str">
        <x:v>Retain read-only; current authority remains 00–34.</x:v>
      </x:c>
      <x:c r="N467" s="36" t="str">
        <x:v>33 risk/continuity context</x:v>
      </x:c>
      <x:c r="O467" s="36" t="str">
        <x:v>10_Development_Records/Sprint_03/QA/S3.1_Validation_Checklist.md</x:v>
      </x:c>
    </x:row>
    <x:row r="468">
      <x:c r="A468" s="27" t="str">
        <x:v>HIST-0464</x:v>
      </x:c>
      <x:c r="B468" s="27" t="str">
        <x:v>10_Development_Records</x:v>
      </x:c>
      <x:c r="C468" s="27" t="str"/>
      <x:c r="D468" s="27" t="str">
        <x:v>Sprint 03</x:v>
      </x:c>
      <x:c r="E468" s="36" t="str">
        <x:v>S3.2_Validation_Checklist.md</x:v>
      </x:c>
      <x:c r="F468" s="36" t="str">
        <x:v>MD</x:v>
      </x:c>
      <x:c r="G468" s="54" t="n">
        <x:v>869</x:v>
      </x:c>
      <x:c r="H468" s="36" t="str">
        <x:v>40c1fcb0f866cbe4f549fdd6fb510200c537a172b368c89cb851be0e75d7d6ba</x:v>
      </x:c>
      <x:c r="I468" s="36" t="n">
        <x:v>2</x:v>
      </x:c>
      <x:c r="J468" s="36" t="str">
        <x:v>Development evidence</x:v>
      </x:c>
      <x:c r="K468" s="36" t="str">
        <x:v>SUPPORTING</x:v>
      </x:c>
      <x:c r="L468" s="36" t="str">
        <x:v>qa, sprint, test, validation</x:v>
      </x:c>
      <x:c r="M468" s="36" t="str">
        <x:v>Retain read-only; current authority remains 00–34.</x:v>
      </x:c>
      <x:c r="N468" s="36" t="str">
        <x:v>33 risk/continuity context</x:v>
      </x:c>
      <x:c r="O468" s="36" t="str">
        <x:v>10_Development_Records/Sprint_03/QA/S3.2_Validation_Checklist.md</x:v>
      </x:c>
    </x:row>
    <x:row r="469">
      <x:c r="A469" s="27" t="str">
        <x:v>HIST-0465</x:v>
      </x:c>
      <x:c r="B469" s="27" t="str">
        <x:v>10_Development_Records</x:v>
      </x:c>
      <x:c r="C469" s="27" t="str"/>
      <x:c r="D469" s="27" t="str">
        <x:v>Sprint 03</x:v>
      </x:c>
      <x:c r="E469" s="36" t="str">
        <x:v>S3.3_Validation_Checklist.md</x:v>
      </x:c>
      <x:c r="F469" s="36" t="str">
        <x:v>MD</x:v>
      </x:c>
      <x:c r="G469" s="54" t="n">
        <x:v>848</x:v>
      </x:c>
      <x:c r="H469" s="36" t="str">
        <x:v>9ba60442d1b478ccf14f8185361528a5bedb267e7102ea8a963696dc6eee0123</x:v>
      </x:c>
      <x:c r="I469" s="36" t="n">
        <x:v>2</x:v>
      </x:c>
      <x:c r="J469" s="36" t="str">
        <x:v>Development evidence</x:v>
      </x:c>
      <x:c r="K469" s="36" t="str">
        <x:v>SUPPORTING</x:v>
      </x:c>
      <x:c r="L469" s="36" t="str">
        <x:v>qa, sprint, test, validation</x:v>
      </x:c>
      <x:c r="M469" s="36" t="str">
        <x:v>Retain read-only; current authority remains 00–34.</x:v>
      </x:c>
      <x:c r="N469" s="36" t="str">
        <x:v>33 risk/continuity context</x:v>
      </x:c>
      <x:c r="O469" s="36" t="str">
        <x:v>10_Development_Records/Sprint_03/QA/S3.3_Validation_Checklist.md</x:v>
      </x:c>
    </x:row>
    <x:row r="470">
      <x:c r="A470" s="27" t="str">
        <x:v>HIST-0466</x:v>
      </x:c>
      <x:c r="B470" s="27" t="str">
        <x:v>10_Development_Records</x:v>
      </x:c>
      <x:c r="C470" s="27" t="str"/>
      <x:c r="D470" s="27" t="str">
        <x:v>Sprint 03</x:v>
      </x:c>
      <x:c r="E470" s="36" t="str">
        <x:v>S3.4_Build_Execution_Record.md</x:v>
      </x:c>
      <x:c r="F470" s="36" t="str">
        <x:v>MD</x:v>
      </x:c>
      <x:c r="G470" s="54" t="n">
        <x:v>1303</x:v>
      </x:c>
      <x:c r="H470" s="36" t="str">
        <x:v>bdbcbe899c627a7abf1f302f7db42ce29de1f0809c8373a454e3bc070984ab7d</x:v>
      </x:c>
      <x:c r="I470" s="36" t="n">
        <x:v>2</x:v>
      </x:c>
      <x:c r="J470" s="36" t="str">
        <x:v>Development evidence</x:v>
      </x:c>
      <x:c r="K470" s="36" t="str">
        <x:v>DIRECT</x:v>
      </x:c>
      <x:c r="L470" s="36" t="str">
        <x:v>build, checksum, qa, sprint, test</x:v>
      </x:c>
      <x:c r="M470" s="36" t="str">
        <x:v>Retain read-only; current authority remains 00–34.</x:v>
      </x:c>
      <x:c r="N470" s="36" t="str">
        <x:v>33 risk/continuity context</x:v>
      </x:c>
      <x:c r="O470" s="36" t="str">
        <x:v>10_Development_Records/Sprint_03/QA/S3.4_Build_Execution_Record.md</x:v>
      </x:c>
    </x:row>
    <x:row r="471">
      <x:c r="A471" s="27" t="str">
        <x:v>HIST-0467</x:v>
      </x:c>
      <x:c r="B471" s="27" t="str">
        <x:v>10_Development_Records</x:v>
      </x:c>
      <x:c r="C471" s="27" t="str"/>
      <x:c r="D471" s="27" t="str">
        <x:v>Sprint 03</x:v>
      </x:c>
      <x:c r="E471" s="36" t="str">
        <x:v>S3.4_Validation_Checklist.md</x:v>
      </x:c>
      <x:c r="F471" s="36" t="str">
        <x:v>MD</x:v>
      </x:c>
      <x:c r="G471" s="54" t="n">
        <x:v>1892</x:v>
      </x:c>
      <x:c r="H471" s="36" t="str">
        <x:v>52fce0bcde72678d3b864e12c3ab0a0a39eef2f3d1c321d94d7c55c21ab65027</x:v>
      </x:c>
      <x:c r="I471" s="36" t="n">
        <x:v>2</x:v>
      </x:c>
      <x:c r="J471" s="36" t="str">
        <x:v>Development evidence</x:v>
      </x:c>
      <x:c r="K471" s="36" t="str">
        <x:v>DIRECT</x:v>
      </x:c>
      <x:c r="L471" s="36" t="str">
        <x:v>build, closure, qa, sprint, test, validation</x:v>
      </x:c>
      <x:c r="M471" s="36" t="str">
        <x:v>Retain read-only; current authority remains 00–34.</x:v>
      </x:c>
      <x:c r="N471" s="36" t="str">
        <x:v>33 risk/continuity context</x:v>
      </x:c>
      <x:c r="O471" s="36" t="str">
        <x:v>10_Development_Records/Sprint_03/QA/S3.4_Validation_Checklist.md</x:v>
      </x:c>
    </x:row>
    <x:row r="472">
      <x:c r="A472" s="27" t="str">
        <x:v>HIST-0468</x:v>
      </x:c>
      <x:c r="B472" s="27" t="str">
        <x:v>10_Development_Records</x:v>
      </x:c>
      <x:c r="C472" s="27" t="str"/>
      <x:c r="D472" s="27" t="str">
        <x:v>Sprint 03</x:v>
      </x:c>
      <x:c r="E472" s="36" t="str">
        <x:v>S3_Acceptance_Matrix.md</x:v>
      </x:c>
      <x:c r="F472" s="36" t="str">
        <x:v>MD</x:v>
      </x:c>
      <x:c r="G472" s="54" t="n">
        <x:v>1643</x:v>
      </x:c>
      <x:c r="H472" s="36" t="str">
        <x:v>dcd3a753ec03bf462ed61fee96f551716970f05a54702fcec5ebdc271bda15b7</x:v>
      </x:c>
      <x:c r="I472" s="36" t="n">
        <x:v>2</x:v>
      </x:c>
      <x:c r="J472" s="36" t="str">
        <x:v>Development evidence</x:v>
      </x:c>
      <x:c r="K472" s="36" t="str">
        <x:v>SUPPORTING</x:v>
      </x:c>
      <x:c r="L472" s="36" t="str">
        <x:v>acceptance, build, qa, sprint</x:v>
      </x:c>
      <x:c r="M472" s="36" t="str">
        <x:v>Retain read-only; current authority remains 00–34.</x:v>
      </x:c>
      <x:c r="N472" s="36" t="str">
        <x:v>33 risk/continuity context</x:v>
      </x:c>
      <x:c r="O472" s="36" t="str">
        <x:v>10_Development_Records/Sprint_03/QA/S3_Acceptance_Matrix.md</x:v>
      </x:c>
    </x:row>
    <x:row r="473">
      <x:c r="A473" s="27" t="str">
        <x:v>HIST-0469</x:v>
      </x:c>
      <x:c r="B473" s="27" t="str">
        <x:v>10_Development_Records</x:v>
      </x:c>
      <x:c r="C473" s="27" t="str"/>
      <x:c r="D473" s="27" t="str">
        <x:v>Sprint 03</x:v>
      </x:c>
      <x:c r="E473" s="36" t="str">
        <x:v>S3_QA_Execution_Record.md</x:v>
      </x:c>
      <x:c r="F473" s="36" t="str">
        <x:v>MD</x:v>
      </x:c>
      <x:c r="G473" s="54" t="n">
        <x:v>2573</x:v>
      </x:c>
      <x:c r="H473" s="36" t="str">
        <x:v>c36caf9cccc1d762ab9f201d7eaedf2e07ae88f1787d7ed0df6bf13305850116</x:v>
      </x:c>
      <x:c r="I473" s="36" t="n">
        <x:v>2</x:v>
      </x:c>
      <x:c r="J473" s="36" t="str">
        <x:v>Development evidence</x:v>
      </x:c>
      <x:c r="K473" s="36" t="str">
        <x:v>DIRECT</x:v>
      </x:c>
      <x:c r="L473" s="36" t="str">
        <x:v>build, incident, qa, sprint, test, validation</x:v>
      </x:c>
      <x:c r="M473" s="36" t="str">
        <x:v>Retain read-only; current authority remains 00–34.</x:v>
      </x:c>
      <x:c r="N473" s="36" t="str">
        <x:v>33 risk/continuity context</x:v>
      </x:c>
      <x:c r="O473" s="36" t="str">
        <x:v>10_Development_Records/Sprint_03/QA/S3_QA_Execution_Record.md</x:v>
      </x:c>
    </x:row>
    <x:row r="474">
      <x:c r="A474" s="27" t="str">
        <x:v>HIST-0470</x:v>
      </x:c>
      <x:c r="B474" s="27" t="str">
        <x:v>10_Development_Records</x:v>
      </x:c>
      <x:c r="C474" s="27" t="str"/>
      <x:c r="D474" s="27" t="str">
        <x:v>Sprint 03</x:v>
      </x:c>
      <x:c r="E474" s="36" t="str">
        <x:v>S3_Applied_Changes_Report.md</x:v>
      </x:c>
      <x:c r="F474" s="36" t="str">
        <x:v>MD</x:v>
      </x:c>
      <x:c r="G474" s="54" t="n">
        <x:v>2337</x:v>
      </x:c>
      <x:c r="H474" s="36" t="str">
        <x:v>4c3a236418697f0ad9746eb7042a6beca9a5df75d617a6f814f2c042b1f38a44</x:v>
      </x:c>
      <x:c r="I474" s="36" t="n">
        <x:v>2</x:v>
      </x:c>
      <x:c r="J474" s="36" t="str">
        <x:v>Development evidence</x:v>
      </x:c>
      <x:c r="K474" s="36" t="str">
        <x:v>DIRECT</x:v>
      </x:c>
      <x:c r="L474" s="36" t="str">
        <x:v>build, closure, incident, sprint, test, validation</x:v>
      </x:c>
      <x:c r="M474" s="36" t="str">
        <x:v>Retain read-only; current authority remains 00–34.</x:v>
      </x:c>
      <x:c r="N474" s="36" t="str">
        <x:v>33 risk/continuity context</x:v>
      </x:c>
      <x:c r="O474" s="36" t="str">
        <x:v>10_Development_Records/Sprint_03/S3_Applied_Changes_Report.md</x:v>
      </x:c>
    </x:row>
    <x:row r="475">
      <x:c r="A475" s="27" t="str">
        <x:v>HIST-0471</x:v>
      </x:c>
      <x:c r="B475" s="27" t="str">
        <x:v>10_Development_Records</x:v>
      </x:c>
      <x:c r="C475" s="27" t="str"/>
      <x:c r="D475" s="27" t="str">
        <x:v>Sprint 03</x:v>
      </x:c>
      <x:c r="E475" s="36" t="str">
        <x:v>Sprint_03_Closure_Report.md</x:v>
      </x:c>
      <x:c r="F475" s="36" t="str">
        <x:v>MD</x:v>
      </x:c>
      <x:c r="G475" s="54" t="n">
        <x:v>2034</x:v>
      </x:c>
      <x:c r="H475" s="36" t="str">
        <x:v>48d29b9fe0b1c87abd372919283cf390565a14d55092d5793e178cf431b1795a</x:v>
      </x:c>
      <x:c r="I475" s="36" t="n">
        <x:v>2</x:v>
      </x:c>
      <x:c r="J475" s="36" t="str">
        <x:v>Development evidence</x:v>
      </x:c>
      <x:c r="K475" s="36" t="str">
        <x:v>DIRECT</x:v>
      </x:c>
      <x:c r="L475" s="36" t="str">
        <x:v>build, closure, dependency, incident, qa, release, roadmap, sprint, test, validation</x:v>
      </x:c>
      <x:c r="M475" s="36" t="str">
        <x:v>Retain read-only; current authority remains 00–34.</x:v>
      </x:c>
      <x:c r="N475" s="36" t="str">
        <x:v>33 risk/continuity context</x:v>
      </x:c>
      <x:c r="O475" s="36" t="str">
        <x:v>10_Development_Records/Sprint_03/Sprint_03_Closure_Report.md</x:v>
      </x:c>
    </x:row>
    <x:row r="476">
      <x:c r="A476" s="27" t="str">
        <x:v>HIST-0472</x:v>
      </x:c>
      <x:c r="B476" s="27" t="str">
        <x:v>10_Development_Records</x:v>
      </x:c>
      <x:c r="C476" s="27" t="str"/>
      <x:c r="D476" s="27" t="str">
        <x:v>Sprint 03</x:v>
      </x:c>
      <x:c r="E476" s="36" t="str">
        <x:v>S3_Document_Impact_Working_Matrix.md</x:v>
      </x:c>
      <x:c r="F476" s="36" t="str">
        <x:v>MD</x:v>
      </x:c>
      <x:c r="G476" s="54" t="n">
        <x:v>1866</x:v>
      </x:c>
      <x:c r="H476" s="36" t="str">
        <x:v>fe4330b2e7baf6e2285595b8373e6859890c24fd5cc358c71752bb41ba471ecf</x:v>
      </x:c>
      <x:c r="I476" s="36" t="n">
        <x:v>2</x:v>
      </x:c>
      <x:c r="J476" s="36" t="str">
        <x:v>Development evidence</x:v>
      </x:c>
      <x:c r="K476" s="36" t="str">
        <x:v>DIRECT</x:v>
      </x:c>
      <x:c r="L476" s="36" t="str">
        <x:v>adr, build, closure, incident, qa, roadmap, sprint, test, validation</x:v>
      </x:c>
      <x:c r="M476" s="36" t="str">
        <x:v>Retain read-only; current authority remains 00–34.</x:v>
      </x:c>
      <x:c r="N476" s="36" t="str">
        <x:v>33 risk/continuity context</x:v>
      </x:c>
      <x:c r="O476" s="36" t="str">
        <x:v>10_Development_Records/Sprint_03/Traceability/S3_Document_Impact_Working_Matrix.md</x:v>
      </x:c>
    </x:row>
    <x:row r="477">
      <x:c r="A477" s="27" t="str">
        <x:v>HIST-0473</x:v>
      </x:c>
      <x:c r="B477" s="27" t="str">
        <x:v>10_Development_Records</x:v>
      </x:c>
      <x:c r="C477" s="27" t="str"/>
      <x:c r="D477" s="27" t="str">
        <x:v>Sprint 03</x:v>
      </x:c>
      <x:c r="E477" s="36" t="str">
        <x:v>S3_Traceability_Entries.csv</x:v>
      </x:c>
      <x:c r="F477" s="36" t="str">
        <x:v>CSV</x:v>
      </x:c>
      <x:c r="G477" s="54" t="n">
        <x:v>2919</x:v>
      </x:c>
      <x:c r="H477" s="36" t="str">
        <x:v>1291d4483711d8633014f762760dfa4fb29be3ff6a0888daa49f304618a29e9e</x:v>
      </x:c>
      <x:c r="I477" s="36" t="n">
        <x:v>2</x:v>
      </x:c>
      <x:c r="J477" s="36" t="str">
        <x:v>Development evidence</x:v>
      </x:c>
      <x:c r="K477" s="36" t="str">
        <x:v>DIRECT</x:v>
      </x:c>
      <x:c r="L477" s="36" t="str">
        <x:v>adr, build, closure, incident, qa, sprint, test</x:v>
      </x:c>
      <x:c r="M477" s="36" t="str">
        <x:v>Retain read-only; current authority remains 00–34.</x:v>
      </x:c>
      <x:c r="N477" s="36" t="str">
        <x:v>33 risk/continuity context</x:v>
      </x:c>
      <x:c r="O477" s="36" t="str">
        <x:v>10_Development_Records/Sprint_03/Traceability/S3_Traceability_Entries.csv</x:v>
      </x:c>
    </x:row>
    <x:row r="478">
      <x:c r="A478" s="27" t="str">
        <x:v>HIST-0474</x:v>
      </x:c>
      <x:c r="B478" s="27" t="str">
        <x:v>10_Development_Records</x:v>
      </x:c>
      <x:c r="C478" s="27" t="str"/>
      <x:c r="D478" s="27" t="str">
        <x:v>Sprint 04</x:v>
      </x:c>
      <x:c r="E478" s="36" t="str">
        <x:v>S4_4.4_PostImplementation_Record.md</x:v>
      </x:c>
      <x:c r="F478" s="36" t="str">
        <x:v>MD</x:v>
      </x:c>
      <x:c r="G478" s="54" t="n">
        <x:v>1186</x:v>
      </x:c>
      <x:c r="H478" s="36" t="str">
        <x:v>561dc5549c7c89740905004bd43c03d73737f0c5b8c63843784712cebcf07828</x:v>
      </x:c>
      <x:c r="I478" s="36" t="n">
        <x:v>2</x:v>
      </x:c>
      <x:c r="J478" s="36" t="str">
        <x:v>Development evidence</x:v>
      </x:c>
      <x:c r="K478" s="36" t="str">
        <x:v>DIRECT</x:v>
      </x:c>
      <x:c r="L478" s="36" t="str">
        <x:v>acceptance, build, closure, qa, sprint, test, validation</x:v>
      </x:c>
      <x:c r="M478" s="36" t="str">
        <x:v>Retain read-only; current authority remains 00–34.</x:v>
      </x:c>
      <x:c r="N478" s="36" t="str">
        <x:v>33 risk/continuity context</x:v>
      </x:c>
      <x:c r="O478" s="36" t="str">
        <x:v>10_Development_Records/Sprint_04/Documentation/S4_4.4_PostImplementation_Record.md</x:v>
      </x:c>
    </x:row>
    <x:row r="479">
      <x:c r="A479" s="27" t="str">
        <x:v>HIST-0475</x:v>
      </x:c>
      <x:c r="B479" s="27" t="str">
        <x:v>10_Development_Records</x:v>
      </x:c>
      <x:c r="C479" s="27" t="str"/>
      <x:c r="D479" s="27" t="str">
        <x:v>Sprint 04</x:v>
      </x:c>
      <x:c r="E479" s="36" t="str">
        <x:v>S4_Living_Documentation_Update.md</x:v>
      </x:c>
      <x:c r="F479" s="36" t="str">
        <x:v>MD</x:v>
      </x:c>
      <x:c r="G479" s="54" t="n">
        <x:v>1127</x:v>
      </x:c>
      <x:c r="H479" s="36" t="str">
        <x:v>8a1bf9903a94e17fe199a67468adf1c986bc2e7a5593413d737e8eefdbb4ab84</x:v>
      </x:c>
      <x:c r="I479" s="36" t="n">
        <x:v>2</x:v>
      </x:c>
      <x:c r="J479" s="36" t="str">
        <x:v>Development evidence</x:v>
      </x:c>
      <x:c r="K479" s="36" t="str">
        <x:v>SUPPORTING</x:v>
      </x:c>
      <x:c r="L479" s="36" t="str">
        <x:v>roadmap, sprint, test, validation</x:v>
      </x:c>
      <x:c r="M479" s="36" t="str">
        <x:v>Retain read-only; current authority remains 00–34.</x:v>
      </x:c>
      <x:c r="N479" s="36" t="str">
        <x:v>33 risk/continuity context</x:v>
      </x:c>
      <x:c r="O479" s="36" t="str">
        <x:v>10_Development_Records/Sprint_04/Documentation/S4_Living_Documentation_Update.md</x:v>
      </x:c>
    </x:row>
    <x:row r="480">
      <x:c r="A480" s="27" t="str">
        <x:v>HIST-0476</x:v>
      </x:c>
      <x:c r="B480" s="27" t="str">
        <x:v>10_Development_Records</x:v>
      </x:c>
      <x:c r="C480" s="27" t="str"/>
      <x:c r="D480" s="27" t="str">
        <x:v>Sprint 04</x:v>
      </x:c>
      <x:c r="E480" s="36" t="str">
        <x:v>ADR-0016_Grid_Coordinate_And_Footprint_Foundation.md</x:v>
      </x:c>
      <x:c r="F480" s="36" t="str">
        <x:v>MD</x:v>
      </x:c>
      <x:c r="G480" s="54" t="n">
        <x:v>1157</x:v>
      </x:c>
      <x:c r="H480" s="36" t="str">
        <x:v>84ffb0f806ec18937785dc30f5410a0be471ea75deeeb3d23021657ff513d622</x:v>
      </x:c>
      <x:c r="I480" s="36" t="n">
        <x:v>2</x:v>
      </x:c>
      <x:c r="J480" s="36" t="str">
        <x:v>Development evidence</x:v>
      </x:c>
      <x:c r="K480" s="36" t="str">
        <x:v>SUPPORTING</x:v>
      </x:c>
      <x:c r="L480" s="36" t="str">
        <x:v>adr, sprint, validation</x:v>
      </x:c>
      <x:c r="M480" s="36" t="str">
        <x:v>Retain read-only; current authority remains 00–34.</x:v>
      </x:c>
      <x:c r="N480" s="36" t="str">
        <x:v>33 risk/continuity context</x:v>
      </x:c>
      <x:c r="O480" s="36" t="str">
        <x:v>10_Development_Records/Sprint_04/Governance/ADR-0016_Grid_Coordinate_And_Footprint_Foundation.md</x:v>
      </x:c>
    </x:row>
    <x:row r="481">
      <x:c r="A481" s="27" t="str">
        <x:v>HIST-0477</x:v>
      </x:c>
      <x:c r="B481" s="27" t="str">
        <x:v>10_Development_Records</x:v>
      </x:c>
      <x:c r="C481" s="27" t="str"/>
      <x:c r="D481" s="27" t="str">
        <x:v>Sprint 04</x:v>
      </x:c>
      <x:c r="E481" s="36" t="str">
        <x:v>ADR-0017_Placement_Preview_And_Rotation.md</x:v>
      </x:c>
      <x:c r="F481" s="36" t="str">
        <x:v>MD</x:v>
      </x:c>
      <x:c r="G481" s="54" t="n">
        <x:v>1125</x:v>
      </x:c>
      <x:c r="H481" s="36" t="str">
        <x:v>996ccbe4400bc1971fea44b1d1e89b7a0cbe30437fa660283af16e79b8f18965</x:v>
      </x:c>
      <x:c r="I481" s="36" t="n">
        <x:v>2</x:v>
      </x:c>
      <x:c r="J481" s="36" t="str">
        <x:v>Development evidence</x:v>
      </x:c>
      <x:c r="K481" s="36" t="str">
        <x:v>SUPPORTING</x:v>
      </x:c>
      <x:c r="L481" s="36" t="str">
        <x:v>adr, sprint, test, validation</x:v>
      </x:c>
      <x:c r="M481" s="36" t="str">
        <x:v>Retain read-only; current authority remains 00–34.</x:v>
      </x:c>
      <x:c r="N481" s="36" t="str">
        <x:v>33 risk/continuity context</x:v>
      </x:c>
      <x:c r="O481" s="36" t="str">
        <x:v>10_Development_Records/Sprint_04/Governance/ADR-0017_Placement_Preview_And_Rotation.md</x:v>
      </x:c>
    </x:row>
    <x:row r="482">
      <x:c r="A482" s="27" t="str">
        <x:v>HIST-0478</x:v>
      </x:c>
      <x:c r="B482" s="27" t="str">
        <x:v>10_Development_Records</x:v>
      </x:c>
      <x:c r="C482" s="27" t="str"/>
      <x:c r="D482" s="27" t="str">
        <x:v>Sprint 04</x:v>
      </x:c>
      <x:c r="E482" s="36" t="str">
        <x:v>ADR-0018_Atomic_Occupancy_And_Placement_Mode.md</x:v>
      </x:c>
      <x:c r="F482" s="36" t="str">
        <x:v>MD</x:v>
      </x:c>
      <x:c r="G482" s="54" t="n">
        <x:v>1439</x:v>
      </x:c>
      <x:c r="H482" s="36" t="str">
        <x:v>3cdafe143aedd7a015756ec256b6c92be2aaaa918c33499421589d3fb51177e1</x:v>
      </x:c>
      <x:c r="I482" s="36" t="n">
        <x:v>2</x:v>
      </x:c>
      <x:c r="J482" s="36" t="str">
        <x:v>Development evidence</x:v>
      </x:c>
      <x:c r="K482" s="36" t="str">
        <x:v>DIRECT</x:v>
      </x:c>
      <x:c r="L482" s="36" t="str">
        <x:v>adr, release, sprint, test, validation</x:v>
      </x:c>
      <x:c r="M482" s="36" t="str">
        <x:v>Retain read-only; current authority remains 00–34.</x:v>
      </x:c>
      <x:c r="N482" s="36" t="str">
        <x:v>33 risk/continuity context</x:v>
      </x:c>
      <x:c r="O482" s="36" t="str">
        <x:v>10_Development_Records/Sprint_04/Governance/ADR-0018_Atomic_Occupancy_And_Placement_Mode.md</x:v>
      </x:c>
    </x:row>
    <x:row r="483">
      <x:c r="A483" s="27" t="str">
        <x:v>HIST-0479</x:v>
      </x:c>
      <x:c r="B483" s="27" t="str">
        <x:v>10_Development_Records</x:v>
      </x:c>
      <x:c r="C483" s="27" t="str"/>
      <x:c r="D483" s="27" t="str">
        <x:v>Sprint 04</x:v>
      </x:c>
      <x:c r="E483" s="36" t="str">
        <x:v>ADR-0019_Sprint_04_Final_Integration_And_Build_Gate.md</x:v>
      </x:c>
      <x:c r="F483" s="36" t="str">
        <x:v>MD</x:v>
      </x:c>
      <x:c r="G483" s="54" t="n">
        <x:v>1324</x:v>
      </x:c>
      <x:c r="H483" s="36" t="str">
        <x:v>f78c4971ab6969d8d3f302b93ceb5dbf30f2d553f433122bd8d24eb12fa7dff3</x:v>
      </x:c>
      <x:c r="I483" s="36" t="n">
        <x:v>2</x:v>
      </x:c>
      <x:c r="J483" s="36" t="str">
        <x:v>Development evidence</x:v>
      </x:c>
      <x:c r="K483" s="36" t="str">
        <x:v>DIRECT</x:v>
      </x:c>
      <x:c r="L483" s="36" t="str">
        <x:v>adr, build, risk, sprint, test, validation</x:v>
      </x:c>
      <x:c r="M483" s="36" t="str">
        <x:v>Retain read-only; current authority remains 00–34.</x:v>
      </x:c>
      <x:c r="N483" s="36" t="str">
        <x:v>33 risk/continuity context</x:v>
      </x:c>
      <x:c r="O483" s="36" t="str">
        <x:v>10_Development_Records/Sprint_04/Governance/ADR-0019_Sprint_04_Final_Integration_And_Build_Gate.md</x:v>
      </x:c>
    </x:row>
    <x:row r="484">
      <x:c r="A484" s="27" t="str">
        <x:v>HIST-0480</x:v>
      </x:c>
      <x:c r="B484" s="27" t="str">
        <x:v>10_Development_Records</x:v>
      </x:c>
      <x:c r="C484" s="27" t="str"/>
      <x:c r="D484" s="27" t="str">
        <x:v>Sprint 04</x:v>
      </x:c>
      <x:c r="E484" s="36" t="str">
        <x:v>Sprint_04_Charter.md</x:v>
      </x:c>
      <x:c r="F484" s="36" t="str">
        <x:v>MD</x:v>
      </x:c>
      <x:c r="G484" s="54" t="n">
        <x:v>2582</x:v>
      </x:c>
      <x:c r="H484" s="36" t="str">
        <x:v>637c1436311f22acccbe165c186729d1f652a84a9c913eda06e0b4124ce90aa7</x:v>
      </x:c>
      <x:c r="I484" s="36" t="n">
        <x:v>2</x:v>
      </x:c>
      <x:c r="J484" s="36" t="str">
        <x:v>Development evidence</x:v>
      </x:c>
      <x:c r="K484" s="36" t="str">
        <x:v>DIRECT</x:v>
      </x:c>
      <x:c r="L484" s="36" t="str">
        <x:v>build, closure, dependency, qa, save, sprint, test, validation</x:v>
      </x:c>
      <x:c r="M484" s="36" t="str">
        <x:v>Retain read-only; current authority remains 00–34.</x:v>
      </x:c>
      <x:c r="N484" s="36" t="str">
        <x:v>33 risk/continuity context</x:v>
      </x:c>
      <x:c r="O484" s="36" t="str">
        <x:v>10_Development_Records/Sprint_04/Governance/Sprint_04_Charter.md</x:v>
      </x:c>
    </x:row>
    <x:row r="485">
      <x:c r="A485" s="27" t="str">
        <x:v>HIST-0481</x:v>
      </x:c>
      <x:c r="B485" s="27" t="str">
        <x:v>10_Development_Records</x:v>
      </x:c>
      <x:c r="C485" s="27" t="str"/>
      <x:c r="D485" s="27" t="str">
        <x:v>Sprint 04</x:v>
      </x:c>
      <x:c r="E485" s="36" t="str">
        <x:v>Sprint_04_Current_Status.md</x:v>
      </x:c>
      <x:c r="F485" s="36" t="str">
        <x:v>MD</x:v>
      </x:c>
      <x:c r="G485" s="54" t="n">
        <x:v>2339</x:v>
      </x:c>
      <x:c r="H485" s="36" t="str">
        <x:v>aa5c70956ee39b9b3d3ac6bfa075cc267f0544f776de636fb49e5abe03d8998d</x:v>
      </x:c>
      <x:c r="I485" s="36" t="n">
        <x:v>2</x:v>
      </x:c>
      <x:c r="J485" s="36" t="str">
        <x:v>Development evidence</x:v>
      </x:c>
      <x:c r="K485" s="36" t="str">
        <x:v>DIRECT</x:v>
      </x:c>
      <x:c r="L485" s="36" t="str">
        <x:v>build, checksum, closure, current_status, release, sprint, test, validation</x:v>
      </x:c>
      <x:c r="M485" s="36" t="str">
        <x:v>Retain read-only; current authority remains 00–34.</x:v>
      </x:c>
      <x:c r="N485" s="36" t="str">
        <x:v>33 risk/continuity context</x:v>
      </x:c>
      <x:c r="O485" s="36" t="str">
        <x:v>10_Development_Records/Sprint_04/Governance/Sprint_04_Current_Status.md</x:v>
      </x:c>
    </x:row>
    <x:row r="486">
      <x:c r="A486" s="27" t="str">
        <x:v>HIST-0482</x:v>
      </x:c>
      <x:c r="B486" s="27" t="str">
        <x:v>10_Development_Records</x:v>
      </x:c>
      <x:c r="C486" s="27" t="str"/>
      <x:c r="D486" s="27" t="str">
        <x:v>Sprint 04</x:v>
      </x:c>
      <x:c r="E486" s="36" t="str">
        <x:v>S4.1_Validation_Checklist.md</x:v>
      </x:c>
      <x:c r="F486" s="36" t="str">
        <x:v>MD</x:v>
      </x:c>
      <x:c r="G486" s="54" t="n">
        <x:v>594</x:v>
      </x:c>
      <x:c r="H486" s="36" t="str">
        <x:v>4daee65527260559801d1bcb435232c0c1f15966f4f45bde43628a95c577dbe8</x:v>
      </x:c>
      <x:c r="I486" s="36" t="n">
        <x:v>2</x:v>
      </x:c>
      <x:c r="J486" s="36" t="str">
        <x:v>Development evidence</x:v>
      </x:c>
      <x:c r="K486" s="36" t="str">
        <x:v>DIRECT</x:v>
      </x:c>
      <x:c r="L486" s="36" t="str">
        <x:v>build, qa, sprint, test, validation</x:v>
      </x:c>
      <x:c r="M486" s="36" t="str">
        <x:v>Retain read-only; current authority remains 00–34.</x:v>
      </x:c>
      <x:c r="N486" s="36" t="str">
        <x:v>33 risk/continuity context</x:v>
      </x:c>
      <x:c r="O486" s="36" t="str">
        <x:v>10_Development_Records/Sprint_04/QA/S4.1_Validation_Checklist.md</x:v>
      </x:c>
    </x:row>
    <x:row r="487">
      <x:c r="A487" s="27" t="str">
        <x:v>HIST-0483</x:v>
      </x:c>
      <x:c r="B487" s="27" t="str">
        <x:v>10_Development_Records</x:v>
      </x:c>
      <x:c r="C487" s="27" t="str"/>
      <x:c r="D487" s="27" t="str">
        <x:v>Sprint 04</x:v>
      </x:c>
      <x:c r="E487" s="36" t="str">
        <x:v>S4.2_Validation_Checklist.md</x:v>
      </x:c>
      <x:c r="F487" s="36" t="str">
        <x:v>MD</x:v>
      </x:c>
      <x:c r="G487" s="54" t="n">
        <x:v>672</x:v>
      </x:c>
      <x:c r="H487" s="36" t="str">
        <x:v>7947d8708859cc6b5175331acf6e36cf44438788f243c179b53e6818cdb7f466</x:v>
      </x:c>
      <x:c r="I487" s="36" t="n">
        <x:v>2</x:v>
      </x:c>
      <x:c r="J487" s="36" t="str">
        <x:v>Development evidence</x:v>
      </x:c>
      <x:c r="K487" s="36" t="str">
        <x:v>SUPPORTING</x:v>
      </x:c>
      <x:c r="L487" s="36" t="str">
        <x:v>qa, sprint, test, validation</x:v>
      </x:c>
      <x:c r="M487" s="36" t="str">
        <x:v>Retain read-only; current authority remains 00–34.</x:v>
      </x:c>
      <x:c r="N487" s="36" t="str">
        <x:v>33 risk/continuity context</x:v>
      </x:c>
      <x:c r="O487" s="36" t="str">
        <x:v>10_Development_Records/Sprint_04/QA/S4.2_Validation_Checklist.md</x:v>
      </x:c>
    </x:row>
    <x:row r="488">
      <x:c r="A488" s="27" t="str">
        <x:v>HIST-0484</x:v>
      </x:c>
      <x:c r="B488" s="27" t="str">
        <x:v>10_Development_Records</x:v>
      </x:c>
      <x:c r="C488" s="27" t="str"/>
      <x:c r="D488" s="27" t="str">
        <x:v>Sprint 04</x:v>
      </x:c>
      <x:c r="E488" s="36" t="str">
        <x:v>S4.3_Validation_Checklist.md</x:v>
      </x:c>
      <x:c r="F488" s="36" t="str">
        <x:v>MD</x:v>
      </x:c>
      <x:c r="G488" s="54" t="n">
        <x:v>830</x:v>
      </x:c>
      <x:c r="H488" s="36" t="str">
        <x:v>9d54905170c7ae7daffda84bc479882bd5b7a25667e30ce31dd4aadf38a1cdda</x:v>
      </x:c>
      <x:c r="I488" s="36" t="n">
        <x:v>2</x:v>
      </x:c>
      <x:c r="J488" s="36" t="str">
        <x:v>Development evidence</x:v>
      </x:c>
      <x:c r="K488" s="36" t="str">
        <x:v>SUPPORTING</x:v>
      </x:c>
      <x:c r="L488" s="36" t="str">
        <x:v>qa, sprint, test, validation</x:v>
      </x:c>
      <x:c r="M488" s="36" t="str">
        <x:v>Retain read-only; current authority remains 00–34.</x:v>
      </x:c>
      <x:c r="N488" s="36" t="str">
        <x:v>33 risk/continuity context</x:v>
      </x:c>
      <x:c r="O488" s="36" t="str">
        <x:v>10_Development_Records/Sprint_04/QA/S4.3_Validation_Checklist.md</x:v>
      </x:c>
    </x:row>
    <x:row r="489">
      <x:c r="A489" s="27" t="str">
        <x:v>HIST-0485</x:v>
      </x:c>
      <x:c r="B489" s="27" t="str">
        <x:v>10_Development_Records</x:v>
      </x:c>
      <x:c r="C489" s="27" t="str"/>
      <x:c r="D489" s="27" t="str">
        <x:v>Sprint 04</x:v>
      </x:c>
      <x:c r="E489" s="36" t="str">
        <x:v>S4.4_Build_Execution_Record.md</x:v>
      </x:c>
      <x:c r="F489" s="36" t="str">
        <x:v>MD</x:v>
      </x:c>
      <x:c r="G489" s="54" t="n">
        <x:v>1164</x:v>
      </x:c>
      <x:c r="H489" s="36" t="str">
        <x:v>6f662c5fe7ccef7a3080584798ccf51c720d4ade1dc50b1be2f8c4c107da529d</x:v>
      </x:c>
      <x:c r="I489" s="36" t="n">
        <x:v>2</x:v>
      </x:c>
      <x:c r="J489" s="36" t="str">
        <x:v>Development evidence</x:v>
      </x:c>
      <x:c r="K489" s="36" t="str">
        <x:v>SUPPORTING</x:v>
      </x:c>
      <x:c r="L489" s="36" t="str">
        <x:v>build, checksum, qa, sprint</x:v>
      </x:c>
      <x:c r="M489" s="36" t="str">
        <x:v>Retain read-only; current authority remains 00–34.</x:v>
      </x:c>
      <x:c r="N489" s="36" t="str">
        <x:v>33 risk/continuity context</x:v>
      </x:c>
      <x:c r="O489" s="36" t="str">
        <x:v>10_Development_Records/Sprint_04/QA/S4.4_Build_Execution_Record.md</x:v>
      </x:c>
    </x:row>
    <x:row r="490">
      <x:c r="A490" s="27" t="str">
        <x:v>HIST-0486</x:v>
      </x:c>
      <x:c r="B490" s="27" t="str">
        <x:v>10_Development_Records</x:v>
      </x:c>
      <x:c r="C490" s="27" t="str"/>
      <x:c r="D490" s="27" t="str">
        <x:v>Sprint 04</x:v>
      </x:c>
      <x:c r="E490" s="36" t="str">
        <x:v>S4.4_Validation_Checklist.md</x:v>
      </x:c>
      <x:c r="F490" s="36" t="str">
        <x:v>MD</x:v>
      </x:c>
      <x:c r="G490" s="54" t="n">
        <x:v>1638</x:v>
      </x:c>
      <x:c r="H490" s="36" t="str">
        <x:v>b24bd7794a9e1143df30f7930936e6e08dbd8e4a6614384b13e493fbd31972a7</x:v>
      </x:c>
      <x:c r="I490" s="36" t="n">
        <x:v>2</x:v>
      </x:c>
      <x:c r="J490" s="36" t="str">
        <x:v>Development evidence</x:v>
      </x:c>
      <x:c r="K490" s="36" t="str">
        <x:v>DIRECT</x:v>
      </x:c>
      <x:c r="L490" s="36" t="str">
        <x:v>build, closure, qa, sprint, test, validation</x:v>
      </x:c>
      <x:c r="M490" s="36" t="str">
        <x:v>Retain read-only; current authority remains 00–34.</x:v>
      </x:c>
      <x:c r="N490" s="36" t="str">
        <x:v>33 risk/continuity context</x:v>
      </x:c>
      <x:c r="O490" s="36" t="str">
        <x:v>10_Development_Records/Sprint_04/QA/S4.4_Validation_Checklist.md</x:v>
      </x:c>
    </x:row>
    <x:row r="491">
      <x:c r="A491" s="27" t="str">
        <x:v>HIST-0487</x:v>
      </x:c>
      <x:c r="B491" s="27" t="str">
        <x:v>10_Development_Records</x:v>
      </x:c>
      <x:c r="C491" s="27" t="str"/>
      <x:c r="D491" s="27" t="str">
        <x:v>Sprint 04</x:v>
      </x:c>
      <x:c r="E491" s="36" t="str">
        <x:v>S4_Acceptance_Matrix.md</x:v>
      </x:c>
      <x:c r="F491" s="36" t="str">
        <x:v>MD</x:v>
      </x:c>
      <x:c r="G491" s="54" t="n">
        <x:v>2209</x:v>
      </x:c>
      <x:c r="H491" s="36" t="str">
        <x:v>30a86d51980351f806ef30aa6187ce90857bde474c163d47a6a3396b60522f89</x:v>
      </x:c>
      <x:c r="I491" s="36" t="n">
        <x:v>2</x:v>
      </x:c>
      <x:c r="J491" s="36" t="str">
        <x:v>Development evidence</x:v>
      </x:c>
      <x:c r="K491" s="36" t="str">
        <x:v>DIRECT</x:v>
      </x:c>
      <x:c r="L491" s="36" t="str">
        <x:v>acceptance, build, qa, sprint, test</x:v>
      </x:c>
      <x:c r="M491" s="36" t="str">
        <x:v>Retain read-only; current authority remains 00–34.</x:v>
      </x:c>
      <x:c r="N491" s="36" t="str">
        <x:v>33 risk/continuity context</x:v>
      </x:c>
      <x:c r="O491" s="36" t="str">
        <x:v>10_Development_Records/Sprint_04/QA/S4_Acceptance_Matrix.md</x:v>
      </x:c>
    </x:row>
    <x:row r="492">
      <x:c r="A492" s="27" t="str">
        <x:v>HIST-0488</x:v>
      </x:c>
      <x:c r="B492" s="27" t="str">
        <x:v>10_Development_Records</x:v>
      </x:c>
      <x:c r="C492" s="27" t="str"/>
      <x:c r="D492" s="27" t="str">
        <x:v>Sprint 04</x:v>
      </x:c>
      <x:c r="E492" s="36" t="str">
        <x:v>S4_QA_Execution_Record.md</x:v>
      </x:c>
      <x:c r="F492" s="36" t="str">
        <x:v>MD</x:v>
      </x:c>
      <x:c r="G492" s="54" t="n">
        <x:v>2537</x:v>
      </x:c>
      <x:c r="H492" s="36" t="str">
        <x:v>0c5ec51188fd94404436c7093e01ed0a0d0d75fc466da104e777fd7494aa0603</x:v>
      </x:c>
      <x:c r="I492" s="36" t="n">
        <x:v>2</x:v>
      </x:c>
      <x:c r="J492" s="36" t="str">
        <x:v>Development evidence</x:v>
      </x:c>
      <x:c r="K492" s="36" t="str">
        <x:v>DIRECT</x:v>
      </x:c>
      <x:c r="L492" s="36" t="str">
        <x:v>acceptance, build, closure, incident, qa, release, sprint, test</x:v>
      </x:c>
      <x:c r="M492" s="36" t="str">
        <x:v>Retain read-only; current authority remains 00–34.</x:v>
      </x:c>
      <x:c r="N492" s="36" t="str">
        <x:v>33 risk/continuity context</x:v>
      </x:c>
      <x:c r="O492" s="36" t="str">
        <x:v>10_Development_Records/Sprint_04/QA/S4_QA_Execution_Record.md</x:v>
      </x:c>
    </x:row>
    <x:row r="493">
      <x:c r="A493" s="27" t="str">
        <x:v>HIST-0489</x:v>
      </x:c>
      <x:c r="B493" s="27" t="str">
        <x:v>10_Development_Records</x:v>
      </x:c>
      <x:c r="C493" s="27" t="str"/>
      <x:c r="D493" s="27" t="str">
        <x:v>Sprint 04</x:v>
      </x:c>
      <x:c r="E493" s="36" t="str">
        <x:v>S4_Applied_Changes_Report.md</x:v>
      </x:c>
      <x:c r="F493" s="36" t="str">
        <x:v>MD</x:v>
      </x:c>
      <x:c r="G493" s="54" t="n">
        <x:v>2242</x:v>
      </x:c>
      <x:c r="H493" s="36" t="str">
        <x:v>3518ed53406549356ff971505c94317e56a4630dbeb139f2f38ca1992c9aceba</x:v>
      </x:c>
      <x:c r="I493" s="36" t="n">
        <x:v>2</x:v>
      </x:c>
      <x:c r="J493" s="36" t="str">
        <x:v>Development evidence</x:v>
      </x:c>
      <x:c r="K493" s="36" t="str">
        <x:v>DIRECT</x:v>
      </x:c>
      <x:c r="L493" s="36" t="str">
        <x:v>build, closure, dependency, sprint, test, validation</x:v>
      </x:c>
      <x:c r="M493" s="36" t="str">
        <x:v>Retain read-only; current authority remains 00–34.</x:v>
      </x:c>
      <x:c r="N493" s="36" t="str">
        <x:v>33 risk/continuity context</x:v>
      </x:c>
      <x:c r="O493" s="36" t="str">
        <x:v>10_Development_Records/Sprint_04/S4_Applied_Changes_Report.md</x:v>
      </x:c>
    </x:row>
    <x:row r="494">
      <x:c r="A494" s="27" t="str">
        <x:v>HIST-0490</x:v>
      </x:c>
      <x:c r="B494" s="27" t="str">
        <x:v>10_Development_Records</x:v>
      </x:c>
      <x:c r="C494" s="27" t="str"/>
      <x:c r="D494" s="27" t="str">
        <x:v>Sprint 04</x:v>
      </x:c>
      <x:c r="E494" s="36" t="str">
        <x:v>Sprint_04_Closure_Report.md</x:v>
      </x:c>
      <x:c r="F494" s="36" t="str">
        <x:v>MD</x:v>
      </x:c>
      <x:c r="G494" s="54" t="n">
        <x:v>2350</x:v>
      </x:c>
      <x:c r="H494" s="36" t="str">
        <x:v>caa820477ab6fee79beb3b54d913463b98021e84b6e83f8cfe9f63849b577039</x:v>
      </x:c>
      <x:c r="I494" s="36" t="n">
        <x:v>2</x:v>
      </x:c>
      <x:c r="J494" s="36" t="str">
        <x:v>Development evidence</x:v>
      </x:c>
      <x:c r="K494" s="36" t="str">
        <x:v>DIRECT</x:v>
      </x:c>
      <x:c r="L494" s="36" t="str">
        <x:v>acceptance, build, closure, incident, qa, release, sprint, test, validation</x:v>
      </x:c>
      <x:c r="M494" s="36" t="str">
        <x:v>Retain read-only; current authority remains 00–34.</x:v>
      </x:c>
      <x:c r="N494" s="36" t="str">
        <x:v>33 risk/continuity context</x:v>
      </x:c>
      <x:c r="O494" s="36" t="str">
        <x:v>10_Development_Records/Sprint_04/Sprint_04_Closure_Report.md</x:v>
      </x:c>
    </x:row>
    <x:row r="495">
      <x:c r="A495" s="27" t="str">
        <x:v>HIST-0491</x:v>
      </x:c>
      <x:c r="B495" s="27" t="str">
        <x:v>10_Development_Records</x:v>
      </x:c>
      <x:c r="C495" s="27" t="str"/>
      <x:c r="D495" s="27" t="str">
        <x:v>Sprint 04</x:v>
      </x:c>
      <x:c r="E495" s="36" t="str">
        <x:v>S4.3_Traceability_Record.md</x:v>
      </x:c>
      <x:c r="F495" s="36" t="str">
        <x:v>MD</x:v>
      </x:c>
      <x:c r="G495" s="54" t="n">
        <x:v>712</x:v>
      </x:c>
      <x:c r="H495" s="36" t="str">
        <x:v>f6d4979e93524a0898a0fd44e05ecf24f3206e1d634ad563bfd49162643e3d60</x:v>
      </x:c>
      <x:c r="I495" s="36" t="n">
        <x:v>1</x:v>
      </x:c>
      <x:c r="J495" s="36" t="str">
        <x:v>Development evidence</x:v>
      </x:c>
      <x:c r="K495" s="36" t="str">
        <x:v>SUPPORTING</x:v>
      </x:c>
      <x:c r="L495" s="36" t="str">
        <x:v>qa, sprint, test, validation</x:v>
      </x:c>
      <x:c r="M495" s="36" t="str">
        <x:v>Retain read-only; current authority remains 00–34.</x:v>
      </x:c>
      <x:c r="N495" s="36" t="str">
        <x:v>33 risk/continuity context</x:v>
      </x:c>
      <x:c r="O495" s="36" t="str">
        <x:v>10_Development_Records/Sprint_04/Traceability/S4.3_Traceability_Record.md</x:v>
      </x:c>
    </x:row>
    <x:row r="496">
      <x:c r="A496" s="27" t="str">
        <x:v>HIST-0492</x:v>
      </x:c>
      <x:c r="B496" s="27" t="str">
        <x:v>10_Development_Records</x:v>
      </x:c>
      <x:c r="C496" s="27" t="str"/>
      <x:c r="D496" s="27" t="str">
        <x:v>Sprint 04</x:v>
      </x:c>
      <x:c r="E496" s="36" t="str">
        <x:v>S4_Document_Impact_Working_Matrix.md</x:v>
      </x:c>
      <x:c r="F496" s="36" t="str">
        <x:v>MD</x:v>
      </x:c>
      <x:c r="G496" s="54" t="n">
        <x:v>1258</x:v>
      </x:c>
      <x:c r="H496" s="36" t="str">
        <x:v>34ee42b468d3a8dd9246337d92843efcac8b61edb232464cc63bb3628e39b946</x:v>
      </x:c>
      <x:c r="I496" s="36" t="n">
        <x:v>2</x:v>
      </x:c>
      <x:c r="J496" s="36" t="str">
        <x:v>Development evidence</x:v>
      </x:c>
      <x:c r="K496" s="36" t="str">
        <x:v>DIRECT</x:v>
      </x:c>
      <x:c r="L496" s="36" t="str">
        <x:v>acceptance, build, closure, qa, roadmap, sprint, test</x:v>
      </x:c>
      <x:c r="M496" s="36" t="str">
        <x:v>Retain read-only; current authority remains 00–34.</x:v>
      </x:c>
      <x:c r="N496" s="36" t="str">
        <x:v>33 risk/continuity context</x:v>
      </x:c>
      <x:c r="O496" s="36" t="str">
        <x:v>10_Development_Records/Sprint_04/Traceability/S4_Document_Impact_Working_Matrix.md</x:v>
      </x:c>
    </x:row>
    <x:row r="497">
      <x:c r="A497" s="27" t="str">
        <x:v>HIST-0493</x:v>
      </x:c>
      <x:c r="B497" s="27" t="str">
        <x:v>10_Development_Records</x:v>
      </x:c>
      <x:c r="C497" s="27" t="str"/>
      <x:c r="D497" s="27" t="str">
        <x:v>Sprint 04</x:v>
      </x:c>
      <x:c r="E497" s="36" t="str">
        <x:v>S4_Traceability_Entries.csv</x:v>
      </x:c>
      <x:c r="F497" s="36" t="str">
        <x:v>CSV</x:v>
      </x:c>
      <x:c r="G497" s="54" t="n">
        <x:v>1853</x:v>
      </x:c>
      <x:c r="H497" s="36" t="str">
        <x:v>c2dd2b16a70f7b52a38c76c67f1c0777b6e619dbdd2cf4975d7656dfb9f410ff</x:v>
      </x:c>
      <x:c r="I497" s="36" t="n">
        <x:v>2</x:v>
      </x:c>
      <x:c r="J497" s="36" t="str">
        <x:v>Development evidence</x:v>
      </x:c>
      <x:c r="K497" s="36" t="str">
        <x:v>DIRECT</x:v>
      </x:c>
      <x:c r="L497" s="36" t="str">
        <x:v>build, closure, qa, sprint, test, validation</x:v>
      </x:c>
      <x:c r="M497" s="36" t="str">
        <x:v>Retain read-only; current authority remains 00–34.</x:v>
      </x:c>
      <x:c r="N497" s="36" t="str">
        <x:v>33 risk/continuity context</x:v>
      </x:c>
      <x:c r="O497" s="36" t="str">
        <x:v>10_Development_Records/Sprint_04/Traceability/S4_Traceability_Entries.csv</x:v>
      </x:c>
    </x:row>
    <x:row r="498">
      <x:c r="A498" s="27" t="str">
        <x:v>HIST-0494</x:v>
      </x:c>
      <x:c r="B498" s="27" t="str">
        <x:v>10_Development_Records</x:v>
      </x:c>
      <x:c r="C498" s="27" t="str"/>
      <x:c r="D498" s="27" t="str">
        <x:v>Sprint 05</x:v>
      </x:c>
      <x:c r="E498" s="36" t="str">
        <x:v>S5.2_PreImplementation_Record.md</x:v>
      </x:c>
      <x:c r="F498" s="36" t="str">
        <x:v>MD</x:v>
      </x:c>
      <x:c r="G498" s="54" t="n">
        <x:v>759</x:v>
      </x:c>
      <x:c r="H498" s="36" t="str">
        <x:v>20fc6085c007060615ac12fcc62cf554b09f56aa9b959fa6446469a87c18203c</x:v>
      </x:c>
      <x:c r="I498" s="36" t="n">
        <x:v>1</x:v>
      </x:c>
      <x:c r="J498" s="36" t="str">
        <x:v>Development evidence</x:v>
      </x:c>
      <x:c r="K498" s="36" t="str">
        <x:v>SUPPORTING</x:v>
      </x:c>
      <x:c r="L498" s="36" t="str">
        <x:v>dependency, risk, sprint, test</x:v>
      </x:c>
      <x:c r="M498" s="36" t="str">
        <x:v>Retain read-only; current authority remains 00–34.</x:v>
      </x:c>
      <x:c r="N498" s="36" t="str">
        <x:v>33 risk/continuity context</x:v>
      </x:c>
      <x:c r="O498" s="36" t="str">
        <x:v>10_Development_Records/Sprint_05/Documentation/S5.2_PreImplementation_Record.md</x:v>
      </x:c>
    </x:row>
    <x:row r="499">
      <x:c r="A499" s="27" t="str">
        <x:v>HIST-0495</x:v>
      </x:c>
      <x:c r="B499" s="27" t="str">
        <x:v>10_Development_Records</x:v>
      </x:c>
      <x:c r="C499" s="27" t="str"/>
      <x:c r="D499" s="27" t="str">
        <x:v>Sprint 05</x:v>
      </x:c>
      <x:c r="E499" s="36" t="str">
        <x:v>S5_5.4_PostImplementation_Record.md</x:v>
      </x:c>
      <x:c r="F499" s="36" t="str">
        <x:v>MD</x:v>
      </x:c>
      <x:c r="G499" s="54" t="n">
        <x:v>1625</x:v>
      </x:c>
      <x:c r="H499" s="36" t="str">
        <x:v>80578149d99d8d19960522a7ad446f1da1464c98f5d7ab300f2e8083ba6f3a30</x:v>
      </x:c>
      <x:c r="I499" s="36" t="n">
        <x:v>2</x:v>
      </x:c>
      <x:c r="J499" s="36" t="str">
        <x:v>Development evidence</x:v>
      </x:c>
      <x:c r="K499" s="36" t="str">
        <x:v>DIRECT</x:v>
      </x:c>
      <x:c r="L499" s="36" t="str">
        <x:v>build, closure, sprint, test, validation</x:v>
      </x:c>
      <x:c r="M499" s="36" t="str">
        <x:v>Retain read-only; current authority remains 00–34.</x:v>
      </x:c>
      <x:c r="N499" s="36" t="str">
        <x:v>33 risk/continuity context</x:v>
      </x:c>
      <x:c r="O499" s="36" t="str">
        <x:v>10_Development_Records/Sprint_05/Documentation/S5_5.4_PostImplementation_Record.md</x:v>
      </x:c>
    </x:row>
    <x:row r="500">
      <x:c r="A500" s="27" t="str">
        <x:v>HIST-0496</x:v>
      </x:c>
      <x:c r="B500" s="27" t="str">
        <x:v>10_Development_Records</x:v>
      </x:c>
      <x:c r="C500" s="27" t="str"/>
      <x:c r="D500" s="27" t="str">
        <x:v>Sprint 05</x:v>
      </x:c>
      <x:c r="E500" s="36" t="str">
        <x:v>S5_Living_Documentation_Update.md</x:v>
      </x:c>
      <x:c r="F500" s="36" t="str">
        <x:v>MD</x:v>
      </x:c>
      <x:c r="G500" s="54" t="n">
        <x:v>1402</x:v>
      </x:c>
      <x:c r="H500" s="36" t="str">
        <x:v>6398fa2f46e55bb31a76c426e72b13ed617745fa8b8ac6d2f44ff00aaae9f5ea</x:v>
      </x:c>
      <x:c r="I500" s="36" t="n">
        <x:v>2</x:v>
      </x:c>
      <x:c r="J500" s="36" t="str">
        <x:v>Development evidence</x:v>
      </x:c>
      <x:c r="K500" s="36" t="str">
        <x:v>SUPPORTING</x:v>
      </x:c>
      <x:c r="L500" s="36" t="str">
        <x:v>sprint, test</x:v>
      </x:c>
      <x:c r="M500" s="36" t="str">
        <x:v>Retain read-only; current authority remains 00–34.</x:v>
      </x:c>
      <x:c r="N500" s="36" t="str">
        <x:v>33 risk/continuity context</x:v>
      </x:c>
      <x:c r="O500" s="36" t="str">
        <x:v>10_Development_Records/Sprint_05/Documentation/S5_Living_Documentation_Update.md</x:v>
      </x:c>
    </x:row>
    <x:row r="501">
      <x:c r="A501" s="27" t="str">
        <x:v>HIST-0497</x:v>
      </x:c>
      <x:c r="B501" s="27" t="str">
        <x:v>10_Development_Records</x:v>
      </x:c>
      <x:c r="C501" s="27" t="str"/>
      <x:c r="D501" s="27" t="str">
        <x:v>Sprint 05</x:v>
      </x:c>
      <x:c r="E501" s="36" t="str">
        <x:v>ADR-0020_Initial_Store_Shell_Dimensions_And_Entrance.md</x:v>
      </x:c>
      <x:c r="F501" s="36" t="str">
        <x:v>MD</x:v>
      </x:c>
      <x:c r="G501" s="54" t="n">
        <x:v>870</x:v>
      </x:c>
      <x:c r="H501" s="36" t="str">
        <x:v>af706a1741b657833a36805700e10d25e2b66264438b488c1a8983e883799e3d</x:v>
      </x:c>
      <x:c r="I501" s="36" t="n">
        <x:v>2</x:v>
      </x:c>
      <x:c r="J501" s="36" t="str">
        <x:v>Development evidence</x:v>
      </x:c>
      <x:c r="K501" s="36" t="str">
        <x:v>SUPPORTING</x:v>
      </x:c>
      <x:c r="L501" s="36" t="str">
        <x:v>adr, sprint</x:v>
      </x:c>
      <x:c r="M501" s="36" t="str">
        <x:v>Retain read-only; current authority remains 00–34.</x:v>
      </x:c>
      <x:c r="N501" s="36" t="str">
        <x:v>33 risk/continuity context</x:v>
      </x:c>
      <x:c r="O501" s="36" t="str">
        <x:v>10_Development_Records/Sprint_05/Governance/ADR-0020_Initial_Store_Shell_Dimensions_And_Entrance.md</x:v>
      </x:c>
    </x:row>
    <x:row r="502">
      <x:c r="A502" s="27" t="str">
        <x:v>HIST-0498</x:v>
      </x:c>
      <x:c r="B502" s="27" t="str">
        <x:v>10_Development_Records</x:v>
      </x:c>
      <x:c r="C502" s="27" t="str"/>
      <x:c r="D502" s="27" t="str">
        <x:v>Sprint 05</x:v>
      </x:c>
      <x:c r="E502" s="36" t="str">
        <x:v>ADR-0021_Logical_Store_Access_Validation.md</x:v>
      </x:c>
      <x:c r="F502" s="36" t="str">
        <x:v>MD</x:v>
      </x:c>
      <x:c r="G502" s="54" t="n">
        <x:v>1131</x:v>
      </x:c>
      <x:c r="H502" s="36" t="str">
        <x:v>079eab3c8041ef624f17ba35976f8ac46627ed9ff192a910e1f0f4f63fee5fe7</x:v>
      </x:c>
      <x:c r="I502" s="36" t="n">
        <x:v>2</x:v>
      </x:c>
      <x:c r="J502" s="36" t="str">
        <x:v>Development evidence</x:v>
      </x:c>
      <x:c r="K502" s="36" t="str">
        <x:v>SUPPORTING</x:v>
      </x:c>
      <x:c r="L502" s="36" t="str">
        <x:v>adr, sprint, validation</x:v>
      </x:c>
      <x:c r="M502" s="36" t="str">
        <x:v>Retain read-only; current authority remains 00–34.</x:v>
      </x:c>
      <x:c r="N502" s="36" t="str">
        <x:v>33 risk/continuity context</x:v>
      </x:c>
      <x:c r="O502" s="36" t="str">
        <x:v>10_Development_Records/Sprint_05/Governance/ADR-0021_Logical_Store_Access_Validation.md</x:v>
      </x:c>
    </x:row>
    <x:row r="503">
      <x:c r="A503" s="27" t="str">
        <x:v>HIST-0499</x:v>
      </x:c>
      <x:c r="B503" s="27" t="str">
        <x:v>10_Development_Records</x:v>
      </x:c>
      <x:c r="C503" s="27" t="str"/>
      <x:c r="D503" s="27" t="str">
        <x:v>Sprint 05</x:v>
      </x:c>
      <x:c r="E503" s="36" t="str">
        <x:v>ADR-0022_Store_Placement_And_Access_Integration.md</x:v>
      </x:c>
      <x:c r="F503" s="36" t="str">
        <x:v>MD</x:v>
      </x:c>
      <x:c r="G503" s="54" t="n">
        <x:v>1085</x:v>
      </x:c>
      <x:c r="H503" s="36" t="str">
        <x:v>f180b5eac43281274d001667b8fc49f39febfbacfeb78fec7d686b9e07546524</x:v>
      </x:c>
      <x:c r="I503" s="36" t="n">
        <x:v>2</x:v>
      </x:c>
      <x:c r="J503" s="36" t="str">
        <x:v>Development evidence</x:v>
      </x:c>
      <x:c r="K503" s="36" t="str">
        <x:v>SUPPORTING</x:v>
      </x:c>
      <x:c r="L503" s="36" t="str">
        <x:v>adr, sprint, test, validation</x:v>
      </x:c>
      <x:c r="M503" s="36" t="str">
        <x:v>Retain read-only; current authority remains 00–34.</x:v>
      </x:c>
      <x:c r="N503" s="36" t="str">
        <x:v>33 risk/continuity context</x:v>
      </x:c>
      <x:c r="O503" s="36" t="str">
        <x:v>10_Development_Records/Sprint_05/Governance/ADR-0022_Store_Placement_And_Access_Integration.md</x:v>
      </x:c>
    </x:row>
    <x:row r="504">
      <x:c r="A504" s="27" t="str">
        <x:v>HIST-0500</x:v>
      </x:c>
      <x:c r="B504" s="27" t="str">
        <x:v>10_Development_Records</x:v>
      </x:c>
      <x:c r="C504" s="27" t="str"/>
      <x:c r="D504" s="27" t="str">
        <x:v>Sprint 05</x:v>
      </x:c>
      <x:c r="E504" s="36" t="str">
        <x:v>ADR-0023_Sprint_05_Final_Integration_And_Build_Gate.md</x:v>
      </x:c>
      <x:c r="F504" s="36" t="str">
        <x:v>MD</x:v>
      </x:c>
      <x:c r="G504" s="54" t="n">
        <x:v>972</x:v>
      </x:c>
      <x:c r="H504" s="36" t="str">
        <x:v>86eaea910888d35b0bb89c6a30aef788d767f38b95283339487890c29844f476</x:v>
      </x:c>
      <x:c r="I504" s="36" t="n">
        <x:v>2</x:v>
      </x:c>
      <x:c r="J504" s="36" t="str">
        <x:v>Development evidence</x:v>
      </x:c>
      <x:c r="K504" s="36" t="str">
        <x:v>DIRECT</x:v>
      </x:c>
      <x:c r="L504" s="36" t="str">
        <x:v>adr, build, checksum, closure, release, sprint, validation</x:v>
      </x:c>
      <x:c r="M504" s="36" t="str">
        <x:v>Retain read-only; current authority remains 00–34.</x:v>
      </x:c>
      <x:c r="N504" s="36" t="str">
        <x:v>33 risk/continuity context</x:v>
      </x:c>
      <x:c r="O504" s="36" t="str">
        <x:v>10_Development_Records/Sprint_05/Governance/ADR-0023_Sprint_05_Final_Integration_And_Build_Gate.md</x:v>
      </x:c>
    </x:row>
    <x:row r="505">
      <x:c r="A505" s="27" t="str">
        <x:v>HIST-0501</x:v>
      </x:c>
      <x:c r="B505" s="27" t="str">
        <x:v>10_Development_Records</x:v>
      </x:c>
      <x:c r="C505" s="27" t="str"/>
      <x:c r="D505" s="27" t="str">
        <x:v>Sprint 05</x:v>
      </x:c>
      <x:c r="E505" s="36" t="str">
        <x:v>Sprint_05_Charter.md</x:v>
      </x:c>
      <x:c r="F505" s="36" t="str">
        <x:v>MD</x:v>
      </x:c>
      <x:c r="G505" s="54" t="n">
        <x:v>1571</x:v>
      </x:c>
      <x:c r="H505" s="36" t="str">
        <x:v>0d05eccfe0a61885dd779cb55bb2179cfadc7cbfdc730c697eea516d0b603632</x:v>
      </x:c>
      <x:c r="I505" s="36" t="n">
        <x:v>2</x:v>
      </x:c>
      <x:c r="J505" s="36" t="str">
        <x:v>Development evidence</x:v>
      </x:c>
      <x:c r="K505" s="36" t="str">
        <x:v>DIRECT</x:v>
      </x:c>
      <x:c r="L505" s="36" t="str">
        <x:v>build, closure, sprint, test, validation</x:v>
      </x:c>
      <x:c r="M505" s="36" t="str">
        <x:v>Retain read-only; current authority remains 00–34.</x:v>
      </x:c>
      <x:c r="N505" s="36" t="str">
        <x:v>33 risk/continuity context</x:v>
      </x:c>
      <x:c r="O505" s="36" t="str">
        <x:v>10_Development_Records/Sprint_05/Governance/Sprint_05_Charter.md</x:v>
      </x:c>
    </x:row>
    <x:row r="506">
      <x:c r="A506" s="27" t="str">
        <x:v>HIST-0502</x:v>
      </x:c>
      <x:c r="B506" s="27" t="str">
        <x:v>10_Development_Records</x:v>
      </x:c>
      <x:c r="C506" s="27" t="str"/>
      <x:c r="D506" s="27" t="str">
        <x:v>Sprint 05</x:v>
      </x:c>
      <x:c r="E506" s="36" t="str">
        <x:v>Sprint_05_Current_Status.md</x:v>
      </x:c>
      <x:c r="F506" s="36" t="str">
        <x:v>MD</x:v>
      </x:c>
      <x:c r="G506" s="54" t="n">
        <x:v>2280</x:v>
      </x:c>
      <x:c r="H506" s="36" t="str">
        <x:v>2a2ca166756565fd85ea0bcbd05a5025bc352562fb251a42050ab35e9809b241</x:v>
      </x:c>
      <x:c r="I506" s="36" t="n">
        <x:v>2</x:v>
      </x:c>
      <x:c r="J506" s="36" t="str">
        <x:v>Development evidence</x:v>
      </x:c>
      <x:c r="K506" s="36" t="str">
        <x:v>DIRECT</x:v>
      </x:c>
      <x:c r="L506" s="36" t="str">
        <x:v>build, checksum, closure, current_status, release, restore, sprint, test, validation</x:v>
      </x:c>
      <x:c r="M506" s="36" t="str">
        <x:v>Retain read-only; current authority remains 00–34.</x:v>
      </x:c>
      <x:c r="N506" s="36" t="str">
        <x:v>33 risk/continuity context</x:v>
      </x:c>
      <x:c r="O506" s="36" t="str">
        <x:v>10_Development_Records/Sprint_05/Governance/Sprint_05_Current_Status.md</x:v>
      </x:c>
    </x:row>
    <x:row r="507">
      <x:c r="A507" s="27" t="str">
        <x:v>HIST-0503</x:v>
      </x:c>
      <x:c r="B507" s="27" t="str">
        <x:v>10_Development_Records</x:v>
      </x:c>
      <x:c r="C507" s="27" t="str"/>
      <x:c r="D507" s="27" t="str">
        <x:v>Sprint 05</x:v>
      </x:c>
      <x:c r="E507" s="36" t="str">
        <x:v>S5.1_Validation_Checklist.md</x:v>
      </x:c>
      <x:c r="F507" s="36" t="str">
        <x:v>MD</x:v>
      </x:c>
      <x:c r="G507" s="54" t="n">
        <x:v>871</x:v>
      </x:c>
      <x:c r="H507" s="36" t="str">
        <x:v>dba681ba566172cebf50f3be75fb1945018e196ebe93fcd9b4407267bb699c08</x:v>
      </x:c>
      <x:c r="I507" s="36" t="n">
        <x:v>2</x:v>
      </x:c>
      <x:c r="J507" s="36" t="str">
        <x:v>Development evidence</x:v>
      </x:c>
      <x:c r="K507" s="36" t="str">
        <x:v>SUPPORTING</x:v>
      </x:c>
      <x:c r="L507" s="36" t="str">
        <x:v>qa, sprint, test, validation</x:v>
      </x:c>
      <x:c r="M507" s="36" t="str">
        <x:v>Retain read-only; current authority remains 00–34.</x:v>
      </x:c>
      <x:c r="N507" s="36" t="str">
        <x:v>33 risk/continuity context</x:v>
      </x:c>
      <x:c r="O507" s="36" t="str">
        <x:v>10_Development_Records/Sprint_05/QA/S5.1_Validation_Checklist.md</x:v>
      </x:c>
    </x:row>
    <x:row r="508">
      <x:c r="A508" s="27" t="str">
        <x:v>HIST-0504</x:v>
      </x:c>
      <x:c r="B508" s="27" t="str">
        <x:v>10_Development_Records</x:v>
      </x:c>
      <x:c r="C508" s="27" t="str"/>
      <x:c r="D508" s="27" t="str">
        <x:v>Sprint 05</x:v>
      </x:c>
      <x:c r="E508" s="36" t="str">
        <x:v>S5.2_Validation_Checklist.md</x:v>
      </x:c>
      <x:c r="F508" s="36" t="str">
        <x:v>MD</x:v>
      </x:c>
      <x:c r="G508" s="54" t="n">
        <x:v>1340</x:v>
      </x:c>
      <x:c r="H508" s="36" t="str">
        <x:v>b5397d64a2dd02e76abf1c6a2a2f1b8be245c7b0993593de4d9d0147c22e39c0</x:v>
      </x:c>
      <x:c r="I508" s="36" t="n">
        <x:v>2</x:v>
      </x:c>
      <x:c r="J508" s="36" t="str">
        <x:v>Development evidence</x:v>
      </x:c>
      <x:c r="K508" s="36" t="str">
        <x:v>DIRECT</x:v>
      </x:c>
      <x:c r="L508" s="36" t="str">
        <x:v>qa, restore, sprint, test, validation</x:v>
      </x:c>
      <x:c r="M508" s="36" t="str">
        <x:v>Retain read-only; current authority remains 00–34.</x:v>
      </x:c>
      <x:c r="N508" s="36" t="str">
        <x:v>33 risk/continuity context</x:v>
      </x:c>
      <x:c r="O508" s="36" t="str">
        <x:v>10_Development_Records/Sprint_05/QA/S5.2_Validation_Checklist.md</x:v>
      </x:c>
    </x:row>
    <x:row r="509">
      <x:c r="A509" s="27" t="str">
        <x:v>HIST-0505</x:v>
      </x:c>
      <x:c r="B509" s="27" t="str">
        <x:v>10_Development_Records</x:v>
      </x:c>
      <x:c r="C509" s="27" t="str"/>
      <x:c r="D509" s="27" t="str">
        <x:v>Sprint 05</x:v>
      </x:c>
      <x:c r="E509" s="36" t="str">
        <x:v>S5.3_Validation_Checklist.md</x:v>
      </x:c>
      <x:c r="F509" s="36" t="str">
        <x:v>MD</x:v>
      </x:c>
      <x:c r="G509" s="54" t="n">
        <x:v>1306</x:v>
      </x:c>
      <x:c r="H509" s="36" t="str">
        <x:v>e443533c5c2372eb4f308301e7b20c93c2c64f44c55738dda64bb5c7510ce209</x:v>
      </x:c>
      <x:c r="I509" s="36" t="n">
        <x:v>2</x:v>
      </x:c>
      <x:c r="J509" s="36" t="str">
        <x:v>Development evidence</x:v>
      </x:c>
      <x:c r="K509" s="36" t="str">
        <x:v>DIRECT</x:v>
      </x:c>
      <x:c r="L509" s="36" t="str">
        <x:v>qa, restore, sprint, test, validation</x:v>
      </x:c>
      <x:c r="M509" s="36" t="str">
        <x:v>Retain read-only; current authority remains 00–34.</x:v>
      </x:c>
      <x:c r="N509" s="36" t="str">
        <x:v>33 risk/continuity context</x:v>
      </x:c>
      <x:c r="O509" s="36" t="str">
        <x:v>10_Development_Records/Sprint_05/QA/S5.3_Validation_Checklist.md</x:v>
      </x:c>
    </x:row>
    <x:row r="510">
      <x:c r="A510" s="27" t="str">
        <x:v>HIST-0506</x:v>
      </x:c>
      <x:c r="B510" s="27" t="str">
        <x:v>10_Development_Records</x:v>
      </x:c>
      <x:c r="C510" s="27" t="str"/>
      <x:c r="D510" s="27" t="str">
        <x:v>Sprint 05</x:v>
      </x:c>
      <x:c r="E510" s="36" t="str">
        <x:v>S5.4_Build_Execution_Record.md</x:v>
      </x:c>
      <x:c r="F510" s="36" t="str">
        <x:v>MD</x:v>
      </x:c>
      <x:c r="G510" s="54" t="n">
        <x:v>1347</x:v>
      </x:c>
      <x:c r="H510" s="36" t="str">
        <x:v>83700192228af99fb4487bdf4cdd1332d13a194be7cd5fb197278013952f8fe1</x:v>
      </x:c>
      <x:c r="I510" s="36" t="n">
        <x:v>2</x:v>
      </x:c>
      <x:c r="J510" s="36" t="str">
        <x:v>Development evidence</x:v>
      </x:c>
      <x:c r="K510" s="36" t="str">
        <x:v>SUPPORTING</x:v>
      </x:c>
      <x:c r="L510" s="36" t="str">
        <x:v>build, qa, sprint, validation</x:v>
      </x:c>
      <x:c r="M510" s="36" t="str">
        <x:v>Retain read-only; current authority remains 00–34.</x:v>
      </x:c>
      <x:c r="N510" s="36" t="str">
        <x:v>33 risk/continuity context</x:v>
      </x:c>
      <x:c r="O510" s="36" t="str">
        <x:v>10_Development_Records/Sprint_05/QA/S5.4_Build_Execution_Record.md</x:v>
      </x:c>
    </x:row>
    <x:row r="511">
      <x:c r="A511" s="27" t="str">
        <x:v>HIST-0507</x:v>
      </x:c>
      <x:c r="B511" s="27" t="str">
        <x:v>10_Development_Records</x:v>
      </x:c>
      <x:c r="C511" s="27" t="str"/>
      <x:c r="D511" s="27" t="str">
        <x:v>Sprint 05</x:v>
      </x:c>
      <x:c r="E511" s="36" t="str">
        <x:v>S5.4_Validation_Checklist.md</x:v>
      </x:c>
      <x:c r="F511" s="36" t="str">
        <x:v>MD</x:v>
      </x:c>
      <x:c r="G511" s="54" t="n">
        <x:v>1839</x:v>
      </x:c>
      <x:c r="H511" s="36" t="str">
        <x:v>99d648322bc2b6f6ca1dff0fae525dae89f84c6726bf4ed749bb09bd1a1f155c</x:v>
      </x:c>
      <x:c r="I511" s="36" t="n">
        <x:v>2</x:v>
      </x:c>
      <x:c r="J511" s="36" t="str">
        <x:v>Development evidence</x:v>
      </x:c>
      <x:c r="K511" s="36" t="str">
        <x:v>DIRECT</x:v>
      </x:c>
      <x:c r="L511" s="36" t="str">
        <x:v>build, closure, qa, sprint, test, validation</x:v>
      </x:c>
      <x:c r="M511" s="36" t="str">
        <x:v>Retain read-only; current authority remains 00–34.</x:v>
      </x:c>
      <x:c r="N511" s="36" t="str">
        <x:v>33 risk/continuity context</x:v>
      </x:c>
      <x:c r="O511" s="36" t="str">
        <x:v>10_Development_Records/Sprint_05/QA/S5.4_Validation_Checklist.md</x:v>
      </x:c>
    </x:row>
    <x:row r="512">
      <x:c r="A512" s="27" t="str">
        <x:v>HIST-0508</x:v>
      </x:c>
      <x:c r="B512" s="27" t="str">
        <x:v>10_Development_Records</x:v>
      </x:c>
      <x:c r="C512" s="27" t="str"/>
      <x:c r="D512" s="27" t="str">
        <x:v>Sprint 05</x:v>
      </x:c>
      <x:c r="E512" s="36" t="str">
        <x:v>S5_Acceptance_Matrix.md</x:v>
      </x:c>
      <x:c r="F512" s="36" t="str">
        <x:v>MD</x:v>
      </x:c>
      <x:c r="G512" s="54" t="n">
        <x:v>2498</x:v>
      </x:c>
      <x:c r="H512" s="36" t="str">
        <x:v>3c265e9509b133370788c1ea024e4de481f773b526a524f2ec880d60abe053b6</x:v>
      </x:c>
      <x:c r="I512" s="36" t="n">
        <x:v>2</x:v>
      </x:c>
      <x:c r="J512" s="36" t="str">
        <x:v>Development evidence</x:v>
      </x:c>
      <x:c r="K512" s="36" t="str">
        <x:v>DIRECT</x:v>
      </x:c>
      <x:c r="L512" s="36" t="str">
        <x:v>acceptance, build, qa, sprint, test</x:v>
      </x:c>
      <x:c r="M512" s="36" t="str">
        <x:v>Retain read-only; current authority remains 00–34.</x:v>
      </x:c>
      <x:c r="N512" s="36" t="str">
        <x:v>33 risk/continuity context</x:v>
      </x:c>
      <x:c r="O512" s="36" t="str">
        <x:v>10_Development_Records/Sprint_05/QA/S5_Acceptance_Matrix.md</x:v>
      </x:c>
    </x:row>
    <x:row r="513">
      <x:c r="A513" s="27" t="str">
        <x:v>HIST-0509</x:v>
      </x:c>
      <x:c r="B513" s="27" t="str">
        <x:v>10_Development_Records</x:v>
      </x:c>
      <x:c r="C513" s="27" t="str"/>
      <x:c r="D513" s="27" t="str">
        <x:v>Sprint 05</x:v>
      </x:c>
      <x:c r="E513" s="36" t="str">
        <x:v>S5_QA_Execution_Record.md</x:v>
      </x:c>
      <x:c r="F513" s="36" t="str">
        <x:v>MD</x:v>
      </x:c>
      <x:c r="G513" s="54" t="n">
        <x:v>2607</x:v>
      </x:c>
      <x:c r="H513" s="36" t="str">
        <x:v>28e52cfc1189efc63cafabf899b0b94924bf2fb3edb92a43973797fcb77616d4</x:v>
      </x:c>
      <x:c r="I513" s="36" t="n">
        <x:v>2</x:v>
      </x:c>
      <x:c r="J513" s="36" t="str">
        <x:v>Development evidence</x:v>
      </x:c>
      <x:c r="K513" s="36" t="str">
        <x:v>DIRECT</x:v>
      </x:c>
      <x:c r="L513" s="36" t="str">
        <x:v>build, closure, dependency, incident, qa, risk, sprint, test, validation</x:v>
      </x:c>
      <x:c r="M513" s="36" t="str">
        <x:v>Retain read-only; current authority remains 00–34.</x:v>
      </x:c>
      <x:c r="N513" s="36" t="str">
        <x:v>33 risk/continuity context</x:v>
      </x:c>
      <x:c r="O513" s="36" t="str">
        <x:v>10_Development_Records/Sprint_05/QA/S5_QA_Execution_Record.md</x:v>
      </x:c>
    </x:row>
    <x:row r="514">
      <x:c r="A514" s="27" t="str">
        <x:v>HIST-0510</x:v>
      </x:c>
      <x:c r="B514" s="27" t="str">
        <x:v>10_Development_Records</x:v>
      </x:c>
      <x:c r="C514" s="27" t="str"/>
      <x:c r="D514" s="27" t="str">
        <x:v>Sprint 05</x:v>
      </x:c>
      <x:c r="E514" s="36" t="str">
        <x:v>S5_Applied_Changes_Report.md</x:v>
      </x:c>
      <x:c r="F514" s="36" t="str">
        <x:v>MD</x:v>
      </x:c>
      <x:c r="G514" s="54" t="n">
        <x:v>2024</x:v>
      </x:c>
      <x:c r="H514" s="36" t="str">
        <x:v>cd78c06fec02733a316a904135cabc94d84af31640488c558d62da9227708c72</x:v>
      </x:c>
      <x:c r="I514" s="36" t="n">
        <x:v>2</x:v>
      </x:c>
      <x:c r="J514" s="36" t="str">
        <x:v>Development evidence</x:v>
      </x:c>
      <x:c r="K514" s="36" t="str">
        <x:v>DIRECT</x:v>
      </x:c>
      <x:c r="L514" s="36" t="str">
        <x:v>build, closure, sprint, test, validation</x:v>
      </x:c>
      <x:c r="M514" s="36" t="str">
        <x:v>Retain read-only; current authority remains 00–34.</x:v>
      </x:c>
      <x:c r="N514" s="36" t="str">
        <x:v>33 risk/continuity context</x:v>
      </x:c>
      <x:c r="O514" s="36" t="str">
        <x:v>10_Development_Records/Sprint_05/S5_Applied_Changes_Report.md</x:v>
      </x:c>
    </x:row>
    <x:row r="515">
      <x:c r="A515" s="27" t="str">
        <x:v>HIST-0511</x:v>
      </x:c>
      <x:c r="B515" s="27" t="str">
        <x:v>10_Development_Records</x:v>
      </x:c>
      <x:c r="C515" s="27" t="str"/>
      <x:c r="D515" s="27" t="str">
        <x:v>Sprint 05</x:v>
      </x:c>
      <x:c r="E515" s="36" t="str">
        <x:v>Sprint_05_Closure_Report.md</x:v>
      </x:c>
      <x:c r="F515" s="36" t="str">
        <x:v>MD</x:v>
      </x:c>
      <x:c r="G515" s="54" t="n">
        <x:v>2620</x:v>
      </x:c>
      <x:c r="H515" s="36" t="str">
        <x:v>8065ffa0649ba8c67d0c754cc551d1db3f721aeedc071e9f8317a9c97264e11c</x:v>
      </x:c>
      <x:c r="I515" s="36" t="n">
        <x:v>2</x:v>
      </x:c>
      <x:c r="J515" s="36" t="str">
        <x:v>Development evidence</x:v>
      </x:c>
      <x:c r="K515" s="36" t="str">
        <x:v>DIRECT</x:v>
      </x:c>
      <x:c r="L515" s="36" t="str">
        <x:v>build, closure, dependency, incident, qa, release, risk, roadmap, sprint, test, validation</x:v>
      </x:c>
      <x:c r="M515" s="36" t="str">
        <x:v>Retain read-only; current authority remains 00–34.</x:v>
      </x:c>
      <x:c r="N515" s="36" t="str">
        <x:v>33 risk/continuity context</x:v>
      </x:c>
      <x:c r="O515" s="36" t="str">
        <x:v>10_Development_Records/Sprint_05/Sprint_05_Closure_Report.md</x:v>
      </x:c>
    </x:row>
    <x:row r="516">
      <x:c r="A516" s="27" t="str">
        <x:v>HIST-0512</x:v>
      </x:c>
      <x:c r="B516" s="27" t="str">
        <x:v>10_Development_Records</x:v>
      </x:c>
      <x:c r="C516" s="27" t="str"/>
      <x:c r="D516" s="27" t="str">
        <x:v>Sprint 05</x:v>
      </x:c>
      <x:c r="E516" s="36" t="str">
        <x:v>S5.1_Traceability_Record.md</x:v>
      </x:c>
      <x:c r="F516" s="36" t="str">
        <x:v>MD</x:v>
      </x:c>
      <x:c r="G516" s="54" t="n">
        <x:v>715</x:v>
      </x:c>
      <x:c r="H516" s="36" t="str">
        <x:v>3b71288f79756b8e20648ac1697054c47af6939a42b0ccb5bda0bbb9ffb86380</x:v>
      </x:c>
      <x:c r="I516" s="36" t="n">
        <x:v>1</x:v>
      </x:c>
      <x:c r="J516" s="36" t="str">
        <x:v>Development evidence</x:v>
      </x:c>
      <x:c r="K516" s="36" t="str">
        <x:v>SUPPORTING</x:v>
      </x:c>
      <x:c r="L516" s="36" t="str">
        <x:v>qa, sprint, test, validation</x:v>
      </x:c>
      <x:c r="M516" s="36" t="str">
        <x:v>Retain read-only; current authority remains 00–34.</x:v>
      </x:c>
      <x:c r="N516" s="36" t="str">
        <x:v>33 risk/continuity context</x:v>
      </x:c>
      <x:c r="O516" s="36" t="str">
        <x:v>10_Development_Records/Sprint_05/Traceability/S5.1_Traceability_Record.md</x:v>
      </x:c>
    </x:row>
    <x:row r="517">
      <x:c r="A517" s="27" t="str">
        <x:v>HIST-0513</x:v>
      </x:c>
      <x:c r="B517" s="27" t="str">
        <x:v>10_Development_Records</x:v>
      </x:c>
      <x:c r="C517" s="27" t="str"/>
      <x:c r="D517" s="27" t="str">
        <x:v>Sprint 05</x:v>
      </x:c>
      <x:c r="E517" s="36" t="str">
        <x:v>S5.2_Traceability_Record.md</x:v>
      </x:c>
      <x:c r="F517" s="36" t="str">
        <x:v>MD</x:v>
      </x:c>
      <x:c r="G517" s="54" t="n">
        <x:v>688</x:v>
      </x:c>
      <x:c r="H517" s="36" t="str">
        <x:v>200e0e45abd2cc141b0bfcd715dafcb3d24d305fb0aeaa515cf7be6195fa3650</x:v>
      </x:c>
      <x:c r="I517" s="36" t="n">
        <x:v>1</x:v>
      </x:c>
      <x:c r="J517" s="36" t="str">
        <x:v>Development evidence</x:v>
      </x:c>
      <x:c r="K517" s="36" t="str">
        <x:v>DIRECT</x:v>
      </x:c>
      <x:c r="L517" s="36" t="str">
        <x:v>dependency, qa, sprint, test, validation</x:v>
      </x:c>
      <x:c r="M517" s="36" t="str">
        <x:v>Retain read-only; current authority remains 00–34.</x:v>
      </x:c>
      <x:c r="N517" s="36" t="str">
        <x:v>33 risk/continuity context</x:v>
      </x:c>
      <x:c r="O517" s="36" t="str">
        <x:v>10_Development_Records/Sprint_05/Traceability/S5.2_Traceability_Record.md</x:v>
      </x:c>
    </x:row>
    <x:row r="518">
      <x:c r="A518" s="27" t="str">
        <x:v>HIST-0514</x:v>
      </x:c>
      <x:c r="B518" s="27" t="str">
        <x:v>10_Development_Records</x:v>
      </x:c>
      <x:c r="C518" s="27" t="str"/>
      <x:c r="D518" s="27" t="str">
        <x:v>Sprint 05</x:v>
      </x:c>
      <x:c r="E518" s="36" t="str">
        <x:v>S5.3_Traceability_Record.md</x:v>
      </x:c>
      <x:c r="F518" s="36" t="str">
        <x:v>MD</x:v>
      </x:c>
      <x:c r="G518" s="54" t="n">
        <x:v>586</x:v>
      </x:c>
      <x:c r="H518" s="36" t="str">
        <x:v>e2eb3b8f62f48d67aa6ecae7894674b667a658f54df47e0e55d1599ef3b0e29b</x:v>
      </x:c>
      <x:c r="I518" s="36" t="n">
        <x:v>1</x:v>
      </x:c>
      <x:c r="J518" s="36" t="str">
        <x:v>Development evidence</x:v>
      </x:c>
      <x:c r="K518" s="36" t="str">
        <x:v>SUPPORTING</x:v>
      </x:c>
      <x:c r="L518" s="36" t="str">
        <x:v>qa, sprint, test, validation</x:v>
      </x:c>
      <x:c r="M518" s="36" t="str">
        <x:v>Retain read-only; current authority remains 00–34.</x:v>
      </x:c>
      <x:c r="N518" s="36" t="str">
        <x:v>33 risk/continuity context</x:v>
      </x:c>
      <x:c r="O518" s="36" t="str">
        <x:v>10_Development_Records/Sprint_05/Traceability/S5.3_Traceability_Record.md</x:v>
      </x:c>
    </x:row>
    <x:row r="519">
      <x:c r="A519" s="27" t="str">
        <x:v>HIST-0515</x:v>
      </x:c>
      <x:c r="B519" s="27" t="str">
        <x:v>10_Development_Records</x:v>
      </x:c>
      <x:c r="C519" s="27" t="str"/>
      <x:c r="D519" s="27" t="str">
        <x:v>Sprint 05</x:v>
      </x:c>
      <x:c r="E519" s="36" t="str">
        <x:v>S5_Document_Impact_Working_Matrix.md</x:v>
      </x:c>
      <x:c r="F519" s="36" t="str">
        <x:v>MD</x:v>
      </x:c>
      <x:c r="G519" s="54" t="n">
        <x:v>1243</x:v>
      </x:c>
      <x:c r="H519" s="36" t="str">
        <x:v>3383c88a53d814e3d128959ce907fc91d89eae8adbe22d936baa9408fec79b14</x:v>
      </x:c>
      <x:c r="I519" s="36" t="n">
        <x:v>2</x:v>
      </x:c>
      <x:c r="J519" s="36" t="str">
        <x:v>Development evidence</x:v>
      </x:c>
      <x:c r="K519" s="36" t="str">
        <x:v>DIRECT</x:v>
      </x:c>
      <x:c r="L519" s="36" t="str">
        <x:v>build, closure, qa, roadmap, sprint, test</x:v>
      </x:c>
      <x:c r="M519" s="36" t="str">
        <x:v>Retain read-only; current authority remains 00–34.</x:v>
      </x:c>
      <x:c r="N519" s="36" t="str">
        <x:v>33 risk/continuity context</x:v>
      </x:c>
      <x:c r="O519" s="36" t="str">
        <x:v>10_Development_Records/Sprint_05/Traceability/S5_Document_Impact_Working_Matrix.md</x:v>
      </x:c>
    </x:row>
    <x:row r="520">
      <x:c r="A520" s="27" t="str">
        <x:v>HIST-0516</x:v>
      </x:c>
      <x:c r="B520" s="27" t="str">
        <x:v>10_Development_Records</x:v>
      </x:c>
      <x:c r="C520" s="27" t="str"/>
      <x:c r="D520" s="27" t="str">
        <x:v>Sprint 05</x:v>
      </x:c>
      <x:c r="E520" s="36" t="str">
        <x:v>S5_Traceability_Entries.csv</x:v>
      </x:c>
      <x:c r="F520" s="36" t="str">
        <x:v>CSV</x:v>
      </x:c>
      <x:c r="G520" s="54" t="n">
        <x:v>1761</x:v>
      </x:c>
      <x:c r="H520" s="36" t="str">
        <x:v>c7135697cfaadadf20f3639103c0bfdadbed24fc67a499aff27b460cffb2602b</x:v>
      </x:c>
      <x:c r="I520" s="36" t="n">
        <x:v>2</x:v>
      </x:c>
      <x:c r="J520" s="36" t="str">
        <x:v>Development evidence</x:v>
      </x:c>
      <x:c r="K520" s="36" t="str">
        <x:v>DIRECT</x:v>
      </x:c>
      <x:c r="L520" s="36" t="str">
        <x:v>build, closure, qa, sprint, test, validation</x:v>
      </x:c>
      <x:c r="M520" s="36" t="str">
        <x:v>Retain read-only; current authority remains 00–34.</x:v>
      </x:c>
      <x:c r="N520" s="36" t="str">
        <x:v>33 risk/continuity context</x:v>
      </x:c>
      <x:c r="O520" s="36" t="str">
        <x:v>10_Development_Records/Sprint_05/Traceability/S5_Traceability_Entries.csv</x:v>
      </x:c>
    </x:row>
    <x:row r="521">
      <x:c r="A521" s="27" t="str">
        <x:v>HIST-0517</x:v>
      </x:c>
      <x:c r="B521" s="27" t="str">
        <x:v>10_Development_Records</x:v>
      </x:c>
      <x:c r="C521" s="27" t="str"/>
      <x:c r="D521" s="27" t="str">
        <x:v>Sprint 06</x:v>
      </x:c>
      <x:c r="E521" s="36" t="str">
        <x:v>S6_PostImplementation_Record.md</x:v>
      </x:c>
      <x:c r="F521" s="36" t="str">
        <x:v>MD</x:v>
      </x:c>
      <x:c r="G521" s="54" t="n">
        <x:v>1055</x:v>
      </x:c>
      <x:c r="H521" s="36" t="str">
        <x:v>8e05e7d148c68c5af0f700283b34d533081bc3e7ce63dea745ea2169640093f1</x:v>
      </x:c>
      <x:c r="I521" s="36" t="n">
        <x:v>1</x:v>
      </x:c>
      <x:c r="J521" s="36" t="str">
        <x:v>Development evidence</x:v>
      </x:c>
      <x:c r="K521" s="36" t="str">
        <x:v>DIRECT</x:v>
      </x:c>
      <x:c r="L521" s="36" t="str">
        <x:v>build, closure, sprint, test, validation</x:v>
      </x:c>
      <x:c r="M521" s="36" t="str">
        <x:v>Retain read-only; current authority remains 00–34.</x:v>
      </x:c>
      <x:c r="N521" s="36" t="str">
        <x:v>33 risk/continuity context</x:v>
      </x:c>
      <x:c r="O521" s="36" t="str">
        <x:v>10_Development_Records/Sprint_06/Documentation/S6_PostImplementation_Record.md</x:v>
      </x:c>
    </x:row>
    <x:row r="522">
      <x:c r="A522" s="27" t="str">
        <x:v>HIST-0518</x:v>
      </x:c>
      <x:c r="B522" s="27" t="str">
        <x:v>10_Development_Records</x:v>
      </x:c>
      <x:c r="C522" s="27" t="str"/>
      <x:c r="D522" s="27" t="str">
        <x:v>Sprint 06</x:v>
      </x:c>
      <x:c r="E522" s="36" t="str">
        <x:v>S6_PreImplementation_Record.md</x:v>
      </x:c>
      <x:c r="F522" s="36" t="str">
        <x:v>MD</x:v>
      </x:c>
      <x:c r="G522" s="54" t="n">
        <x:v>763</x:v>
      </x:c>
      <x:c r="H522" s="36" t="str">
        <x:v>5bf5d1b97e39482c4ecafad65d7d122e6d738c58a2a58c3ccf087b4057146614</x:v>
      </x:c>
      <x:c r="I522" s="36" t="n">
        <x:v>1</x:v>
      </x:c>
      <x:c r="J522" s="36" t="str">
        <x:v>Development evidence</x:v>
      </x:c>
      <x:c r="K522" s="36" t="str">
        <x:v>SUPPORTING</x:v>
      </x:c>
      <x:c r="L522" s="36" t="str">
        <x:v>sprint, test, validation</x:v>
      </x:c>
      <x:c r="M522" s="36" t="str">
        <x:v>Retain read-only; current authority remains 00–34.</x:v>
      </x:c>
      <x:c r="N522" s="36" t="str">
        <x:v>33 risk/continuity context</x:v>
      </x:c>
      <x:c r="O522" s="36" t="str">
        <x:v>10_Development_Records/Sprint_06/Documentation/S6_PreImplementation_Record.md</x:v>
      </x:c>
    </x:row>
    <x:row r="523">
      <x:c r="A523" s="27" t="str">
        <x:v>HIST-0519</x:v>
      </x:c>
      <x:c r="B523" s="27" t="str">
        <x:v>10_Development_Records</x:v>
      </x:c>
      <x:c r="C523" s="27" t="str"/>
      <x:c r="D523" s="27" t="str">
        <x:v>Sprint 06</x:v>
      </x:c>
      <x:c r="E523" s="36" t="str">
        <x:v>ADR-0024_Stack_And_Unit_Capacity_Model.md</x:v>
      </x:c>
      <x:c r="F523" s="36" t="str">
        <x:v>MD</x:v>
      </x:c>
      <x:c r="G523" s="54" t="n">
        <x:v>848</x:v>
      </x:c>
      <x:c r="H523" s="36" t="str">
        <x:v>a621a76517cf2dce58d2f2a6444486853bceb8107e45e2ce0cead9da79b99f87</x:v>
      </x:c>
      <x:c r="I523" s="36" t="n">
        <x:v>1</x:v>
      </x:c>
      <x:c r="J523" s="36" t="str">
        <x:v>Development evidence</x:v>
      </x:c>
      <x:c r="K523" s="36" t="str">
        <x:v>SUPPORTING</x:v>
      </x:c>
      <x:c r="L523" s="36" t="str">
        <x:v>adr, sprint, test</x:v>
      </x:c>
      <x:c r="M523" s="36" t="str">
        <x:v>Retain read-only; current authority remains 00–34.</x:v>
      </x:c>
      <x:c r="N523" s="36" t="str">
        <x:v>33 risk/continuity context</x:v>
      </x:c>
      <x:c r="O523" s="36" t="str">
        <x:v>10_Development_Records/Sprint_06/Governance/ADR-0024_Stack_And_Unit_Capacity_Model.md</x:v>
      </x:c>
    </x:row>
    <x:row r="524">
      <x:c r="A524" s="27" t="str">
        <x:v>HIST-0520</x:v>
      </x:c>
      <x:c r="B524" s="27" t="str">
        <x:v>10_Development_Records</x:v>
      </x:c>
      <x:c r="C524" s="27" t="str"/>
      <x:c r="D524" s="27" t="str">
        <x:v>Sprint 06</x:v>
      </x:c>
      <x:c r="E524" s="36" t="str">
        <x:v>ADR-0025_Atomic_Inventory_Transfers.md</x:v>
      </x:c>
      <x:c r="F524" s="36" t="str">
        <x:v>MD</x:v>
      </x:c>
      <x:c r="G524" s="54" t="n">
        <x:v>873</x:v>
      </x:c>
      <x:c r="H524" s="36" t="str">
        <x:v>4286c837998785523afe7b5818a07a7f09b63b8f94175a602f7133ae7c3df6ad</x:v>
      </x:c>
      <x:c r="I524" s="36" t="n">
        <x:v>1</x:v>
      </x:c>
      <x:c r="J524" s="36" t="str">
        <x:v>Development evidence</x:v>
      </x:c>
      <x:c r="K524" s="36" t="str">
        <x:v>SUPPORTING</x:v>
      </x:c>
      <x:c r="L524" s="36" t="str">
        <x:v>adr, sprint</x:v>
      </x:c>
      <x:c r="M524" s="36" t="str">
        <x:v>Retain read-only; current authority remains 00–34.</x:v>
      </x:c>
      <x:c r="N524" s="36" t="str">
        <x:v>33 risk/continuity context</x:v>
      </x:c>
      <x:c r="O524" s="36" t="str">
        <x:v>10_Development_Records/Sprint_06/Governance/ADR-0025_Atomic_Inventory_Transfers.md</x:v>
      </x:c>
    </x:row>
    <x:row r="525">
      <x:c r="A525" s="27" t="str">
        <x:v>HIST-0521</x:v>
      </x:c>
      <x:c r="B525" s="27" t="str">
        <x:v>10_Development_Records</x:v>
      </x:c>
      <x:c r="C525" s="27" t="str"/>
      <x:c r="D525" s="27" t="str">
        <x:v>Sprint 06</x:v>
      </x:c>
      <x:c r="E525" s="36" t="str">
        <x:v>ADR-0026_Sprint_06_Version_And_Persistence_Boundary.md</x:v>
      </x:c>
      <x:c r="F525" s="36" t="str">
        <x:v>MD</x:v>
      </x:c>
      <x:c r="G525" s="54" t="n">
        <x:v>587</x:v>
      </x:c>
      <x:c r="H525" s="36" t="str">
        <x:v>88e809b7e5a461f57c5d9f943adaf6eeb0445f62ba3cd08440f5d2e45c48ed1f</x:v>
      </x:c>
      <x:c r="I525" s="36" t="n">
        <x:v>1</x:v>
      </x:c>
      <x:c r="J525" s="36" t="str">
        <x:v>Development evidence</x:v>
      </x:c>
      <x:c r="K525" s="36" t="str">
        <x:v>SUPPORTING</x:v>
      </x:c>
      <x:c r="L525" s="36" t="str">
        <x:v>adr, closure, save, sprint</x:v>
      </x:c>
      <x:c r="M525" s="36" t="str">
        <x:v>Retain read-only; current authority remains 00–34.</x:v>
      </x:c>
      <x:c r="N525" s="36" t="str">
        <x:v>33 risk/continuity context</x:v>
      </x:c>
      <x:c r="O525" s="36" t="str">
        <x:v>10_Development_Records/Sprint_06/Governance/ADR-0026_Sprint_06_Version_And_Persistence_Boundary.md</x:v>
      </x:c>
    </x:row>
    <x:row r="526">
      <x:c r="A526" s="27" t="str">
        <x:v>HIST-0522</x:v>
      </x:c>
      <x:c r="B526" s="27" t="str">
        <x:v>10_Development_Records</x:v>
      </x:c>
      <x:c r="C526" s="27" t="str"/>
      <x:c r="D526" s="27" t="str">
        <x:v>Sprint 06</x:v>
      </x:c>
      <x:c r="E526" s="36" t="str">
        <x:v>Sprint_06_Charter.md</x:v>
      </x:c>
      <x:c r="F526" s="36" t="str">
        <x:v>MD</x:v>
      </x:c>
      <x:c r="G526" s="54" t="n">
        <x:v>2549</x:v>
      </x:c>
      <x:c r="H526" s="36" t="str">
        <x:v>bfa5a23dcdf26ffb080e01923927d7e054aa002d0fcad98196c22894c654828a</x:v>
      </x:c>
      <x:c r="I526" s="36" t="n">
        <x:v>1</x:v>
      </x:c>
      <x:c r="J526" s="36" t="str">
        <x:v>Development evidence</x:v>
      </x:c>
      <x:c r="K526" s="36" t="str">
        <x:v>DIRECT</x:v>
      </x:c>
      <x:c r="L526" s="36" t="str">
        <x:v>acceptance, build, closure, save, sprint, test, validation</x:v>
      </x:c>
      <x:c r="M526" s="36" t="str">
        <x:v>Retain read-only; current authority remains 00–34.</x:v>
      </x:c>
      <x:c r="N526" s="36" t="str">
        <x:v>33 risk/continuity context</x:v>
      </x:c>
      <x:c r="O526" s="36" t="str">
        <x:v>10_Development_Records/Sprint_06/Governance/Sprint_06_Charter.md</x:v>
      </x:c>
    </x:row>
    <x:row r="527">
      <x:c r="A527" s="27" t="str">
        <x:v>HIST-0523</x:v>
      </x:c>
      <x:c r="B527" s="27" t="str">
        <x:v>10_Development_Records</x:v>
      </x:c>
      <x:c r="C527" s="27" t="str"/>
      <x:c r="D527" s="27" t="str">
        <x:v>Sprint 06</x:v>
      </x:c>
      <x:c r="E527" s="36" t="str">
        <x:v>Sprint_06_Current_Status.md</x:v>
      </x:c>
      <x:c r="F527" s="36" t="str">
        <x:v>MD</x:v>
      </x:c>
      <x:c r="G527" s="54" t="n">
        <x:v>1307</x:v>
      </x:c>
      <x:c r="H527" s="36" t="str">
        <x:v>393749de939a329f70e38cd7f6356f1f38f125c3a4a06495aed809813a55b401</x:v>
      </x:c>
      <x:c r="I527" s="36" t="n">
        <x:v>1</x:v>
      </x:c>
      <x:c r="J527" s="36" t="str">
        <x:v>Development evidence</x:v>
      </x:c>
      <x:c r="K527" s="36" t="str">
        <x:v>DIRECT</x:v>
      </x:c>
      <x:c r="L527" s="36" t="str">
        <x:v>build, closure, current_status, sprint, test, validation</x:v>
      </x:c>
      <x:c r="M527" s="36" t="str">
        <x:v>Retain read-only; current authority remains 00–34.</x:v>
      </x:c>
      <x:c r="N527" s="36" t="str">
        <x:v>33 risk/continuity context</x:v>
      </x:c>
      <x:c r="O527" s="36" t="str">
        <x:v>10_Development_Records/Sprint_06/Governance/Sprint_06_Current_Status.md</x:v>
      </x:c>
    </x:row>
    <x:row r="528">
      <x:c r="A528" s="27" t="str">
        <x:v>HIST-0524</x:v>
      </x:c>
      <x:c r="B528" s="27" t="str">
        <x:v>10_Development_Records</x:v>
      </x:c>
      <x:c r="C528" s="27" t="str"/>
      <x:c r="D528" s="27" t="str">
        <x:v>Sprint 06</x:v>
      </x:c>
      <x:c r="E528" s="36" t="str">
        <x:v>S6_Acceptance_Matrix.md</x:v>
      </x:c>
      <x:c r="F528" s="36" t="str">
        <x:v>MD</x:v>
      </x:c>
      <x:c r="G528" s="54" t="n">
        <x:v>3014</x:v>
      </x:c>
      <x:c r="H528" s="36" t="str">
        <x:v>b55fe039c6404ff22749ff07f20dc741ee277ece3a892d9d1a6a526eb61dab8e</x:v>
      </x:c>
      <x:c r="I528" s="36" t="n">
        <x:v>1</x:v>
      </x:c>
      <x:c r="J528" s="36" t="str">
        <x:v>Development evidence</x:v>
      </x:c>
      <x:c r="K528" s="36" t="str">
        <x:v>DIRECT</x:v>
      </x:c>
      <x:c r="L528" s="36" t="str">
        <x:v>acceptance, build, closure, qa, sprint, test, validation</x:v>
      </x:c>
      <x:c r="M528" s="36" t="str">
        <x:v>Retain read-only; current authority remains 00–34.</x:v>
      </x:c>
      <x:c r="N528" s="36" t="str">
        <x:v>33 risk/continuity context</x:v>
      </x:c>
      <x:c r="O528" s="36" t="str">
        <x:v>10_Development_Records/Sprint_06/QA/S6_Acceptance_Matrix.md</x:v>
      </x:c>
    </x:row>
    <x:row r="529">
      <x:c r="A529" s="27" t="str">
        <x:v>HIST-0525</x:v>
      </x:c>
      <x:c r="B529" s="27" t="str">
        <x:v>10_Development_Records</x:v>
      </x:c>
      <x:c r="C529" s="27" t="str"/>
      <x:c r="D529" s="27" t="str">
        <x:v>Sprint 06</x:v>
      </x:c>
      <x:c r="E529" s="36" t="str">
        <x:v>S6_QA_Execution_Record.md</x:v>
      </x:c>
      <x:c r="F529" s="36" t="str">
        <x:v>MD</x:v>
      </x:c>
      <x:c r="G529" s="54" t="n">
        <x:v>2097</x:v>
      </x:c>
      <x:c r="H529" s="36" t="str">
        <x:v>a7a14df3c2dc18a98c1354176d48502bafbd3309a651ea8bff3846db4c348e7c</x:v>
      </x:c>
      <x:c r="I529" s="36" t="n">
        <x:v>1</x:v>
      </x:c>
      <x:c r="J529" s="36" t="str">
        <x:v>Development evidence</x:v>
      </x:c>
      <x:c r="K529" s="36" t="str">
        <x:v>DIRECT</x:v>
      </x:c>
      <x:c r="L529" s="36" t="str">
        <x:v>build, qa, sprint, test, validation</x:v>
      </x:c>
      <x:c r="M529" s="36" t="str">
        <x:v>Retain read-only; current authority remains 00–34.</x:v>
      </x:c>
      <x:c r="N529" s="36" t="str">
        <x:v>33 risk/continuity context</x:v>
      </x:c>
      <x:c r="O529" s="36" t="str">
        <x:v>10_Development_Records/Sprint_06/QA/S6_QA_Execution_Record.md</x:v>
      </x:c>
    </x:row>
    <x:row r="530">
      <x:c r="A530" s="27" t="str">
        <x:v>HIST-0526</x:v>
      </x:c>
      <x:c r="B530" s="27" t="str">
        <x:v>10_Development_Records</x:v>
      </x:c>
      <x:c r="C530" s="27" t="str"/>
      <x:c r="D530" s="27" t="str">
        <x:v>Sprint 06</x:v>
      </x:c>
      <x:c r="E530" s="36" t="str">
        <x:v>S6_Test_Plan.md</x:v>
      </x:c>
      <x:c r="F530" s="36" t="str">
        <x:v>MD</x:v>
      </x:c>
      <x:c r="G530" s="54" t="n">
        <x:v>1177</x:v>
      </x:c>
      <x:c r="H530" s="36" t="str">
        <x:v>5201945d6beb104bfe2297c7686805a78c84ba67bd51e8d6f4472d0bb762a8b0</x:v>
      </x:c>
      <x:c r="I530" s="36" t="n">
        <x:v>1</x:v>
      </x:c>
      <x:c r="J530" s="36" t="str">
        <x:v>Development evidence</x:v>
      </x:c>
      <x:c r="K530" s="36" t="str">
        <x:v>DIRECT</x:v>
      </x:c>
      <x:c r="L530" s="36" t="str">
        <x:v>build, closure, qa, sprint, test, validation</x:v>
      </x:c>
      <x:c r="M530" s="36" t="str">
        <x:v>Retain read-only; current authority remains 00–34.</x:v>
      </x:c>
      <x:c r="N530" s="36" t="str">
        <x:v>33 risk/continuity context</x:v>
      </x:c>
      <x:c r="O530" s="36" t="str">
        <x:v>10_Development_Records/Sprint_06/QA/S6_Test_Plan.md</x:v>
      </x:c>
    </x:row>
    <x:row r="531">
      <x:c r="A531" s="27" t="str">
        <x:v>HIST-0527</x:v>
      </x:c>
      <x:c r="B531" s="27" t="str">
        <x:v>10_Development_Records</x:v>
      </x:c>
      <x:c r="C531" s="27" t="str"/>
      <x:c r="D531" s="27" t="str">
        <x:v>Sprint 06</x:v>
      </x:c>
      <x:c r="E531" s="36" t="str">
        <x:v>S6_Validation_Checklist.md</x:v>
      </x:c>
      <x:c r="F531" s="36" t="str">
        <x:v>MD</x:v>
      </x:c>
      <x:c r="G531" s="54" t="n">
        <x:v>1068</x:v>
      </x:c>
      <x:c r="H531" s="36" t="str">
        <x:v>723a177cac5edf16f6820ffc10dad91550e2da2eb918ddb59269ffcb0102f899</x:v>
      </x:c>
      <x:c r="I531" s="36" t="n">
        <x:v>1</x:v>
      </x:c>
      <x:c r="J531" s="36" t="str">
        <x:v>Development evidence</x:v>
      </x:c>
      <x:c r="K531" s="36" t="str">
        <x:v>DIRECT</x:v>
      </x:c>
      <x:c r="L531" s="36" t="str">
        <x:v>acceptance, build, closure, dependency, handoff, qa, sprint, test, validation</x:v>
      </x:c>
      <x:c r="M531" s="36" t="str">
        <x:v>Retain read-only; current authority remains 00–34.</x:v>
      </x:c>
      <x:c r="N531" s="36" t="str">
        <x:v>33 risk/continuity context</x:v>
      </x:c>
      <x:c r="O531" s="36" t="str">
        <x:v>10_Development_Records/Sprint_06/QA/S6_Validation_Checklist.md</x:v>
      </x:c>
    </x:row>
    <x:row r="532">
      <x:c r="A532" s="27" t="str">
        <x:v>HIST-0528</x:v>
      </x:c>
      <x:c r="B532" s="27" t="str">
        <x:v>10_Development_Records</x:v>
      </x:c>
      <x:c r="C532" s="27" t="str"/>
      <x:c r="D532" s="27" t="str">
        <x:v>Sprint 06</x:v>
      </x:c>
      <x:c r="E532" s="36" t="str">
        <x:v>Sprint_06_Closure_Report.md</x:v>
      </x:c>
      <x:c r="F532" s="36" t="str">
        <x:v>MD</x:v>
      </x:c>
      <x:c r="G532" s="54" t="n">
        <x:v>1395</x:v>
      </x:c>
      <x:c r="H532" s="36" t="str">
        <x:v>b0997bd963c49340833d3d0e259c747f97b7ecd5574b3da5a77a8e51a4da0f60</x:v>
      </x:c>
      <x:c r="I532" s="36" t="n">
        <x:v>1</x:v>
      </x:c>
      <x:c r="J532" s="36" t="str">
        <x:v>Development evidence</x:v>
      </x:c>
      <x:c r="K532" s="36" t="str">
        <x:v>DIRECT</x:v>
      </x:c>
      <x:c r="L532" s="36" t="str">
        <x:v>build, closure, save, sprint, test, validation</x:v>
      </x:c>
      <x:c r="M532" s="36" t="str">
        <x:v>Retain read-only; current authority remains 00–34.</x:v>
      </x:c>
      <x:c r="N532" s="36" t="str">
        <x:v>33 risk/continuity context</x:v>
      </x:c>
      <x:c r="O532" s="36" t="str">
        <x:v>10_Development_Records/Sprint_06/Sprint_06_Closure_Report.md</x:v>
      </x:c>
    </x:row>
    <x:row r="533">
      <x:c r="A533" s="27" t="str">
        <x:v>HIST-0529</x:v>
      </x:c>
      <x:c r="B533" s="27" t="str">
        <x:v>10_Development_Records</x:v>
      </x:c>
      <x:c r="C533" s="27" t="str"/>
      <x:c r="D533" s="27" t="str">
        <x:v>Sprint 06</x:v>
      </x:c>
      <x:c r="E533" s="36" t="str">
        <x:v>S6_Document_Impact_Working_Matrix.md</x:v>
      </x:c>
      <x:c r="F533" s="36" t="str">
        <x:v>MD</x:v>
      </x:c>
      <x:c r="G533" s="54" t="n">
        <x:v>1006</x:v>
      </x:c>
      <x:c r="H533" s="36" t="str">
        <x:v>a45e511bed9c4655f09cacab2d0f800489b86c4ec6149e8b006ae1961a917d99</x:v>
      </x:c>
      <x:c r="I533" s="36" t="n">
        <x:v>1</x:v>
      </x:c>
      <x:c r="J533" s="36" t="str">
        <x:v>Development evidence</x:v>
      </x:c>
      <x:c r="K533" s="36" t="str">
        <x:v>DIRECT</x:v>
      </x:c>
      <x:c r="L533" s="36" t="str">
        <x:v>acceptance, adr, build, closure, handoff, qa, roadmap, sprint, test</x:v>
      </x:c>
      <x:c r="M533" s="36" t="str">
        <x:v>Retain read-only; current authority remains 00–34.</x:v>
      </x:c>
      <x:c r="N533" s="36" t="str">
        <x:v>33 risk/continuity context</x:v>
      </x:c>
      <x:c r="O533" s="36" t="str">
        <x:v>10_Development_Records/Sprint_06/Traceability/S6_Document_Impact_Working_Matrix.md</x:v>
      </x:c>
    </x:row>
    <x:row r="534">
      <x:c r="A534" s="27" t="str">
        <x:v>HIST-0530</x:v>
      </x:c>
      <x:c r="B534" s="27" t="str">
        <x:v>10_Development_Records</x:v>
      </x:c>
      <x:c r="C534" s="27" t="str"/>
      <x:c r="D534" s="27" t="str">
        <x:v>Sprint 06</x:v>
      </x:c>
      <x:c r="E534" s="36" t="str">
        <x:v>S6_Traceability_Entries.csv</x:v>
      </x:c>
      <x:c r="F534" s="36" t="str">
        <x:v>CSV</x:v>
      </x:c>
      <x:c r="G534" s="54" t="n">
        <x:v>1352</x:v>
      </x:c>
      <x:c r="H534" s="36" t="str">
        <x:v>68efe978e58fc87e088b08468c575003339c190b73b92aeb9ee193772cd0459d</x:v>
      </x:c>
      <x:c r="I534" s="36" t="n">
        <x:v>1</x:v>
      </x:c>
      <x:c r="J534" s="36" t="str">
        <x:v>Development evidence</x:v>
      </x:c>
      <x:c r="K534" s="36" t="str">
        <x:v>DIRECT</x:v>
      </x:c>
      <x:c r="L534" s="36" t="str">
        <x:v>build, closure, handoff, qa, sprint, test, validation</x:v>
      </x:c>
      <x:c r="M534" s="36" t="str">
        <x:v>Retain read-only; current authority remains 00–34.</x:v>
      </x:c>
      <x:c r="N534" s="36" t="str">
        <x:v>33 risk/continuity context</x:v>
      </x:c>
      <x:c r="O534" s="36" t="str">
        <x:v>10_Development_Records/Sprint_06/Traceability/S6_Traceability_Entries.csv</x:v>
      </x:c>
    </x:row>
    <x:row r="535">
      <x:c r="A535" s="27" t="str">
        <x:v>HIST-0531</x:v>
      </x:c>
      <x:c r="B535" s="27" t="str">
        <x:v>10_Development_Records</x:v>
      </x:c>
      <x:c r="C535" s="27" t="str"/>
      <x:c r="D535" s="27" t="str">
        <x:v>Sprint 07</x:v>
      </x:c>
      <x:c r="E535" s="36" t="str">
        <x:v>S7_PostImplementation_Record.md</x:v>
      </x:c>
      <x:c r="F535" s="36" t="str">
        <x:v>MD</x:v>
      </x:c>
      <x:c r="G535" s="54" t="n">
        <x:v>1407</x:v>
      </x:c>
      <x:c r="H535" s="36" t="str">
        <x:v>92d67e8e9150e7f53042e3bc42d69828cb73c2dde23f6730e9758e8bd6a69731</x:v>
      </x:c>
      <x:c r="I535" s="36" t="n">
        <x:v>1</x:v>
      </x:c>
      <x:c r="J535" s="36" t="str">
        <x:v>Development evidence</x:v>
      </x:c>
      <x:c r="K535" s="36" t="str">
        <x:v>DIRECT</x:v>
      </x:c>
      <x:c r="L535" s="36" t="str">
        <x:v>build, closure, save, sprint, test, validation</x:v>
      </x:c>
      <x:c r="M535" s="36" t="str">
        <x:v>Retain read-only; current authority remains 00–34.</x:v>
      </x:c>
      <x:c r="N535" s="36" t="str">
        <x:v>33 risk/continuity context</x:v>
      </x:c>
      <x:c r="O535" s="36" t="str">
        <x:v>10_Development_Records/Sprint_07/Documentation/S7_PostImplementation_Record.md</x:v>
      </x:c>
    </x:row>
    <x:row r="536">
      <x:c r="A536" s="27" t="str">
        <x:v>HIST-0532</x:v>
      </x:c>
      <x:c r="B536" s="27" t="str">
        <x:v>10_Development_Records</x:v>
      </x:c>
      <x:c r="C536" s="27" t="str"/>
      <x:c r="D536" s="27" t="str">
        <x:v>Sprint 07</x:v>
      </x:c>
      <x:c r="E536" s="36" t="str">
        <x:v>S7_PreImplementation_Record.md</x:v>
      </x:c>
      <x:c r="F536" s="36" t="str">
        <x:v>MD</x:v>
      </x:c>
      <x:c r="G536" s="54" t="n">
        <x:v>1559</x:v>
      </x:c>
      <x:c r="H536" s="36" t="str">
        <x:v>017500c5dd78ac6585bf53c19c3dfb2d167c7e9556976a178a74d664a70605af</x:v>
      </x:c>
      <x:c r="I536" s="36" t="n">
        <x:v>1</x:v>
      </x:c>
      <x:c r="J536" s="36" t="str">
        <x:v>Development evidence</x:v>
      </x:c>
      <x:c r="K536" s="36" t="str">
        <x:v>DIRECT</x:v>
      </x:c>
      <x:c r="L536" s="36" t="str">
        <x:v>build, closure, handoff, qa, risk, roadmap, sprint, test, validation</x:v>
      </x:c>
      <x:c r="M536" s="36" t="str">
        <x:v>Retain read-only; current authority remains 00–34.</x:v>
      </x:c>
      <x:c r="N536" s="36" t="str">
        <x:v>33 risk/continuity context</x:v>
      </x:c>
      <x:c r="O536" s="36" t="str">
        <x:v>10_Development_Records/Sprint_07/Documentation/S7_PreImplementation_Record.md</x:v>
      </x:c>
    </x:row>
    <x:row r="537">
      <x:c r="A537" s="27" t="str">
        <x:v>HIST-0533</x:v>
      </x:c>
      <x:c r="B537" s="27" t="str">
        <x:v>10_Development_Records</x:v>
      </x:c>
      <x:c r="C537" s="27" t="str"/>
      <x:c r="D537" s="27" t="str">
        <x:v>Sprint 07</x:v>
      </x:c>
      <x:c r="E537" s="36" t="str">
        <x:v>ADR-0027_Product_and_Supplier_Authoring.md</x:v>
      </x:c>
      <x:c r="F537" s="36" t="str">
        <x:v>MD</x:v>
      </x:c>
      <x:c r="G537" s="54" t="n">
        <x:v>1065</x:v>
      </x:c>
      <x:c r="H537" s="36" t="str">
        <x:v>86a7e5e37add2c9d6fe855fef6deda2f4ddfba8f00cdb1062dfdbec3eb0dcb13</x:v>
      </x:c>
      <x:c r="I537" s="36" t="n">
        <x:v>1</x:v>
      </x:c>
      <x:c r="J537" s="36" t="str">
        <x:v>Development evidence</x:v>
      </x:c>
      <x:c r="K537" s="36" t="str">
        <x:v>SUPPORTING</x:v>
      </x:c>
      <x:c r="L537" s="36" t="str">
        <x:v>adr, sprint</x:v>
      </x:c>
      <x:c r="M537" s="36" t="str">
        <x:v>Retain read-only; current authority remains 00–34.</x:v>
      </x:c>
      <x:c r="N537" s="36" t="str">
        <x:v>33 risk/continuity context</x:v>
      </x:c>
      <x:c r="O537" s="36" t="str">
        <x:v>10_Development_Records/Sprint_07/Governance/ADR-0027_Product_and_Supplier_Authoring.md</x:v>
      </x:c>
    </x:row>
    <x:row r="538">
      <x:c r="A538" s="27" t="str">
        <x:v>HIST-0534</x:v>
      </x:c>
      <x:c r="B538" s="27" t="str">
        <x:v>10_Development_Records</x:v>
      </x:c>
      <x:c r="C538" s="27" t="str"/>
      <x:c r="D538" s="27" t="str">
        <x:v>Sprint 07</x:v>
      </x:c>
      <x:c r="E538" s="36" t="str">
        <x:v>ADR-0028_Box_Based_Ordering.md</x:v>
      </x:c>
      <x:c r="F538" s="36" t="str">
        <x:v>MD</x:v>
      </x:c>
      <x:c r="G538" s="54" t="n">
        <x:v>870</x:v>
      </x:c>
      <x:c r="H538" s="36" t="str">
        <x:v>57af021d5e1412eadd90d34cdb62da418efa8d0bd0001d8da4c219bb9fa98f40</x:v>
      </x:c>
      <x:c r="I538" s="36" t="n">
        <x:v>1</x:v>
      </x:c>
      <x:c r="J538" s="36" t="str">
        <x:v>Development evidence</x:v>
      </x:c>
      <x:c r="K538" s="36" t="str">
        <x:v>SUPPORTING</x:v>
      </x:c>
      <x:c r="L538" s="36" t="str">
        <x:v>adr, sprint</x:v>
      </x:c>
      <x:c r="M538" s="36" t="str">
        <x:v>Retain read-only; current authority remains 00–34.</x:v>
      </x:c>
      <x:c r="N538" s="36" t="str">
        <x:v>33 risk/continuity context</x:v>
      </x:c>
      <x:c r="O538" s="36" t="str">
        <x:v>10_Development_Records/Sprint_07/Governance/ADR-0028_Box_Based_Ordering.md</x:v>
      </x:c>
    </x:row>
    <x:row r="539">
      <x:c r="A539" s="27" t="str">
        <x:v>HIST-0535</x:v>
      </x:c>
      <x:c r="B539" s="27" t="str">
        <x:v>10_Development_Records</x:v>
      </x:c>
      <x:c r="C539" s="27" t="str"/>
      <x:c r="D539" s="27" t="str">
        <x:v>Sprint 07</x:v>
      </x:c>
      <x:c r="E539" s="36" t="str">
        <x:v>ADR-0029_Atomic_Box_Receiving.md</x:v>
      </x:c>
      <x:c r="F539" s="36" t="str">
        <x:v>MD</x:v>
      </x:c>
      <x:c r="G539" s="54" t="n">
        <x:v>1021</x:v>
      </x:c>
      <x:c r="H539" s="36" t="str">
        <x:v>bf3785f3178e96118326edaf1a4134d4300f5817a838cb24bacdd7dc6884af0d</x:v>
      </x:c>
      <x:c r="I539" s="36" t="n">
        <x:v>1</x:v>
      </x:c>
      <x:c r="J539" s="36" t="str">
        <x:v>Development evidence</x:v>
      </x:c>
      <x:c r="K539" s="36" t="str">
        <x:v>SUPPORTING</x:v>
      </x:c>
      <x:c r="L539" s="36" t="str">
        <x:v>adr, sprint, test, validation</x:v>
      </x:c>
      <x:c r="M539" s="36" t="str">
        <x:v>Retain read-only; current authority remains 00–34.</x:v>
      </x:c>
      <x:c r="N539" s="36" t="str">
        <x:v>33 risk/continuity context</x:v>
      </x:c>
      <x:c r="O539" s="36" t="str">
        <x:v>10_Development_Records/Sprint_07/Governance/ADR-0029_Atomic_Box_Receiving.md</x:v>
      </x:c>
    </x:row>
    <x:row r="540">
      <x:c r="A540" s="27" t="str">
        <x:v>HIST-0536</x:v>
      </x:c>
      <x:c r="B540" s="27" t="str">
        <x:v>10_Development_Records</x:v>
      </x:c>
      <x:c r="C540" s="27" t="str"/>
      <x:c r="D540" s="27" t="str">
        <x:v>Sprint 07</x:v>
      </x:c>
      <x:c r="E540" s="36" t="str">
        <x:v>Sprint_07_Charter.md</x:v>
      </x:c>
      <x:c r="F540" s="36" t="str">
        <x:v>MD</x:v>
      </x:c>
      <x:c r="G540" s="54" t="n">
        <x:v>2558</x:v>
      </x:c>
      <x:c r="H540" s="36" t="str">
        <x:v>e19ff2151e783c464351df0d9cd21017c5eacb84816f8ff937c88ac1d563f51b</x:v>
      </x:c>
      <x:c r="I540" s="36" t="n">
        <x:v>1</x:v>
      </x:c>
      <x:c r="J540" s="36" t="str">
        <x:v>Development evidence</x:v>
      </x:c>
      <x:c r="K540" s="36" t="str">
        <x:v>DIRECT</x:v>
      </x:c>
      <x:c r="L540" s="36" t="str">
        <x:v>acceptance, build, closure, dependency, qa, save, sprint, test</x:v>
      </x:c>
      <x:c r="M540" s="36" t="str">
        <x:v>Retain read-only; current authority remains 00–34.</x:v>
      </x:c>
      <x:c r="N540" s="36" t="str">
        <x:v>33 risk/continuity context</x:v>
      </x:c>
      <x:c r="O540" s="36" t="str">
        <x:v>10_Development_Records/Sprint_07/Governance/Sprint_07_Charter.md</x:v>
      </x:c>
    </x:row>
    <x:row r="541">
      <x:c r="A541" s="27" t="str">
        <x:v>HIST-0537</x:v>
      </x:c>
      <x:c r="B541" s="27" t="str">
        <x:v>10_Development_Records</x:v>
      </x:c>
      <x:c r="C541" s="27" t="str"/>
      <x:c r="D541" s="27" t="str">
        <x:v>Sprint 07</x:v>
      </x:c>
      <x:c r="E541" s="36" t="str">
        <x:v>Sprint_07_Current_Status.md</x:v>
      </x:c>
      <x:c r="F541" s="36" t="str">
        <x:v>MD</x:v>
      </x:c>
      <x:c r="G541" s="54" t="n">
        <x:v>1542</x:v>
      </x:c>
      <x:c r="H541" s="36" t="str">
        <x:v>28ea6d605bf2edcfd592207a4b99fae832913f988b2e6e14e2228296669b4583</x:v>
      </x:c>
      <x:c r="I541" s="36" t="n">
        <x:v>1</x:v>
      </x:c>
      <x:c r="J541" s="36" t="str">
        <x:v>Development evidence</x:v>
      </x:c>
      <x:c r="K541" s="36" t="str">
        <x:v>DIRECT</x:v>
      </x:c>
      <x:c r="L541" s="36" t="str">
        <x:v>build, closure, current_status, sprint, test, validation</x:v>
      </x:c>
      <x:c r="M541" s="36" t="str">
        <x:v>Retain read-only; current authority remains 00–34.</x:v>
      </x:c>
      <x:c r="N541" s="36" t="str">
        <x:v>33 risk/continuity context</x:v>
      </x:c>
      <x:c r="O541" s="36" t="str">
        <x:v>10_Development_Records/Sprint_07/Governance/Sprint_07_Current_Status.md</x:v>
      </x:c>
    </x:row>
    <x:row r="542">
      <x:c r="A542" s="27" t="str">
        <x:v>HIST-0538</x:v>
      </x:c>
      <x:c r="B542" s="27" t="str">
        <x:v>10_Development_Records</x:v>
      </x:c>
      <x:c r="C542" s="27" t="str"/>
      <x:c r="D542" s="27" t="str">
        <x:v>Sprint 07</x:v>
      </x:c>
      <x:c r="E542" s="36" t="str">
        <x:v>S7_Acceptance_Matrix.md</x:v>
      </x:c>
      <x:c r="F542" s="36" t="str">
        <x:v>MD</x:v>
      </x:c>
      <x:c r="G542" s="54" t="n">
        <x:v>3351</x:v>
      </x:c>
      <x:c r="H542" s="36" t="str">
        <x:v>e5517ab2f2b047aacb634c1ee7e42ea6f4b1b0f3bb6477cc7a0fb595439546b2</x:v>
      </x:c>
      <x:c r="I542" s="36" t="n">
        <x:v>1</x:v>
      </x:c>
      <x:c r="J542" s="36" t="str">
        <x:v>Development evidence</x:v>
      </x:c>
      <x:c r="K542" s="36" t="str">
        <x:v>SUPPORTING</x:v>
      </x:c>
      <x:c r="L542" s="36" t="str">
        <x:v>acceptance, build, qa, sprint</x:v>
      </x:c>
      <x:c r="M542" s="36" t="str">
        <x:v>Retain read-only; current authority remains 00–34.</x:v>
      </x:c>
      <x:c r="N542" s="36" t="str">
        <x:v>33 risk/continuity context</x:v>
      </x:c>
      <x:c r="O542" s="36" t="str">
        <x:v>10_Development_Records/Sprint_07/QA/S7_Acceptance_Matrix.md</x:v>
      </x:c>
    </x:row>
    <x:row r="543">
      <x:c r="A543" s="27" t="str">
        <x:v>HIST-0539</x:v>
      </x:c>
      <x:c r="B543" s="27" t="str">
        <x:v>10_Development_Records</x:v>
      </x:c>
      <x:c r="C543" s="27" t="str"/>
      <x:c r="D543" s="27" t="str">
        <x:v>Sprint 07</x:v>
      </x:c>
      <x:c r="E543" s="36" t="str">
        <x:v>S7_Build_And_Unity_Services_Record.md</x:v>
      </x:c>
      <x:c r="F543" s="36" t="str">
        <x:v>MD</x:v>
      </x:c>
      <x:c r="G543" s="54" t="n">
        <x:v>1288</x:v>
      </x:c>
      <x:c r="H543" s="36" t="str">
        <x:v>fa7507ba60b575ad8ec8b6a5e5dc6fa9531436bf0f33822e9965edef6b15bd6d</x:v>
      </x:c>
      <x:c r="I543" s="36" t="n">
        <x:v>1</x:v>
      </x:c>
      <x:c r="J543" s="36" t="str">
        <x:v>Development evidence</x:v>
      </x:c>
      <x:c r="K543" s="36" t="str">
        <x:v>DIRECT</x:v>
      </x:c>
      <x:c r="L543" s="36" t="str">
        <x:v>build, qa, save, sprint, validation</x:v>
      </x:c>
      <x:c r="M543" s="36" t="str">
        <x:v>Retain read-only; current authority remains 00–34.</x:v>
      </x:c>
      <x:c r="N543" s="36" t="str">
        <x:v>33 risk/continuity context</x:v>
      </x:c>
      <x:c r="O543" s="36" t="str">
        <x:v>10_Development_Records/Sprint_07/QA/S7_Build_And_Unity_Services_Record.md</x:v>
      </x:c>
    </x:row>
    <x:row r="544">
      <x:c r="A544" s="27" t="str">
        <x:v>HIST-0540</x:v>
      </x:c>
      <x:c r="B544" s="27" t="str">
        <x:v>10_Development_Records</x:v>
      </x:c>
      <x:c r="C544" s="27" t="str"/>
      <x:c r="D544" s="27" t="str">
        <x:v>Sprint 07</x:v>
      </x:c>
      <x:c r="E544" s="36" t="str">
        <x:v>S7_QA_Execution_Record.md</x:v>
      </x:c>
      <x:c r="F544" s="36" t="str">
        <x:v>MD</x:v>
      </x:c>
      <x:c r="G544" s="54" t="n">
        <x:v>2132</x:v>
      </x:c>
      <x:c r="H544" s="36" t="str">
        <x:v>ed5696f59956c5341e66f5d4bd7c9ff10b1c2ae56c47f0e70f7acdf412d62626</x:v>
      </x:c>
      <x:c r="I544" s="36" t="n">
        <x:v>1</x:v>
      </x:c>
      <x:c r="J544" s="36" t="str">
        <x:v>Development evidence</x:v>
      </x:c>
      <x:c r="K544" s="36" t="str">
        <x:v>DIRECT</x:v>
      </x:c>
      <x:c r="L544" s="36" t="str">
        <x:v>acceptance, build, qa, sprint, test, validation</x:v>
      </x:c>
      <x:c r="M544" s="36" t="str">
        <x:v>Retain read-only; current authority remains 00–34.</x:v>
      </x:c>
      <x:c r="N544" s="36" t="str">
        <x:v>33 risk/continuity context</x:v>
      </x:c>
      <x:c r="O544" s="36" t="str">
        <x:v>10_Development_Records/Sprint_07/QA/S7_QA_Execution_Record.md</x:v>
      </x:c>
    </x:row>
    <x:row r="545">
      <x:c r="A545" s="27" t="str">
        <x:v>HIST-0541</x:v>
      </x:c>
      <x:c r="B545" s="27" t="str">
        <x:v>10_Development_Records</x:v>
      </x:c>
      <x:c r="C545" s="27" t="str"/>
      <x:c r="D545" s="27" t="str">
        <x:v>Sprint 07</x:v>
      </x:c>
      <x:c r="E545" s="36" t="str">
        <x:v>S7_Test_Plan.md</x:v>
      </x:c>
      <x:c r="F545" s="36" t="str">
        <x:v>MD</x:v>
      </x:c>
      <x:c r="G545" s="54" t="n">
        <x:v>1665</x:v>
      </x:c>
      <x:c r="H545" s="36" t="str">
        <x:v>0453ad65d4af260b590eb050e0d438566b48db60470c0cbfbad3110f224f6d8f</x:v>
      </x:c>
      <x:c r="I545" s="36" t="n">
        <x:v>1</x:v>
      </x:c>
      <x:c r="J545" s="36" t="str">
        <x:v>Development evidence</x:v>
      </x:c>
      <x:c r="K545" s="36" t="str">
        <x:v>DIRECT</x:v>
      </x:c>
      <x:c r="L545" s="36" t="str">
        <x:v>build, legal, qa, sprint, test, validation</x:v>
      </x:c>
      <x:c r="M545" s="36" t="str">
        <x:v>Retain read-only; current authority remains 00–34.</x:v>
      </x:c>
      <x:c r="N545" s="36" t="str">
        <x:v>33 risk/continuity context</x:v>
      </x:c>
      <x:c r="O545" s="36" t="str">
        <x:v>10_Development_Records/Sprint_07/QA/S7_Test_Plan.md</x:v>
      </x:c>
    </x:row>
    <x:row r="546">
      <x:c r="A546" s="27" t="str">
        <x:v>HIST-0542</x:v>
      </x:c>
      <x:c r="B546" s="27" t="str">
        <x:v>10_Development_Records</x:v>
      </x:c>
      <x:c r="C546" s="27" t="str"/>
      <x:c r="D546" s="27" t="str">
        <x:v>Sprint 07</x:v>
      </x:c>
      <x:c r="E546" s="36" t="str">
        <x:v>S7_Validation_Checklist.md</x:v>
      </x:c>
      <x:c r="F546" s="36" t="str">
        <x:v>MD</x:v>
      </x:c>
      <x:c r="G546" s="54" t="n">
        <x:v>1575</x:v>
      </x:c>
      <x:c r="H546" s="36" t="str">
        <x:v>df553497f162dd3f8ad2e2e315b380fa06e2a3d8d489f675eb291fdf00c7d923</x:v>
      </x:c>
      <x:c r="I546" s="36" t="n">
        <x:v>1</x:v>
      </x:c>
      <x:c r="J546" s="36" t="str">
        <x:v>Development evidence</x:v>
      </x:c>
      <x:c r="K546" s="36" t="str">
        <x:v>DIRECT</x:v>
      </x:c>
      <x:c r="L546" s="36" t="str">
        <x:v>acceptance, build, closure, handoff, qa, sprint, test, validation</x:v>
      </x:c>
      <x:c r="M546" s="36" t="str">
        <x:v>Retain read-only; current authority remains 00–34.</x:v>
      </x:c>
      <x:c r="N546" s="36" t="str">
        <x:v>33 risk/continuity context</x:v>
      </x:c>
      <x:c r="O546" s="36" t="str">
        <x:v>10_Development_Records/Sprint_07/QA/S7_Validation_Checklist.md</x:v>
      </x:c>
    </x:row>
    <x:row r="547">
      <x:c r="A547" s="27" t="str">
        <x:v>HIST-0543</x:v>
      </x:c>
      <x:c r="B547" s="27" t="str">
        <x:v>10_Development_Records</x:v>
      </x:c>
      <x:c r="C547" s="27" t="str"/>
      <x:c r="D547" s="27" t="str">
        <x:v>Sprint 07</x:v>
      </x:c>
      <x:c r="E547" s="36" t="str">
        <x:v>Sprint_07_Closure_Report.md</x:v>
      </x:c>
      <x:c r="F547" s="36" t="str">
        <x:v>MD</x:v>
      </x:c>
      <x:c r="G547" s="54" t="n">
        <x:v>1926</x:v>
      </x:c>
      <x:c r="H547" s="36" t="str">
        <x:v>00a4116e3af46415a564444f21cb913a1f5d7fe57daa4639f8dd053cecba8ae1</x:v>
      </x:c>
      <x:c r="I547" s="36" t="n">
        <x:v>1</x:v>
      </x:c>
      <x:c r="J547" s="36" t="str">
        <x:v>Development evidence</x:v>
      </x:c>
      <x:c r="K547" s="36" t="str">
        <x:v>DIRECT</x:v>
      </x:c>
      <x:c r="L547" s="36" t="str">
        <x:v>acceptance, build, closure, save, sprint, test, validation</x:v>
      </x:c>
      <x:c r="M547" s="36" t="str">
        <x:v>Retain read-only; current authority remains 00–34.</x:v>
      </x:c>
      <x:c r="N547" s="36" t="str">
        <x:v>33 risk/continuity context</x:v>
      </x:c>
      <x:c r="O547" s="36" t="str">
        <x:v>10_Development_Records/Sprint_07/Sprint_07_Closure_Report.md</x:v>
      </x:c>
    </x:row>
    <x:row r="548">
      <x:c r="A548" s="27" t="str">
        <x:v>HIST-0544</x:v>
      </x:c>
      <x:c r="B548" s="27" t="str">
        <x:v>10_Development_Records</x:v>
      </x:c>
      <x:c r="C548" s="27" t="str"/>
      <x:c r="D548" s="27" t="str">
        <x:v>Sprint 07</x:v>
      </x:c>
      <x:c r="E548" s="36" t="str">
        <x:v>S7_Document_Impact_Working_Matrix.md</x:v>
      </x:c>
      <x:c r="F548" s="36" t="str">
        <x:v>MD</x:v>
      </x:c>
      <x:c r="G548" s="54" t="n">
        <x:v>1084</x:v>
      </x:c>
      <x:c r="H548" s="36" t="str">
        <x:v>d16d6db2565fd1b2387959f24d842cae2fd11f1c843ccd90d692abc1c63d1fdf</x:v>
      </x:c>
      <x:c r="I548" s="36" t="n">
        <x:v>1</x:v>
      </x:c>
      <x:c r="J548" s="36" t="str">
        <x:v>Development evidence</x:v>
      </x:c>
      <x:c r="K548" s="36" t="str">
        <x:v>DIRECT</x:v>
      </x:c>
      <x:c r="L548" s="36" t="str">
        <x:v>acceptance, build, closure, handoff, qa, roadmap, sprint, test</x:v>
      </x:c>
      <x:c r="M548" s="36" t="str">
        <x:v>Retain read-only; current authority remains 00–34.</x:v>
      </x:c>
      <x:c r="N548" s="36" t="str">
        <x:v>33 risk/continuity context</x:v>
      </x:c>
      <x:c r="O548" s="36" t="str">
        <x:v>10_Development_Records/Sprint_07/Traceability/S7_Document_Impact_Working_Matrix.md</x:v>
      </x:c>
    </x:row>
    <x:row r="549">
      <x:c r="A549" s="27" t="str">
        <x:v>HIST-0545</x:v>
      </x:c>
      <x:c r="B549" s="27" t="str">
        <x:v>10_Development_Records</x:v>
      </x:c>
      <x:c r="C549" s="27" t="str"/>
      <x:c r="D549" s="27" t="str">
        <x:v>Sprint 07</x:v>
      </x:c>
      <x:c r="E549" s="36" t="str">
        <x:v>S7_Traceability_Entries.csv</x:v>
      </x:c>
      <x:c r="F549" s="36" t="str">
        <x:v>CSV</x:v>
      </x:c>
      <x:c r="G549" s="54" t="n">
        <x:v>1558</x:v>
      </x:c>
      <x:c r="H549" s="36" t="str">
        <x:v>0259742905ec026264125e409b9cc06af213d9d9d7d0c824c20baf4945e38f8a</x:v>
      </x:c>
      <x:c r="I549" s="36" t="n">
        <x:v>1</x:v>
      </x:c>
      <x:c r="J549" s="36" t="str">
        <x:v>Development evidence</x:v>
      </x:c>
      <x:c r="K549" s="36" t="str">
        <x:v>DIRECT</x:v>
      </x:c>
      <x:c r="L549" s="36" t="str">
        <x:v>build, closure, qa, sprint, test</x:v>
      </x:c>
      <x:c r="M549" s="36" t="str">
        <x:v>Retain read-only; current authority remains 00–34.</x:v>
      </x:c>
      <x:c r="N549" s="36" t="str">
        <x:v>33 risk/continuity context</x:v>
      </x:c>
      <x:c r="O549" s="36" t="str">
        <x:v>10_Development_Records/Sprint_07/Traceability/S7_Traceability_Entries.csv</x:v>
      </x:c>
    </x:row>
    <x:row r="550">
      <x:c r="A550" s="27" t="str">
        <x:v>HIST-0546</x:v>
      </x:c>
      <x:c r="B550" s="27" t="str">
        <x:v>10_Development_Records</x:v>
      </x:c>
      <x:c r="C550" s="27" t="str"/>
      <x:c r="D550" s="27" t="str">
        <x:v>Sprint 08</x:v>
      </x:c>
      <x:c r="E550" s="36" t="str">
        <x:v>S8_PostImplementation_Record.md</x:v>
      </x:c>
      <x:c r="F550" s="36" t="str">
        <x:v>MD</x:v>
      </x:c>
      <x:c r="G550" s="54" t="n">
        <x:v>2173</x:v>
      </x:c>
      <x:c r="H550" s="36" t="str">
        <x:v>34f827046ab4402cb0aca95a90695727e6a4654052245511e2130416053da878</x:v>
      </x:c>
      <x:c r="I550" s="36" t="n">
        <x:v>1</x:v>
      </x:c>
      <x:c r="J550" s="36" t="str">
        <x:v>Development evidence</x:v>
      </x:c>
      <x:c r="K550" s="36" t="str">
        <x:v>DIRECT</x:v>
      </x:c>
      <x:c r="L550" s="36" t="str">
        <x:v>build, closure, sprint, test, validation</x:v>
      </x:c>
      <x:c r="M550" s="36" t="str">
        <x:v>Retain read-only; current authority remains 00–34.</x:v>
      </x:c>
      <x:c r="N550" s="36" t="str">
        <x:v>33 risk/continuity context</x:v>
      </x:c>
      <x:c r="O550" s="36" t="str">
        <x:v>10_Development_Records/Sprint_08/Documentation/S8_PostImplementation_Record.md</x:v>
      </x:c>
    </x:row>
    <x:row r="551">
      <x:c r="A551" s="27" t="str">
        <x:v>HIST-0547</x:v>
      </x:c>
      <x:c r="B551" s="27" t="str">
        <x:v>10_Development_Records</x:v>
      </x:c>
      <x:c r="C551" s="27" t="str"/>
      <x:c r="D551" s="27" t="str">
        <x:v>Sprint 08</x:v>
      </x:c>
      <x:c r="E551" s="36" t="str">
        <x:v>S8_PreImplementation_Record.md</x:v>
      </x:c>
      <x:c r="F551" s="36" t="str">
        <x:v>MD</x:v>
      </x:c>
      <x:c r="G551" s="54" t="n">
        <x:v>496</x:v>
      </x:c>
      <x:c r="H551" s="36" t="str">
        <x:v>800dcc615cfebb4dd3ae8a0ad0fa62622d5b92beaf913e75bf93c40776331799</x:v>
      </x:c>
      <x:c r="I551" s="36" t="n">
        <x:v>1</x:v>
      </x:c>
      <x:c r="J551" s="36" t="str">
        <x:v>Development evidence</x:v>
      </x:c>
      <x:c r="K551" s="36" t="str">
        <x:v>CONTEXT / PRESERVED</x:v>
      </x:c>
      <x:c r="L551" s="36" t="str">
        <x:v>sprint</x:v>
      </x:c>
      <x:c r="M551" s="36" t="str">
        <x:v>Retain read-only; current authority remains 00–34.</x:v>
      </x:c>
      <x:c r="N551" s="36" t="str">
        <x:v>Preserved context; not mined as normative authority.</x:v>
      </x:c>
      <x:c r="O551" s="36" t="str">
        <x:v>10_Development_Records/Sprint_08/Documentation/S8_PreImplementation_Record.md</x:v>
      </x:c>
    </x:row>
    <x:row r="552">
      <x:c r="A552" s="27" t="str">
        <x:v>HIST-0548</x:v>
      </x:c>
      <x:c r="B552" s="27" t="str">
        <x:v>10_Development_Records</x:v>
      </x:c>
      <x:c r="C552" s="27" t="str"/>
      <x:c r="D552" s="27" t="str">
        <x:v>Sprint 08</x:v>
      </x:c>
      <x:c r="E552" s="36" t="str">
        <x:v>ADR-0030_Single_Product_Display_Assignment.md</x:v>
      </x:c>
      <x:c r="F552" s="36" t="str">
        <x:v>MD</x:v>
      </x:c>
      <x:c r="G552" s="54" t="n">
        <x:v>437</x:v>
      </x:c>
      <x:c r="H552" s="36" t="str">
        <x:v>ff34c07064a44ae5ffb3db2f205b4ef1fe2fd330bed57702a84f53e4f428e4a5</x:v>
      </x:c>
      <x:c r="I552" s="36" t="n">
        <x:v>1</x:v>
      </x:c>
      <x:c r="J552" s="36" t="str">
        <x:v>Development evidence</x:v>
      </x:c>
      <x:c r="K552" s="36" t="str">
        <x:v>SUPPORTING</x:v>
      </x:c>
      <x:c r="L552" s="36" t="str">
        <x:v>adr, sprint</x:v>
      </x:c>
      <x:c r="M552" s="36" t="str">
        <x:v>Retain read-only; current authority remains 00–34.</x:v>
      </x:c>
      <x:c r="N552" s="36" t="str">
        <x:v>33 risk/continuity context</x:v>
      </x:c>
      <x:c r="O552" s="36" t="str">
        <x:v>10_Development_Records/Sprint_08/Governance/ADR-0030_Single_Product_Display_Assignment.md</x:v>
      </x:c>
    </x:row>
    <x:row r="553">
      <x:c r="A553" s="27" t="str">
        <x:v>HIST-0549</x:v>
      </x:c>
      <x:c r="B553" s="27" t="str">
        <x:v>10_Development_Records</x:v>
      </x:c>
      <x:c r="C553" s="27" t="str"/>
      <x:c r="D553" s="27" t="str">
        <x:v>Sprint 08</x:v>
      </x:c>
      <x:c r="E553" s="36" t="str">
        <x:v>ADR-0031_Display_Capacity_and_Visible_Units.md</x:v>
      </x:c>
      <x:c r="F553" s="36" t="str">
        <x:v>MD</x:v>
      </x:c>
      <x:c r="G553" s="54" t="n">
        <x:v>332</x:v>
      </x:c>
      <x:c r="H553" s="36" t="str">
        <x:v>55398e2d4b0f0989db0716a124fd96d597cfe878d561d2546f8114c74009a900</x:v>
      </x:c>
      <x:c r="I553" s="36" t="n">
        <x:v>1</x:v>
      </x:c>
      <x:c r="J553" s="36" t="str">
        <x:v>Development evidence</x:v>
      </x:c>
      <x:c r="K553" s="36" t="str">
        <x:v>SUPPORTING</x:v>
      </x:c>
      <x:c r="L553" s="36" t="str">
        <x:v>adr, sprint</x:v>
      </x:c>
      <x:c r="M553" s="36" t="str">
        <x:v>Retain read-only; current authority remains 00–34.</x:v>
      </x:c>
      <x:c r="N553" s="36" t="str">
        <x:v>33 risk/continuity context</x:v>
      </x:c>
      <x:c r="O553" s="36" t="str">
        <x:v>10_Development_Records/Sprint_08/Governance/ADR-0031_Display_Capacity_and_Visible_Units.md</x:v>
      </x:c>
    </x:row>
    <x:row r="554">
      <x:c r="A554" s="27" t="str">
        <x:v>HIST-0550</x:v>
      </x:c>
      <x:c r="B554" s="27" t="str">
        <x:v>10_Development_Records</x:v>
      </x:c>
      <x:c r="C554" s="27" t="str"/>
      <x:c r="D554" s="27" t="str">
        <x:v>Sprint 08</x:v>
      </x:c>
      <x:c r="E554" s="36" t="str">
        <x:v>ADR-0032_Atomic_Manual_Restocking.md</x:v>
      </x:c>
      <x:c r="F554" s="36" t="str">
        <x:v>MD</x:v>
      </x:c>
      <x:c r="G554" s="54" t="n">
        <x:v>373</x:v>
      </x:c>
      <x:c r="H554" s="36" t="str">
        <x:v>3995a709fcd6235ec918570685e381fea53ef9620adb0bf10a0f25d2f0e6b970</x:v>
      </x:c>
      <x:c r="I554" s="36" t="n">
        <x:v>1</x:v>
      </x:c>
      <x:c r="J554" s="36" t="str">
        <x:v>Development evidence</x:v>
      </x:c>
      <x:c r="K554" s="36" t="str">
        <x:v>SUPPORTING</x:v>
      </x:c>
      <x:c r="L554" s="36" t="str">
        <x:v>adr, sprint</x:v>
      </x:c>
      <x:c r="M554" s="36" t="str">
        <x:v>Retain read-only; current authority remains 00–34.</x:v>
      </x:c>
      <x:c r="N554" s="36" t="str">
        <x:v>33 risk/continuity context</x:v>
      </x:c>
      <x:c r="O554" s="36" t="str">
        <x:v>10_Development_Records/Sprint_08/Governance/ADR-0032_Atomic_Manual_Restocking.md</x:v>
      </x:c>
    </x:row>
    <x:row r="555">
      <x:c r="A555" s="27" t="str">
        <x:v>HIST-0551</x:v>
      </x:c>
      <x:c r="B555" s="27" t="str">
        <x:v>10_Development_Records</x:v>
      </x:c>
      <x:c r="C555" s="27" t="str"/>
      <x:c r="D555" s="27" t="str">
        <x:v>Sprint 08</x:v>
      </x:c>
      <x:c r="E555" s="36" t="str">
        <x:v>ADR-0033_Display_Authoring_and_Placement_Boundary.md</x:v>
      </x:c>
      <x:c r="F555" s="36" t="str">
        <x:v>MD</x:v>
      </x:c>
      <x:c r="G555" s="54" t="n">
        <x:v>406</x:v>
      </x:c>
      <x:c r="H555" s="36" t="str">
        <x:v>68b6ada32b41b33a38e6bd2e36673610f62e92d911bd9181b1cc431c25a22c77</x:v>
      </x:c>
      <x:c r="I555" s="36" t="n">
        <x:v>1</x:v>
      </x:c>
      <x:c r="J555" s="36" t="str">
        <x:v>Development evidence</x:v>
      </x:c>
      <x:c r="K555" s="36" t="str">
        <x:v>SUPPORTING</x:v>
      </x:c>
      <x:c r="L555" s="36" t="str">
        <x:v>adr, build, sprint</x:v>
      </x:c>
      <x:c r="M555" s="36" t="str">
        <x:v>Retain read-only; current authority remains 00–34.</x:v>
      </x:c>
      <x:c r="N555" s="36" t="str">
        <x:v>33 risk/continuity context</x:v>
      </x:c>
      <x:c r="O555" s="36" t="str">
        <x:v>10_Development_Records/Sprint_08/Governance/ADR-0033_Display_Authoring_and_Placement_Boundary.md</x:v>
      </x:c>
    </x:row>
    <x:row r="556">
      <x:c r="A556" s="27" t="str">
        <x:v>HIST-0552</x:v>
      </x:c>
      <x:c r="B556" s="27" t="str">
        <x:v>10_Development_Records</x:v>
      </x:c>
      <x:c r="C556" s="27" t="str"/>
      <x:c r="D556" s="27" t="str">
        <x:v>Sprint 08</x:v>
      </x:c>
      <x:c r="E556" s="36" t="str">
        <x:v>S8_Handoff_Update_Template.md</x:v>
      </x:c>
      <x:c r="F556" s="36" t="str">
        <x:v>MD</x:v>
      </x:c>
      <x:c r="G556" s="54" t="n">
        <x:v>1297</x:v>
      </x:c>
      <x:c r="H556" s="36" t="str">
        <x:v>752c345e77607a3d096548520f2ce082a816d2eeb0d01ea0d29ddbe2bd32013a</x:v>
      </x:c>
      <x:c r="I556" s="36" t="n">
        <x:v>1</x:v>
      </x:c>
      <x:c r="J556" s="36" t="str">
        <x:v>Development evidence</x:v>
      </x:c>
      <x:c r="K556" s="36" t="str">
        <x:v>DIRECT</x:v>
      </x:c>
      <x:c r="L556" s="36" t="str">
        <x:v>build, closure, dependency, handoff, sprint, test, validation</x:v>
      </x:c>
      <x:c r="M556" s="36" t="str">
        <x:v>Retain read-only; current authority remains 00–34.</x:v>
      </x:c>
      <x:c r="N556" s="36" t="str">
        <x:v>33 risk/continuity context</x:v>
      </x:c>
      <x:c r="O556" s="36" t="str">
        <x:v>10_Development_Records/Sprint_08/Governance/S8_Handoff_Update_Template.md</x:v>
      </x:c>
    </x:row>
    <x:row r="557">
      <x:c r="A557" s="27" t="str">
        <x:v>HIST-0553</x:v>
      </x:c>
      <x:c r="B557" s="27" t="str">
        <x:v>10_Development_Records</x:v>
      </x:c>
      <x:c r="C557" s="27" t="str"/>
      <x:c r="D557" s="27" t="str">
        <x:v>Sprint 08</x:v>
      </x:c>
      <x:c r="E557" s="36" t="str">
        <x:v>Sprint_08_Charter.md</x:v>
      </x:c>
      <x:c r="F557" s="36" t="str">
        <x:v>MD</x:v>
      </x:c>
      <x:c r="G557" s="54" t="n">
        <x:v>2480</x:v>
      </x:c>
      <x:c r="H557" s="36" t="str">
        <x:v>bd1ff89fc221568fdd4004e9a7ae504bfbb773312659345bb2cfe726e33683e9</x:v>
      </x:c>
      <x:c r="I557" s="36" t="n">
        <x:v>1</x:v>
      </x:c>
      <x:c r="J557" s="36" t="str">
        <x:v>Development evidence</x:v>
      </x:c>
      <x:c r="K557" s="36" t="str">
        <x:v>DIRECT</x:v>
      </x:c>
      <x:c r="L557" s="36" t="str">
        <x:v>acceptance, build, closure, dependency, handoff, qa, save, sprint, test</x:v>
      </x:c>
      <x:c r="M557" s="36" t="str">
        <x:v>Retain read-only; current authority remains 00–34.</x:v>
      </x:c>
      <x:c r="N557" s="36" t="str">
        <x:v>33 risk/continuity context</x:v>
      </x:c>
      <x:c r="O557" s="36" t="str">
        <x:v>10_Development_Records/Sprint_08/Governance/Sprint_08_Charter.md</x:v>
      </x:c>
    </x:row>
    <x:row r="558">
      <x:c r="A558" s="27" t="str">
        <x:v>HIST-0554</x:v>
      </x:c>
      <x:c r="B558" s="27" t="str">
        <x:v>10_Development_Records</x:v>
      </x:c>
      <x:c r="C558" s="27" t="str"/>
      <x:c r="D558" s="27" t="str">
        <x:v>Sprint 08</x:v>
      </x:c>
      <x:c r="E558" s="36" t="str">
        <x:v>Sprint_08_Current_Status.md</x:v>
      </x:c>
      <x:c r="F558" s="36" t="str">
        <x:v>MD</x:v>
      </x:c>
      <x:c r="G558" s="54" t="n">
        <x:v>1642</x:v>
      </x:c>
      <x:c r="H558" s="36" t="str">
        <x:v>ac4bd550a7410946c583949ddc50a47efd32b921ad7b4f175568bedf7dd4101b</x:v>
      </x:c>
      <x:c r="I558" s="36" t="n">
        <x:v>1</x:v>
      </x:c>
      <x:c r="J558" s="36" t="str">
        <x:v>Development evidence</x:v>
      </x:c>
      <x:c r="K558" s="36" t="str">
        <x:v>DIRECT</x:v>
      </x:c>
      <x:c r="L558" s="36" t="str">
        <x:v>build, closure, current_status, incident, sprint, test, validation</x:v>
      </x:c>
      <x:c r="M558" s="36" t="str">
        <x:v>Retain read-only; current authority remains 00–34.</x:v>
      </x:c>
      <x:c r="N558" s="36" t="str">
        <x:v>33 risk/continuity context</x:v>
      </x:c>
      <x:c r="O558" s="36" t="str">
        <x:v>10_Development_Records/Sprint_08/Governance/Sprint_08_Current_Status.md</x:v>
      </x:c>
    </x:row>
    <x:row r="559">
      <x:c r="A559" s="27" t="str">
        <x:v>HIST-0555</x:v>
      </x:c>
      <x:c r="B559" s="27" t="str">
        <x:v>10_Development_Records</x:v>
      </x:c>
      <x:c r="C559" s="27" t="str"/>
      <x:c r="D559" s="27" t="str">
        <x:v>Sprint 08</x:v>
      </x:c>
      <x:c r="E559" s="36" t="str">
        <x:v>S8_Acceptance_Matrix.md</x:v>
      </x:c>
      <x:c r="F559" s="36" t="str">
        <x:v>MD</x:v>
      </x:c>
      <x:c r="G559" s="54" t="n">
        <x:v>1833</x:v>
      </x:c>
      <x:c r="H559" s="36" t="str">
        <x:v>514b68f2839e76b1757df9d2d457dca9701cbe8f3de4169c6e38fe7e7c1e576c</x:v>
      </x:c>
      <x:c r="I559" s="36" t="n">
        <x:v>1</x:v>
      </x:c>
      <x:c r="J559" s="36" t="str">
        <x:v>Development evidence</x:v>
      </x:c>
      <x:c r="K559" s="36" t="str">
        <x:v>DIRECT</x:v>
      </x:c>
      <x:c r="L559" s="36" t="str">
        <x:v>acceptance, build, closure, qa, sprint, test</x:v>
      </x:c>
      <x:c r="M559" s="36" t="str">
        <x:v>Retain read-only; current authority remains 00–34.</x:v>
      </x:c>
      <x:c r="N559" s="36" t="str">
        <x:v>33 risk/continuity context</x:v>
      </x:c>
      <x:c r="O559" s="36" t="str">
        <x:v>10_Development_Records/Sprint_08/QA/S8_Acceptance_Matrix.md</x:v>
      </x:c>
    </x:row>
    <x:row r="560">
      <x:c r="A560" s="27" t="str">
        <x:v>HIST-0556</x:v>
      </x:c>
      <x:c r="B560" s="27" t="str">
        <x:v>10_Development_Records</x:v>
      </x:c>
      <x:c r="C560" s="27" t="str"/>
      <x:c r="D560" s="27" t="str">
        <x:v>Sprint 08</x:v>
      </x:c>
      <x:c r="E560" s="36" t="str">
        <x:v>S8_Build_Execution_Record.md</x:v>
      </x:c>
      <x:c r="F560" s="36" t="str">
        <x:v>MD</x:v>
      </x:c>
      <x:c r="G560" s="54" t="n">
        <x:v>1531</x:v>
      </x:c>
      <x:c r="H560" s="36" t="str">
        <x:v>975e35974c3ac193dedc354ad39f652dccd31356a4d69ec241dddcfdd84f29c1</x:v>
      </x:c>
      <x:c r="I560" s="36" t="n">
        <x:v>1</x:v>
      </x:c>
      <x:c r="J560" s="36" t="str">
        <x:v>Development evidence</x:v>
      </x:c>
      <x:c r="K560" s="36" t="str">
        <x:v>DIRECT</x:v>
      </x:c>
      <x:c r="L560" s="36" t="str">
        <x:v>build, closure, dependency, qa, sprint, test</x:v>
      </x:c>
      <x:c r="M560" s="36" t="str">
        <x:v>Retain read-only; current authority remains 00–34.</x:v>
      </x:c>
      <x:c r="N560" s="36" t="str">
        <x:v>33 risk/continuity context</x:v>
      </x:c>
      <x:c r="O560" s="36" t="str">
        <x:v>10_Development_Records/Sprint_08/QA/S8_Build_Execution_Record.md</x:v>
      </x:c>
    </x:row>
    <x:row r="561">
      <x:c r="A561" s="27" t="str">
        <x:v>HIST-0557</x:v>
      </x:c>
      <x:c r="B561" s="27" t="str">
        <x:v>10_Development_Records</x:v>
      </x:c>
      <x:c r="C561" s="27" t="str"/>
      <x:c r="D561" s="27" t="str">
        <x:v>Sprint 08</x:v>
      </x:c>
      <x:c r="E561" s="36" t="str">
        <x:v>S8_Compilation_Incident_001_NUnit_Assert_Multiple.md</x:v>
      </x:c>
      <x:c r="F561" s="36" t="str">
        <x:v>MD</x:v>
      </x:c>
      <x:c r="G561" s="54" t="n">
        <x:v>1971</x:v>
      </x:c>
      <x:c r="H561" s="36" t="str">
        <x:v>c3f9557dbe19d9326df55919c56712a4c7b57a77e3d1044708cbe974705cb69c</x:v>
      </x:c>
      <x:c r="I561" s="36" t="n">
        <x:v>1</x:v>
      </x:c>
      <x:c r="J561" s="36" t="str">
        <x:v>Development evidence</x:v>
      </x:c>
      <x:c r="K561" s="36" t="str">
        <x:v>DIRECT</x:v>
      </x:c>
      <x:c r="L561" s="36" t="str">
        <x:v>build, closure, incident, qa, sprint, test</x:v>
      </x:c>
      <x:c r="M561" s="36" t="str">
        <x:v>Retain read-only; current authority remains 00–34.</x:v>
      </x:c>
      <x:c r="N561" s="36" t="str">
        <x:v>33 risk/continuity context</x:v>
      </x:c>
      <x:c r="O561" s="36" t="str">
        <x:v>10_Development_Records/Sprint_08/QA/S8_Compilation_Incident_001_NUnit_Assert_Multiple.md</x:v>
      </x:c>
    </x:row>
    <x:row r="562">
      <x:c r="A562" s="27" t="str">
        <x:v>HIST-0558</x:v>
      </x:c>
      <x:c r="B562" s="27" t="str">
        <x:v>10_Development_Records</x:v>
      </x:c>
      <x:c r="C562" s="27" t="str"/>
      <x:c r="D562" s="27" t="str">
        <x:v>Sprint 08</x:v>
      </x:c>
      <x:c r="E562" s="36" t="str">
        <x:v>S8_Manual_Validation_Record.md</x:v>
      </x:c>
      <x:c r="F562" s="36" t="str">
        <x:v>MD</x:v>
      </x:c>
      <x:c r="G562" s="54" t="n">
        <x:v>1698</x:v>
      </x:c>
      <x:c r="H562" s="36" t="str">
        <x:v>29369a792ec0f4c8d2ae2237c630eedda24f727c2c644ffcb6a2ff997927755d</x:v>
      </x:c>
      <x:c r="I562" s="36" t="n">
        <x:v>1</x:v>
      </x:c>
      <x:c r="J562" s="36" t="str">
        <x:v>Development evidence</x:v>
      </x:c>
      <x:c r="K562" s="36" t="str">
        <x:v>DIRECT</x:v>
      </x:c>
      <x:c r="L562" s="36" t="str">
        <x:v>build, qa, sprint, test, validation</x:v>
      </x:c>
      <x:c r="M562" s="36" t="str">
        <x:v>Retain read-only; current authority remains 00–34.</x:v>
      </x:c>
      <x:c r="N562" s="36" t="str">
        <x:v>33 risk/continuity context</x:v>
      </x:c>
      <x:c r="O562" s="36" t="str">
        <x:v>10_Development_Records/Sprint_08/QA/S8_Manual_Validation_Record.md</x:v>
      </x:c>
    </x:row>
    <x:row r="563">
      <x:c r="A563" s="27" t="str">
        <x:v>HIST-0559</x:v>
      </x:c>
      <x:c r="B563" s="27" t="str">
        <x:v>10_Development_Records</x:v>
      </x:c>
      <x:c r="C563" s="27" t="str"/>
      <x:c r="D563" s="27" t="str">
        <x:v>Sprint 08</x:v>
      </x:c>
      <x:c r="E563" s="36" t="str">
        <x:v>S8_QA_Execution_Record.md</x:v>
      </x:c>
      <x:c r="F563" s="36" t="str">
        <x:v>MD</x:v>
      </x:c>
      <x:c r="G563" s="54" t="n">
        <x:v>1991</x:v>
      </x:c>
      <x:c r="H563" s="36" t="str">
        <x:v>6b648c6839cb4cd0f249f4318624210896b63a393cd888a3b1ac2d9f70edc61b</x:v>
      </x:c>
      <x:c r="I563" s="36" t="n">
        <x:v>1</x:v>
      </x:c>
      <x:c r="J563" s="36" t="str">
        <x:v>Development evidence</x:v>
      </x:c>
      <x:c r="K563" s="36" t="str">
        <x:v>DIRECT</x:v>
      </x:c>
      <x:c r="L563" s="36" t="str">
        <x:v>acceptance, build, closure, dependency, incident, qa, sprint, test, validation</x:v>
      </x:c>
      <x:c r="M563" s="36" t="str">
        <x:v>Retain read-only; current authority remains 00–34.</x:v>
      </x:c>
      <x:c r="N563" s="36" t="str">
        <x:v>33 risk/continuity context</x:v>
      </x:c>
      <x:c r="O563" s="36" t="str">
        <x:v>10_Development_Records/Sprint_08/QA/S8_QA_Execution_Record.md</x:v>
      </x:c>
    </x:row>
    <x:row r="564">
      <x:c r="A564" s="27" t="str">
        <x:v>HIST-0560</x:v>
      </x:c>
      <x:c r="B564" s="27" t="str">
        <x:v>10_Development_Records</x:v>
      </x:c>
      <x:c r="C564" s="27" t="str"/>
      <x:c r="D564" s="27" t="str">
        <x:v>Sprint 08</x:v>
      </x:c>
      <x:c r="E564" s="36" t="str">
        <x:v>S8_Test_Plan.md</x:v>
      </x:c>
      <x:c r="F564" s="36" t="str">
        <x:v>MD</x:v>
      </x:c>
      <x:c r="G564" s="54" t="n">
        <x:v>813</x:v>
      </x:c>
      <x:c r="H564" s="36" t="str">
        <x:v>700cbef3a75e066574ad7b1f0c97ae0a20be0bd2f4b6bb21012f83a665268b0f</x:v>
      </x:c>
      <x:c r="I564" s="36" t="n">
        <x:v>1</x:v>
      </x:c>
      <x:c r="J564" s="36" t="str">
        <x:v>Development evidence</x:v>
      </x:c>
      <x:c r="K564" s="36" t="str">
        <x:v>SUPPORTING</x:v>
      </x:c>
      <x:c r="L564" s="36" t="str">
        <x:v>build, qa, sprint, test</x:v>
      </x:c>
      <x:c r="M564" s="36" t="str">
        <x:v>Retain read-only; current authority remains 00–34.</x:v>
      </x:c>
      <x:c r="N564" s="36" t="str">
        <x:v>33 risk/continuity context</x:v>
      </x:c>
      <x:c r="O564" s="36" t="str">
        <x:v>10_Development_Records/Sprint_08/QA/S8_Test_Plan.md</x:v>
      </x:c>
    </x:row>
    <x:row r="565">
      <x:c r="A565" s="27" t="str">
        <x:v>HIST-0561</x:v>
      </x:c>
      <x:c r="B565" s="27" t="str">
        <x:v>10_Development_Records</x:v>
      </x:c>
      <x:c r="C565" s="27" t="str"/>
      <x:c r="D565" s="27" t="str">
        <x:v>Sprint 08</x:v>
      </x:c>
      <x:c r="E565" s="36" t="str">
        <x:v>S8_Validation_Checklist.md</x:v>
      </x:c>
      <x:c r="F565" s="36" t="str">
        <x:v>MD</x:v>
      </x:c>
      <x:c r="G565" s="54" t="n">
        <x:v>1593</x:v>
      </x:c>
      <x:c r="H565" s="36" t="str">
        <x:v>e78968953305cb6dc030ececd164ea1e6ac7ca13a88385f2fcadb04e22c61e88</x:v>
      </x:c>
      <x:c r="I565" s="36" t="n">
        <x:v>1</x:v>
      </x:c>
      <x:c r="J565" s="36" t="str">
        <x:v>Development evidence</x:v>
      </x:c>
      <x:c r="K565" s="36" t="str">
        <x:v>DIRECT</x:v>
      </x:c>
      <x:c r="L565" s="36" t="str">
        <x:v>acceptance, build, closure, handoff, incident, qa, sprint, test, validation</x:v>
      </x:c>
      <x:c r="M565" s="36" t="str">
        <x:v>Retain read-only; current authority remains 00–34.</x:v>
      </x:c>
      <x:c r="N565" s="36" t="str">
        <x:v>33 risk/continuity context</x:v>
      </x:c>
      <x:c r="O565" s="36" t="str">
        <x:v>10_Development_Records/Sprint_08/QA/S8_Validation_Checklist.md</x:v>
      </x:c>
    </x:row>
    <x:row r="566">
      <x:c r="A566" s="27" t="str">
        <x:v>HIST-0562</x:v>
      </x:c>
      <x:c r="B566" s="27" t="str">
        <x:v>10_Development_Records</x:v>
      </x:c>
      <x:c r="C566" s="27" t="str"/>
      <x:c r="D566" s="27" t="str">
        <x:v>Sprint 08</x:v>
      </x:c>
      <x:c r="E566" s="36" t="str">
        <x:v>Sprint_08_Closure_Report.md</x:v>
      </x:c>
      <x:c r="F566" s="36" t="str">
        <x:v>MD</x:v>
      </x:c>
      <x:c r="G566" s="54" t="n">
        <x:v>2446</x:v>
      </x:c>
      <x:c r="H566" s="36" t="str">
        <x:v>d6a2eee566596bde2f15c4cb2cb9fdd3ac0623bfcf6964714820d2ec1472d5f5</x:v>
      </x:c>
      <x:c r="I566" s="36" t="n">
        <x:v>1</x:v>
      </x:c>
      <x:c r="J566" s="36" t="str">
        <x:v>Development evidence</x:v>
      </x:c>
      <x:c r="K566" s="36" t="str">
        <x:v>DIRECT</x:v>
      </x:c>
      <x:c r="L566" s="36" t="str">
        <x:v>acceptance, build, closure, dependency, incident, save, sprint, test, validation</x:v>
      </x:c>
      <x:c r="M566" s="36" t="str">
        <x:v>Retain read-only; current authority remains 00–34.</x:v>
      </x:c>
      <x:c r="N566" s="36" t="str">
        <x:v>33 risk/continuity context</x:v>
      </x:c>
      <x:c r="O566" s="36" t="str">
        <x:v>10_Development_Records/Sprint_08/Sprint_08_Closure_Report.md</x:v>
      </x:c>
    </x:row>
    <x:row r="567">
      <x:c r="A567" s="27" t="str">
        <x:v>HIST-0563</x:v>
      </x:c>
      <x:c r="B567" s="27" t="str">
        <x:v>10_Development_Records</x:v>
      </x:c>
      <x:c r="C567" s="27" t="str"/>
      <x:c r="D567" s="27" t="str">
        <x:v>Sprint 08</x:v>
      </x:c>
      <x:c r="E567" s="36" t="str">
        <x:v>S8_Document_Impact_Working_Matrix.md</x:v>
      </x:c>
      <x:c r="F567" s="36" t="str">
        <x:v>MD</x:v>
      </x:c>
      <x:c r="G567" s="54" t="n">
        <x:v>872</x:v>
      </x:c>
      <x:c r="H567" s="36" t="str">
        <x:v>ec0343bbb8dd8e784bf94ffd7c38e4035ba1ca6f153a804a69c050cb795859ec</x:v>
      </x:c>
      <x:c r="I567" s="36" t="n">
        <x:v>1</x:v>
      </x:c>
      <x:c r="J567" s="36" t="str">
        <x:v>Development evidence</x:v>
      </x:c>
      <x:c r="K567" s="36" t="str">
        <x:v>DIRECT</x:v>
      </x:c>
      <x:c r="L567" s="36" t="str">
        <x:v>closure, handoff, qa, roadmap, save, sprint</x:v>
      </x:c>
      <x:c r="M567" s="36" t="str">
        <x:v>Retain read-only; current authority remains 00–34.</x:v>
      </x:c>
      <x:c r="N567" s="36" t="str">
        <x:v>33 risk/continuity context</x:v>
      </x:c>
      <x:c r="O567" s="36" t="str">
        <x:v>10_Development_Records/Sprint_08/Traceability/S8_Document_Impact_Working_Matrix.md</x:v>
      </x:c>
    </x:row>
    <x:row r="568">
      <x:c r="A568" s="27" t="str">
        <x:v>HIST-0564</x:v>
      </x:c>
      <x:c r="B568" s="27" t="str">
        <x:v>10_Development_Records</x:v>
      </x:c>
      <x:c r="C568" s="27" t="str"/>
      <x:c r="D568" s="27" t="str">
        <x:v>Sprint 08</x:v>
      </x:c>
      <x:c r="E568" s="36" t="str">
        <x:v>S8_Traceability_Entries.csv</x:v>
      </x:c>
      <x:c r="F568" s="36" t="str">
        <x:v>CSV</x:v>
      </x:c>
      <x:c r="G568" s="54" t="n">
        <x:v>1582</x:v>
      </x:c>
      <x:c r="H568" s="36" t="str">
        <x:v>af8bd7c1f4780abe6cc568052107fb3d9b269aba6efc8087d5d9c7ad7902d23e</x:v>
      </x:c>
      <x:c r="I568" s="36" t="n">
        <x:v>1</x:v>
      </x:c>
      <x:c r="J568" s="36" t="str">
        <x:v>Development evidence</x:v>
      </x:c>
      <x:c r="K568" s="36" t="str">
        <x:v>DIRECT</x:v>
      </x:c>
      <x:c r="L568" s="36" t="str">
        <x:v>build, closure, handoff, qa, sprint, test, validation</x:v>
      </x:c>
      <x:c r="M568" s="36" t="str">
        <x:v>Retain read-only; current authority remains 00–34.</x:v>
      </x:c>
      <x:c r="N568" s="36" t="str">
        <x:v>33 risk/continuity context</x:v>
      </x:c>
      <x:c r="O568" s="36" t="str">
        <x:v>10_Development_Records/Sprint_08/Traceability/S8_Traceability_Entries.csv</x:v>
      </x:c>
    </x:row>
    <x:row r="569">
      <x:c r="A569" s="27" t="str">
        <x:v>HIST-0565</x:v>
      </x:c>
      <x:c r="B569" s="27" t="str">
        <x:v>10_Development_Records</x:v>
      </x:c>
      <x:c r="C569" s="27" t="str"/>
      <x:c r="D569" s="27" t="str">
        <x:v>Sprint 09</x:v>
      </x:c>
      <x:c r="E569" s="36" t="str">
        <x:v>S9_PostImplementation_Record.md</x:v>
      </x:c>
      <x:c r="F569" s="36" t="str">
        <x:v>MD</x:v>
      </x:c>
      <x:c r="G569" s="54" t="n">
        <x:v>798</x:v>
      </x:c>
      <x:c r="H569" s="36" t="str">
        <x:v>6b07d5adf234fe07af6475b6a6bac1fed856e6b4238fa14ae4e5daf731e73123</x:v>
      </x:c>
      <x:c r="I569" s="36" t="n">
        <x:v>1</x:v>
      </x:c>
      <x:c r="J569" s="36" t="str">
        <x:v>Development evidence</x:v>
      </x:c>
      <x:c r="K569" s="36" t="str">
        <x:v>SUPPORTING</x:v>
      </x:c>
      <x:c r="L569" s="36" t="str">
        <x:v>build, sprint, test</x:v>
      </x:c>
      <x:c r="M569" s="36" t="str">
        <x:v>Retain read-only; current authority remains 00–34.</x:v>
      </x:c>
      <x:c r="N569" s="36" t="str">
        <x:v>33 risk/continuity context</x:v>
      </x:c>
      <x:c r="O569" s="36" t="str">
        <x:v>10_Development_Records/Sprint_09/Documentation/S9_PostImplementation_Record.md</x:v>
      </x:c>
    </x:row>
    <x:row r="570">
      <x:c r="A570" s="27" t="str">
        <x:v>HIST-0566</x:v>
      </x:c>
      <x:c r="B570" s="27" t="str">
        <x:v>10_Development_Records</x:v>
      </x:c>
      <x:c r="C570" s="27" t="str"/>
      <x:c r="D570" s="27" t="str">
        <x:v>Sprint 09</x:v>
      </x:c>
      <x:c r="E570" s="36" t="str">
        <x:v>S9_PreImplementation_Record.md</x:v>
      </x:c>
      <x:c r="F570" s="36" t="str">
        <x:v>MD</x:v>
      </x:c>
      <x:c r="G570" s="54" t="n">
        <x:v>219</x:v>
      </x:c>
      <x:c r="H570" s="36" t="str">
        <x:v>d004bd0763ddcf7005a8a51ff9e919179003dbf456051ca4f42be55f1007af66</x:v>
      </x:c>
      <x:c r="I570" s="36" t="n">
        <x:v>1</x:v>
      </x:c>
      <x:c r="J570" s="36" t="str">
        <x:v>Development evidence</x:v>
      </x:c>
      <x:c r="K570" s="36" t="str">
        <x:v>CONTEXT / PRESERVED</x:v>
      </x:c>
      <x:c r="L570" s="36" t="str">
        <x:v>sprint</x:v>
      </x:c>
      <x:c r="M570" s="36" t="str">
        <x:v>Retain read-only; current authority remains 00–34.</x:v>
      </x:c>
      <x:c r="N570" s="36" t="str">
        <x:v>Preserved context; not mined as normative authority.</x:v>
      </x:c>
      <x:c r="O570" s="36" t="str">
        <x:v>10_Development_Records/Sprint_09/Documentation/S9_PreImplementation_Record.md</x:v>
      </x:c>
    </x:row>
    <x:row r="571">
      <x:c r="A571" s="27" t="str">
        <x:v>HIST-0567</x:v>
      </x:c>
      <x:c r="B571" s="27" t="str">
        <x:v>10_Development_Records</x:v>
      </x:c>
      <x:c r="C571" s="27" t="str"/>
      <x:c r="D571" s="27" t="str">
        <x:v>Sprint 09</x:v>
      </x:c>
      <x:c r="E571" s="36" t="str">
        <x:v>ADR-0034_Deterministic_Profile_Selection_and_Spawn_Queue.md</x:v>
      </x:c>
      <x:c r="F571" s="36" t="str">
        <x:v>MD</x:v>
      </x:c>
      <x:c r="G571" s="54" t="n">
        <x:v>308</x:v>
      </x:c>
      <x:c r="H571" s="36" t="str">
        <x:v>b3190da9985256d7704754263838fb9845526aaf470eec40c3e6501ffa6b8d0b</x:v>
      </x:c>
      <x:c r="I571" s="36" t="n">
        <x:v>1</x:v>
      </x:c>
      <x:c r="J571" s="36" t="str">
        <x:v>Development evidence</x:v>
      </x:c>
      <x:c r="K571" s="36" t="str">
        <x:v>SUPPORTING</x:v>
      </x:c>
      <x:c r="L571" s="36" t="str">
        <x:v>adr, sprint, test</x:v>
      </x:c>
      <x:c r="M571" s="36" t="str">
        <x:v>Retain read-only; current authority remains 00–34.</x:v>
      </x:c>
      <x:c r="N571" s="36" t="str">
        <x:v>33 risk/continuity context</x:v>
      </x:c>
      <x:c r="O571" s="36" t="str">
        <x:v>10_Development_Records/Sprint_09/Governance/ADR-0034_Deterministic_Profile_Selection_and_Spawn_Queue.md</x:v>
      </x:c>
    </x:row>
    <x:row r="572">
      <x:c r="A572" s="27" t="str">
        <x:v>HIST-0568</x:v>
      </x:c>
      <x:c r="B572" s="27" t="str">
        <x:v>10_Development_Records</x:v>
      </x:c>
      <x:c r="C572" s="27" t="str"/>
      <x:c r="D572" s="27" t="str">
        <x:v>Sprint 09</x:v>
      </x:c>
      <x:c r="E572" s="36" t="str">
        <x:v>ADR-0035_Customer_Lifecycle_and_Patience.md</x:v>
      </x:c>
      <x:c r="F572" s="36" t="str">
        <x:v>MD</x:v>
      </x:c>
      <x:c r="G572" s="54" t="n">
        <x:v>394</x:v>
      </x:c>
      <x:c r="H572" s="36" t="str">
        <x:v>abae8d2eebdfc7d8b65386653fb1cbb78c351049ef3d838a6d8b0668dd1e1173</x:v>
      </x:c>
      <x:c r="I572" s="36" t="n">
        <x:v>1</x:v>
      </x:c>
      <x:c r="J572" s="36" t="str">
        <x:v>Development evidence</x:v>
      </x:c>
      <x:c r="K572" s="36" t="str">
        <x:v>SUPPORTING</x:v>
      </x:c>
      <x:c r="L572" s="36" t="str">
        <x:v>adr, sprint</x:v>
      </x:c>
      <x:c r="M572" s="36" t="str">
        <x:v>Retain read-only; current authority remains 00–34.</x:v>
      </x:c>
      <x:c r="N572" s="36" t="str">
        <x:v>33 risk/continuity context</x:v>
      </x:c>
      <x:c r="O572" s="36" t="str">
        <x:v>10_Development_Records/Sprint_09/Governance/ADR-0035_Customer_Lifecycle_and_Patience.md</x:v>
      </x:c>
    </x:row>
    <x:row r="573">
      <x:c r="A573" s="27" t="str">
        <x:v>HIST-0569</x:v>
      </x:c>
      <x:c r="B573" s="27" t="str">
        <x:v>10_Development_Records</x:v>
      </x:c>
      <x:c r="C573" s="27" t="str"/>
      <x:c r="D573" s="27" t="str">
        <x:v>Sprint 09</x:v>
      </x:c>
      <x:c r="E573" s="36" t="str">
        <x:v>ADR-0036_Technical_Navigation_Boundary.md</x:v>
      </x:c>
      <x:c r="F573" s="36" t="str">
        <x:v>MD</x:v>
      </x:c>
      <x:c r="G573" s="54" t="n">
        <x:v>339</x:v>
      </x:c>
      <x:c r="H573" s="36" t="str">
        <x:v>d749100129b58f4e3fd7f9da9b540340194be1dee4dce5195173796089acb4d0</x:v>
      </x:c>
      <x:c r="I573" s="36" t="n">
        <x:v>1</x:v>
      </x:c>
      <x:c r="J573" s="36" t="str">
        <x:v>Development evidence</x:v>
      </x:c>
      <x:c r="K573" s="36" t="str">
        <x:v>SUPPORTING</x:v>
      </x:c>
      <x:c r="L573" s="36" t="str">
        <x:v>adr, sprint</x:v>
      </x:c>
      <x:c r="M573" s="36" t="str">
        <x:v>Retain read-only; current authority remains 00–34.</x:v>
      </x:c>
      <x:c r="N573" s="36" t="str">
        <x:v>33 risk/continuity context</x:v>
      </x:c>
      <x:c r="O573" s="36" t="str">
        <x:v>10_Development_Records/Sprint_09/Governance/ADR-0036_Technical_Navigation_Boundary.md</x:v>
      </x:c>
    </x:row>
    <x:row r="574">
      <x:c r="A574" s="27" t="str">
        <x:v>HIST-0570</x:v>
      </x:c>
      <x:c r="B574" s="27" t="str">
        <x:v>10_Development_Records</x:v>
      </x:c>
      <x:c r="C574" s="27" t="str"/>
      <x:c r="D574" s="27" t="str">
        <x:v>Sprint 09</x:v>
      </x:c>
      <x:c r="E574" s="36" t="str">
        <x:v>ADR-0037_Population_Cap_and_Technical_Representation.md</x:v>
      </x:c>
      <x:c r="F574" s="36" t="str">
        <x:v>MD</x:v>
      </x:c>
      <x:c r="G574" s="54" t="n">
        <x:v>307</x:v>
      </x:c>
      <x:c r="H574" s="36" t="str">
        <x:v>a03265cb88add303fe2be3c2b7982b1c183f2a3d52c5e7815b17a1a886428392</x:v>
      </x:c>
      <x:c r="I574" s="36" t="n">
        <x:v>1</x:v>
      </x:c>
      <x:c r="J574" s="36" t="str">
        <x:v>Development evidence</x:v>
      </x:c>
      <x:c r="K574" s="36" t="str">
        <x:v>SUPPORTING</x:v>
      </x:c>
      <x:c r="L574" s="36" t="str">
        <x:v>adr, sprint</x:v>
      </x:c>
      <x:c r="M574" s="36" t="str">
        <x:v>Retain read-only; current authority remains 00–34.</x:v>
      </x:c>
      <x:c r="N574" s="36" t="str">
        <x:v>33 risk/continuity context</x:v>
      </x:c>
      <x:c r="O574" s="36" t="str">
        <x:v>10_Development_Records/Sprint_09/Governance/ADR-0037_Population_Cap_and_Technical_Representation.md</x:v>
      </x:c>
    </x:row>
    <x:row r="575">
      <x:c r="A575" s="27" t="str">
        <x:v>HIST-0571</x:v>
      </x:c>
      <x:c r="B575" s="27" t="str">
        <x:v>10_Development_Records</x:v>
      </x:c>
      <x:c r="C575" s="27" t="str"/>
      <x:c r="D575" s="27" t="str">
        <x:v>Sprint 09</x:v>
      </x:c>
      <x:c r="E575" s="36" t="str">
        <x:v>S9_Handoff_Update_Template.md</x:v>
      </x:c>
      <x:c r="F575" s="36" t="str">
        <x:v>MD</x:v>
      </x:c>
      <x:c r="G575" s="54" t="n">
        <x:v>501</x:v>
      </x:c>
      <x:c r="H575" s="36" t="str">
        <x:v>e3d501b14918d549aab4d42cc2d289a8f1d83730600d1083109ea64ea409baae</x:v>
      </x:c>
      <x:c r="I575" s="36" t="n">
        <x:v>1</x:v>
      </x:c>
      <x:c r="J575" s="36" t="str">
        <x:v>Development evidence</x:v>
      </x:c>
      <x:c r="K575" s="36" t="str">
        <x:v>SUPPORTING</x:v>
      </x:c>
      <x:c r="L575" s="36" t="str">
        <x:v>handoff, sprint</x:v>
      </x:c>
      <x:c r="M575" s="36" t="str">
        <x:v>Retain read-only; current authority remains 00–34.</x:v>
      </x:c>
      <x:c r="N575" s="36" t="str">
        <x:v>33 risk/continuity context</x:v>
      </x:c>
      <x:c r="O575" s="36" t="str">
        <x:v>10_Development_Records/Sprint_09/Governance/S9_Handoff_Update_Template.md</x:v>
      </x:c>
    </x:row>
    <x:row r="576">
      <x:c r="A576" s="27" t="str">
        <x:v>HIST-0572</x:v>
      </x:c>
      <x:c r="B576" s="27" t="str">
        <x:v>10_Development_Records</x:v>
      </x:c>
      <x:c r="C576" s="27" t="str"/>
      <x:c r="D576" s="27" t="str">
        <x:v>Sprint 09</x:v>
      </x:c>
      <x:c r="E576" s="36" t="str">
        <x:v>Sprint_09_Charter.md</x:v>
      </x:c>
      <x:c r="F576" s="36" t="str">
        <x:v>MD</x:v>
      </x:c>
      <x:c r="G576" s="54" t="n">
        <x:v>1790</x:v>
      </x:c>
      <x:c r="H576" s="36" t="str">
        <x:v>6296044398070782a02219d18c7a85687c807bd2c657d405602d7144da1fcf5a</x:v>
      </x:c>
      <x:c r="I576" s="36" t="n">
        <x:v>1</x:v>
      </x:c>
      <x:c r="J576" s="36" t="str">
        <x:v>Development evidence</x:v>
      </x:c>
      <x:c r="K576" s="36" t="str">
        <x:v>SUPPORTING</x:v>
      </x:c>
      <x:c r="L576" s="36" t="str">
        <x:v>build, sprint, test</x:v>
      </x:c>
      <x:c r="M576" s="36" t="str">
        <x:v>Retain read-only; current authority remains 00–34.</x:v>
      </x:c>
      <x:c r="N576" s="36" t="str">
        <x:v>33 risk/continuity context</x:v>
      </x:c>
      <x:c r="O576" s="36" t="str">
        <x:v>10_Development_Records/Sprint_09/Governance/Sprint_09_Charter.md</x:v>
      </x:c>
    </x:row>
    <x:row r="577">
      <x:c r="A577" s="27" t="str">
        <x:v>HIST-0573</x:v>
      </x:c>
      <x:c r="B577" s="27" t="str">
        <x:v>10_Development_Records</x:v>
      </x:c>
      <x:c r="C577" s="27" t="str"/>
      <x:c r="D577" s="27" t="str">
        <x:v>Sprint 09</x:v>
      </x:c>
      <x:c r="E577" s="36" t="str">
        <x:v>Sprint_09_Current_Status.md</x:v>
      </x:c>
      <x:c r="F577" s="36" t="str">
        <x:v>MD</x:v>
      </x:c>
      <x:c r="G577" s="54" t="n">
        <x:v>669</x:v>
      </x:c>
      <x:c r="H577" s="36" t="str">
        <x:v>1b5b8afdac50a3de23f1764f81d3ac749ad5701fa9408ab2286534bdd32cc984</x:v>
      </x:c>
      <x:c r="I577" s="36" t="n">
        <x:v>1</x:v>
      </x:c>
      <x:c r="J577" s="36" t="str">
        <x:v>Development evidence</x:v>
      </x:c>
      <x:c r="K577" s="36" t="str">
        <x:v>SUPPORTING</x:v>
      </x:c>
      <x:c r="L577" s="36" t="str">
        <x:v>build, current_status, sprint</x:v>
      </x:c>
      <x:c r="M577" s="36" t="str">
        <x:v>Retain read-only; current authority remains 00–34.</x:v>
      </x:c>
      <x:c r="N577" s="36" t="str">
        <x:v>33 risk/continuity context</x:v>
      </x:c>
      <x:c r="O577" s="36" t="str">
        <x:v>10_Development_Records/Sprint_09/Governance/Sprint_09_Current_Status.md</x:v>
      </x:c>
    </x:row>
    <x:row r="578">
      <x:c r="A578" s="27" t="str">
        <x:v>HIST-0574</x:v>
      </x:c>
      <x:c r="B578" s="27" t="str">
        <x:v>10_Development_Records</x:v>
      </x:c>
      <x:c r="C578" s="27" t="str"/>
      <x:c r="D578" s="27" t="str">
        <x:v>Sprint 09</x:v>
      </x:c>
      <x:c r="E578" s="36" t="str">
        <x:v>S9_Acceptance_Matrix.md</x:v>
      </x:c>
      <x:c r="F578" s="36" t="str">
        <x:v>MD</x:v>
      </x:c>
      <x:c r="G578" s="54" t="n">
        <x:v>727</x:v>
      </x:c>
      <x:c r="H578" s="36" t="str">
        <x:v>476e8342efea9323b73b46337890b795fe2b3bc500486fd08a9e9f5dbf6706ef</x:v>
      </x:c>
      <x:c r="I578" s="36" t="n">
        <x:v>1</x:v>
      </x:c>
      <x:c r="J578" s="36" t="str">
        <x:v>Development evidence</x:v>
      </x:c>
      <x:c r="K578" s="36" t="str">
        <x:v>DIRECT</x:v>
      </x:c>
      <x:c r="L578" s="36" t="str">
        <x:v>acceptance, build, qa, sprint, test</x:v>
      </x:c>
      <x:c r="M578" s="36" t="str">
        <x:v>Retain read-only; current authority remains 00–34.</x:v>
      </x:c>
      <x:c r="N578" s="36" t="str">
        <x:v>33 risk/continuity context</x:v>
      </x:c>
      <x:c r="O578" s="36" t="str">
        <x:v>10_Development_Records/Sprint_09/QA/S9_Acceptance_Matrix.md</x:v>
      </x:c>
    </x:row>
    <x:row r="579">
      <x:c r="A579" s="27" t="str">
        <x:v>HIST-0575</x:v>
      </x:c>
      <x:c r="B579" s="27" t="str">
        <x:v>10_Development_Records</x:v>
      </x:c>
      <x:c r="C579" s="27" t="str"/>
      <x:c r="D579" s="27" t="str">
        <x:v>Sprint 09</x:v>
      </x:c>
      <x:c r="E579" s="36" t="str">
        <x:v>S9_Build_Execution_Record.md</x:v>
      </x:c>
      <x:c r="F579" s="36" t="str">
        <x:v>MD</x:v>
      </x:c>
      <x:c r="G579" s="54" t="n">
        <x:v>773</x:v>
      </x:c>
      <x:c r="H579" s="36" t="str">
        <x:v>743edb2e5421984273fb169aab3fbb16c48d6b0ac2e177c5e83ba01b51099304</x:v>
      </x:c>
      <x:c r="I579" s="36" t="n">
        <x:v>1</x:v>
      </x:c>
      <x:c r="J579" s="36" t="str">
        <x:v>Development evidence</x:v>
      </x:c>
      <x:c r="K579" s="36" t="str">
        <x:v>SUPPORTING</x:v>
      </x:c>
      <x:c r="L579" s="36" t="str">
        <x:v>build, qa, sprint</x:v>
      </x:c>
      <x:c r="M579" s="36" t="str">
        <x:v>Retain read-only; current authority remains 00–34.</x:v>
      </x:c>
      <x:c r="N579" s="36" t="str">
        <x:v>33 risk/continuity context</x:v>
      </x:c>
      <x:c r="O579" s="36" t="str">
        <x:v>10_Development_Records/Sprint_09/QA/S9_Build_Execution_Record.md</x:v>
      </x:c>
    </x:row>
    <x:row r="580">
      <x:c r="A580" s="27" t="str">
        <x:v>HIST-0576</x:v>
      </x:c>
      <x:c r="B580" s="27" t="str">
        <x:v>10_Development_Records</x:v>
      </x:c>
      <x:c r="C580" s="27" t="str"/>
      <x:c r="D580" s="27" t="str">
        <x:v>Sprint 09</x:v>
      </x:c>
      <x:c r="E580" s="36" t="str">
        <x:v>S9_Manual_Validation_Record.md</x:v>
      </x:c>
      <x:c r="F580" s="36" t="str">
        <x:v>MD</x:v>
      </x:c>
      <x:c r="G580" s="54" t="n">
        <x:v>813</x:v>
      </x:c>
      <x:c r="H580" s="36" t="str">
        <x:v>93b6eaaed85d417f81eb41a37696d307efd7c0523b25d309a76ed453eff9b2fc</x:v>
      </x:c>
      <x:c r="I580" s="36" t="n">
        <x:v>1</x:v>
      </x:c>
      <x:c r="J580" s="36" t="str">
        <x:v>Development evidence</x:v>
      </x:c>
      <x:c r="K580" s="36" t="str">
        <x:v>SUPPORTING</x:v>
      </x:c>
      <x:c r="L580" s="36" t="str">
        <x:v>qa, sprint, test, validation</x:v>
      </x:c>
      <x:c r="M580" s="36" t="str">
        <x:v>Retain read-only; current authority remains 00–34.</x:v>
      </x:c>
      <x:c r="N580" s="36" t="str">
        <x:v>33 risk/continuity context</x:v>
      </x:c>
      <x:c r="O580" s="36" t="str">
        <x:v>10_Development_Records/Sprint_09/QA/S9_Manual_Validation_Record.md</x:v>
      </x:c>
    </x:row>
    <x:row r="581">
      <x:c r="A581" s="27" t="str">
        <x:v>HIST-0577</x:v>
      </x:c>
      <x:c r="B581" s="27" t="str">
        <x:v>10_Development_Records</x:v>
      </x:c>
      <x:c r="C581" s="27" t="str"/>
      <x:c r="D581" s="27" t="str">
        <x:v>Sprint 09</x:v>
      </x:c>
      <x:c r="E581" s="36" t="str">
        <x:v>S9_QA_Execution_Record.md</x:v>
      </x:c>
      <x:c r="F581" s="36" t="str">
        <x:v>MD</x:v>
      </x:c>
      <x:c r="G581" s="54" t="n">
        <x:v>661</x:v>
      </x:c>
      <x:c r="H581" s="36" t="str">
        <x:v>ee2c2033cb369301abe3eb39bf1f0d3a71c241431b1889651e14a895437d114a</x:v>
      </x:c>
      <x:c r="I581" s="36" t="n">
        <x:v>1</x:v>
      </x:c>
      <x:c r="J581" s="36" t="str">
        <x:v>Development evidence</x:v>
      </x:c>
      <x:c r="K581" s="36" t="str">
        <x:v>SUPPORTING</x:v>
      </x:c>
      <x:c r="L581" s="36" t="str">
        <x:v>qa, sprint</x:v>
      </x:c>
      <x:c r="M581" s="36" t="str">
        <x:v>Retain read-only; current authority remains 00–34.</x:v>
      </x:c>
      <x:c r="N581" s="36" t="str">
        <x:v>33 risk/continuity context</x:v>
      </x:c>
      <x:c r="O581" s="36" t="str">
        <x:v>10_Development_Records/Sprint_09/QA/S9_QA_Execution_Record.md</x:v>
      </x:c>
    </x:row>
    <x:row r="582">
      <x:c r="A582" s="27" t="str">
        <x:v>HIST-0578</x:v>
      </x:c>
      <x:c r="B582" s="27" t="str">
        <x:v>10_Development_Records</x:v>
      </x:c>
      <x:c r="C582" s="27" t="str"/>
      <x:c r="D582" s="27" t="str">
        <x:v>Sprint 09</x:v>
      </x:c>
      <x:c r="E582" s="36" t="str">
        <x:v>S9_Test_Plan.md</x:v>
      </x:c>
      <x:c r="F582" s="36" t="str">
        <x:v>MD</x:v>
      </x:c>
      <x:c r="G582" s="54" t="n">
        <x:v>607</x:v>
      </x:c>
      <x:c r="H582" s="36" t="str">
        <x:v>b293d94d423091b2c31d627993d7b88b2f479dc55ef3cf638085c45abe0411ef</x:v>
      </x:c>
      <x:c r="I582" s="36" t="n">
        <x:v>1</x:v>
      </x:c>
      <x:c r="J582" s="36" t="str">
        <x:v>Development evidence</x:v>
      </x:c>
      <x:c r="K582" s="36" t="str">
        <x:v>SUPPORTING</x:v>
      </x:c>
      <x:c r="L582" s="36" t="str">
        <x:v>build, qa, sprint, test</x:v>
      </x:c>
      <x:c r="M582" s="36" t="str">
        <x:v>Retain read-only; current authority remains 00–34.</x:v>
      </x:c>
      <x:c r="N582" s="36" t="str">
        <x:v>33 risk/continuity context</x:v>
      </x:c>
      <x:c r="O582" s="36" t="str">
        <x:v>10_Development_Records/Sprint_09/QA/S9_Test_Plan.md</x:v>
      </x:c>
    </x:row>
    <x:row r="583">
      <x:c r="A583" s="27" t="str">
        <x:v>HIST-0579</x:v>
      </x:c>
      <x:c r="B583" s="27" t="str">
        <x:v>10_Development_Records</x:v>
      </x:c>
      <x:c r="C583" s="27" t="str"/>
      <x:c r="D583" s="27" t="str">
        <x:v>Sprint 09</x:v>
      </x:c>
      <x:c r="E583" s="36" t="str">
        <x:v>S9_Validation_Checklist.md</x:v>
      </x:c>
      <x:c r="F583" s="36" t="str">
        <x:v>MD</x:v>
      </x:c>
      <x:c r="G583" s="54" t="n">
        <x:v>643</x:v>
      </x:c>
      <x:c r="H583" s="36" t="str">
        <x:v>07c2186f8993ca63a64d0b6c14bdff998f0b1a5e193bc1ce0d4944640a189d3c</x:v>
      </x:c>
      <x:c r="I583" s="36" t="n">
        <x:v>1</x:v>
      </x:c>
      <x:c r="J583" s="36" t="str">
        <x:v>Development evidence</x:v>
      </x:c>
      <x:c r="K583" s="36" t="str">
        <x:v>DIRECT</x:v>
      </x:c>
      <x:c r="L583" s="36" t="str">
        <x:v>build, qa, sprint, test, validation</x:v>
      </x:c>
      <x:c r="M583" s="36" t="str">
        <x:v>Retain read-only; current authority remains 00–34.</x:v>
      </x:c>
      <x:c r="N583" s="36" t="str">
        <x:v>33 risk/continuity context</x:v>
      </x:c>
      <x:c r="O583" s="36" t="str">
        <x:v>10_Development_Records/Sprint_09/QA/S9_Validation_Checklist.md</x:v>
      </x:c>
    </x:row>
    <x:row r="584">
      <x:c r="A584" s="27" t="str">
        <x:v>HIST-0580</x:v>
      </x:c>
      <x:c r="B584" s="27" t="str">
        <x:v>10_Development_Records</x:v>
      </x:c>
      <x:c r="C584" s="27" t="str"/>
      <x:c r="D584" s="27" t="str">
        <x:v>Sprint 09</x:v>
      </x:c>
      <x:c r="E584" s="36" t="str">
        <x:v>Sprint_09_Closure_Report.md</x:v>
      </x:c>
      <x:c r="F584" s="36" t="str">
        <x:v>MD</x:v>
      </x:c>
      <x:c r="G584" s="54" t="n">
        <x:v>3172</x:v>
      </x:c>
      <x:c r="H584" s="36" t="str">
        <x:v>d683b02e85f86a4753e0e7fe4f84466c88cd702ffe6bacfb1743c21d11f61921</x:v>
      </x:c>
      <x:c r="I584" s="36" t="n">
        <x:v>1</x:v>
      </x:c>
      <x:c r="J584" s="36" t="str">
        <x:v>Development evidence</x:v>
      </x:c>
      <x:c r="K584" s="36" t="str">
        <x:v>SUPPORTING</x:v>
      </x:c>
      <x:c r="L584" s="36" t="str">
        <x:v>build, closure, sprint, test</x:v>
      </x:c>
      <x:c r="M584" s="36" t="str">
        <x:v>Retain read-only; current authority remains 00–34.</x:v>
      </x:c>
      <x:c r="N584" s="36" t="str">
        <x:v>33 risk/continuity context</x:v>
      </x:c>
      <x:c r="O584" s="36" t="str">
        <x:v>10_Development_Records/Sprint_09/Sprint_09_Closure_Report.md</x:v>
      </x:c>
    </x:row>
    <x:row r="585">
      <x:c r="A585" s="27" t="str">
        <x:v>HIST-0581</x:v>
      </x:c>
      <x:c r="B585" s="27" t="str">
        <x:v>10_Development_Records</x:v>
      </x:c>
      <x:c r="C585" s="27" t="str"/>
      <x:c r="D585" s="27" t="str">
        <x:v>Sprint 09</x:v>
      </x:c>
      <x:c r="E585" s="36" t="str">
        <x:v>S9_Document_Impact_Working_Matrix.md</x:v>
      </x:c>
      <x:c r="F585" s="36" t="str">
        <x:v>MD</x:v>
      </x:c>
      <x:c r="G585" s="54" t="n">
        <x:v>540</x:v>
      </x:c>
      <x:c r="H585" s="36" t="str">
        <x:v>de19fa7d5457a8379f18eb262cc54b5749043f28b18ee5897330b35b310c5e68</x:v>
      </x:c>
      <x:c r="I585" s="36" t="n">
        <x:v>1</x:v>
      </x:c>
      <x:c r="J585" s="36" t="str">
        <x:v>Development evidence</x:v>
      </x:c>
      <x:c r="K585" s="36" t="str">
        <x:v>DIRECT</x:v>
      </x:c>
      <x:c r="L585" s="36" t="str">
        <x:v>build, handoff, qa, roadmap, sprint, test</x:v>
      </x:c>
      <x:c r="M585" s="36" t="str">
        <x:v>Retain read-only; current authority remains 00–34.</x:v>
      </x:c>
      <x:c r="N585" s="36" t="str">
        <x:v>33 risk/continuity context</x:v>
      </x:c>
      <x:c r="O585" s="36" t="str">
        <x:v>10_Development_Records/Sprint_09/Traceability/S9_Document_Impact_Working_Matrix.md</x:v>
      </x:c>
    </x:row>
    <x:row r="586">
      <x:c r="A586" s="27" t="str">
        <x:v>HIST-0582</x:v>
      </x:c>
      <x:c r="B586" s="27" t="str">
        <x:v>10_Development_Records</x:v>
      </x:c>
      <x:c r="C586" s="27" t="str"/>
      <x:c r="D586" s="27" t="str">
        <x:v>Sprint 09</x:v>
      </x:c>
      <x:c r="E586" s="36" t="str">
        <x:v>S9_Traceability_Entries.csv</x:v>
      </x:c>
      <x:c r="F586" s="36" t="str">
        <x:v>CSV</x:v>
      </x:c>
      <x:c r="G586" s="54" t="n">
        <x:v>526</x:v>
      </x:c>
      <x:c r="H586" s="36" t="str">
        <x:v>0e62c2262ea47b4f54cab1b20cb2f2ed8297c2da6433fd5fe1e1a3928f4d3aa3</x:v>
      </x:c>
      <x:c r="I586" s="36" t="n">
        <x:v>1</x:v>
      </x:c>
      <x:c r="J586" s="36" t="str">
        <x:v>Development evidence</x:v>
      </x:c>
      <x:c r="K586" s="36" t="str">
        <x:v>DIRECT</x:v>
      </x:c>
      <x:c r="L586" s="36" t="str">
        <x:v>build, qa, roadmap, sprint, test, validation</x:v>
      </x:c>
      <x:c r="M586" s="36" t="str">
        <x:v>Retain read-only; current authority remains 00–34.</x:v>
      </x:c>
      <x:c r="N586" s="36" t="str">
        <x:v>33 risk/continuity context</x:v>
      </x:c>
      <x:c r="O586" s="36" t="str">
        <x:v>10_Development_Records/Sprint_09/Traceability/S9_Traceability_Entries.csv</x:v>
      </x:c>
    </x:row>
    <x:row r="587">
      <x:c r="A587" s="27" t="str">
        <x:v>HIST-0583</x:v>
      </x:c>
      <x:c r="B587" s="27" t="str">
        <x:v>10_Development_Records</x:v>
      </x:c>
      <x:c r="C587" s="27" t="str"/>
      <x:c r="D587" s="27" t="str">
        <x:v>Sprint 10</x:v>
      </x:c>
      <x:c r="E587" s="36" t="str">
        <x:v>ADR-0038-ReservationBackedCart.md</x:v>
      </x:c>
      <x:c r="F587" s="36" t="str">
        <x:v>MD</x:v>
      </x:c>
      <x:c r="G587" s="54" t="n">
        <x:v>176</x:v>
      </x:c>
      <x:c r="H587" s="36" t="str">
        <x:v>b75acced6289b8579e95ccb0e1dbe76dcaa3fafbbd9e4c16c8bda84aaa7a37fc</x:v>
      </x:c>
      <x:c r="I587" s="36" t="n">
        <x:v>1</x:v>
      </x:c>
      <x:c r="J587" s="36" t="str">
        <x:v>Development evidence</x:v>
      </x:c>
      <x:c r="K587" s="36" t="str">
        <x:v>SUPPORTING</x:v>
      </x:c>
      <x:c r="L587" s="36" t="str">
        <x:v>adr, sprint</x:v>
      </x:c>
      <x:c r="M587" s="36" t="str">
        <x:v>Retain read-only; current authority remains 00–34.</x:v>
      </x:c>
      <x:c r="N587" s="36" t="str">
        <x:v>33 risk/continuity context</x:v>
      </x:c>
      <x:c r="O587" s="36" t="str">
        <x:v>10_Development_Records/Sprint_10/Architecture/ADR-0038-ReservationBackedCart.md</x:v>
      </x:c>
    </x:row>
    <x:row r="588">
      <x:c r="A588" s="27" t="str">
        <x:v>HIST-0584</x:v>
      </x:c>
      <x:c r="B588" s="27" t="str">
        <x:v>10_Development_Records</x:v>
      </x:c>
      <x:c r="C588" s="27" t="str"/>
      <x:c r="D588" s="27" t="str">
        <x:v>Sprint 10</x:v>
      </x:c>
      <x:c r="E588" s="36" t="str">
        <x:v>ADR-0039-DeterministicShoppingSearch.md</x:v>
      </x:c>
      <x:c r="F588" s="36" t="str">
        <x:v>MD</x:v>
      </x:c>
      <x:c r="G588" s="54" t="n">
        <x:v>179</x:v>
      </x:c>
      <x:c r="H588" s="36" t="str">
        <x:v>f68af75f570d688595409b8c6be5689989143acb084811e26f6e21f125bae81e</x:v>
      </x:c>
      <x:c r="I588" s="36" t="n">
        <x:v>1</x:v>
      </x:c>
      <x:c r="J588" s="36" t="str">
        <x:v>Development evidence</x:v>
      </x:c>
      <x:c r="K588" s="36" t="str">
        <x:v>SUPPORTING</x:v>
      </x:c>
      <x:c r="L588" s="36" t="str">
        <x:v>adr, sprint</x:v>
      </x:c>
      <x:c r="M588" s="36" t="str">
        <x:v>Retain read-only; current authority remains 00–34.</x:v>
      </x:c>
      <x:c r="N588" s="36" t="str">
        <x:v>33 risk/continuity context</x:v>
      </x:c>
      <x:c r="O588" s="36" t="str">
        <x:v>10_Development_Records/Sprint_10/Architecture/ADR-0039-DeterministicShoppingSearch.md</x:v>
      </x:c>
    </x:row>
    <x:row r="589">
      <x:c r="A589" s="27" t="str">
        <x:v>HIST-0585</x:v>
      </x:c>
      <x:c r="B589" s="27" t="str">
        <x:v>10_Development_Records</x:v>
      </x:c>
      <x:c r="C589" s="27" t="str"/>
      <x:c r="D589" s="27" t="str">
        <x:v>Sprint 10</x:v>
      </x:c>
      <x:c r="E589" s="36" t="str">
        <x:v>ADR-0040-ReservationProvenance.md</x:v>
      </x:c>
      <x:c r="F589" s="36" t="str">
        <x:v>MD</x:v>
      </x:c>
      <x:c r="G589" s="54" t="n">
        <x:v>130</x:v>
      </x:c>
      <x:c r="H589" s="36" t="str">
        <x:v>fb548c17172d591576640e2454ef14319057adc48b3dbd9944374ff306f3dee5</x:v>
      </x:c>
      <x:c r="I589" s="36" t="n">
        <x:v>1</x:v>
      </x:c>
      <x:c r="J589" s="36" t="str">
        <x:v>Development evidence</x:v>
      </x:c>
      <x:c r="K589" s="36" t="str">
        <x:v>SUPPORTING</x:v>
      </x:c>
      <x:c r="L589" s="36" t="str">
        <x:v>adr, sprint</x:v>
      </x:c>
      <x:c r="M589" s="36" t="str">
        <x:v>Retain read-only; current authority remains 00–34.</x:v>
      </x:c>
      <x:c r="N589" s="36" t="str">
        <x:v>33 risk/continuity context</x:v>
      </x:c>
      <x:c r="O589" s="36" t="str">
        <x:v>10_Development_Records/Sprint_10/Architecture/ADR-0040-ReservationProvenance.md</x:v>
      </x:c>
    </x:row>
    <x:row r="590">
      <x:c r="A590" s="27" t="str">
        <x:v>HIST-0586</x:v>
      </x:c>
      <x:c r="B590" s="27" t="str">
        <x:v>10_Development_Records</x:v>
      </x:c>
      <x:c r="C590" s="27" t="str"/>
      <x:c r="D590" s="27" t="str">
        <x:v>Sprint 10</x:v>
      </x:c>
      <x:c r="E590" s="36" t="str">
        <x:v>ADR-0041-CustomerShoppingSessionBoundary.md</x:v>
      </x:c>
      <x:c r="F590" s="36" t="str">
        <x:v>MD</x:v>
      </x:c>
      <x:c r="G590" s="54" t="n">
        <x:v>160</x:v>
      </x:c>
      <x:c r="H590" s="36" t="str">
        <x:v>d6bf2284912c0e33992a0af84e445ad75fb6af270bb901ec0bf0f03942a11c08</x:v>
      </x:c>
      <x:c r="I590" s="36" t="n">
        <x:v>1</x:v>
      </x:c>
      <x:c r="J590" s="36" t="str">
        <x:v>Development evidence</x:v>
      </x:c>
      <x:c r="K590" s="36" t="str">
        <x:v>SUPPORTING</x:v>
      </x:c>
      <x:c r="L590" s="36" t="str">
        <x:v>adr, sprint</x:v>
      </x:c>
      <x:c r="M590" s="36" t="str">
        <x:v>Retain read-only; current authority remains 00–34.</x:v>
      </x:c>
      <x:c r="N590" s="36" t="str">
        <x:v>33 risk/continuity context</x:v>
      </x:c>
      <x:c r="O590" s="36" t="str">
        <x:v>10_Development_Records/Sprint_10/Architecture/ADR-0041-CustomerShoppingSessionBoundary.md</x:v>
      </x:c>
    </x:row>
    <x:row r="591">
      <x:c r="A591" s="27" t="str">
        <x:v>HIST-0587</x:v>
      </x:c>
      <x:c r="B591" s="27" t="str">
        <x:v>10_Development_Records</x:v>
      </x:c>
      <x:c r="C591" s="27" t="str"/>
      <x:c r="D591" s="27" t="str">
        <x:v>Sprint 10</x:v>
      </x:c>
      <x:c r="E591" s="36" t="str">
        <x:v>S10_PostImplementation_Record.md</x:v>
      </x:c>
      <x:c r="F591" s="36" t="str">
        <x:v>MD</x:v>
      </x:c>
      <x:c r="G591" s="54" t="n">
        <x:v>782</x:v>
      </x:c>
      <x:c r="H591" s="36" t="str">
        <x:v>c3fa683ba9a345654be078d3ddb4e17e6dea32b20515674f8f991f97cd4424ee</x:v>
      </x:c>
      <x:c r="I591" s="36" t="n">
        <x:v>1</x:v>
      </x:c>
      <x:c r="J591" s="36" t="str">
        <x:v>Development evidence</x:v>
      </x:c>
      <x:c r="K591" s="36" t="str">
        <x:v>SUPPORTING</x:v>
      </x:c>
      <x:c r="L591" s="36" t="str">
        <x:v>build, sprint, test</x:v>
      </x:c>
      <x:c r="M591" s="36" t="str">
        <x:v>Retain read-only; current authority remains 00–34.</x:v>
      </x:c>
      <x:c r="N591" s="36" t="str">
        <x:v>33 risk/continuity context</x:v>
      </x:c>
      <x:c r="O591" s="36" t="str">
        <x:v>10_Development_Records/Sprint_10/Documentation/S10_PostImplementation_Record.md</x:v>
      </x:c>
    </x:row>
    <x:row r="592">
      <x:c r="A592" s="27" t="str">
        <x:v>HIST-0588</x:v>
      </x:c>
      <x:c r="B592" s="27" t="str">
        <x:v>10_Development_Records</x:v>
      </x:c>
      <x:c r="C592" s="27" t="str"/>
      <x:c r="D592" s="27" t="str">
        <x:v>Sprint 10</x:v>
      </x:c>
      <x:c r="E592" s="36" t="str">
        <x:v>S10_PreImplementation_Record.md</x:v>
      </x:c>
      <x:c r="F592" s="36" t="str">
        <x:v>MD</x:v>
      </x:c>
      <x:c r="G592" s="54" t="n">
        <x:v>222</x:v>
      </x:c>
      <x:c r="H592" s="36" t="str">
        <x:v>265ae066e51cc75b835fa53005496e95e0d3f5460def48faf38e93a0ad7e9543</x:v>
      </x:c>
      <x:c r="I592" s="36" t="n">
        <x:v>1</x:v>
      </x:c>
      <x:c r="J592" s="36" t="str">
        <x:v>Development evidence</x:v>
      </x:c>
      <x:c r="K592" s="36" t="str">
        <x:v>CONTEXT / PRESERVED</x:v>
      </x:c>
      <x:c r="L592" s="36" t="str">
        <x:v>sprint</x:v>
      </x:c>
      <x:c r="M592" s="36" t="str">
        <x:v>Retain read-only; current authority remains 00–34.</x:v>
      </x:c>
      <x:c r="N592" s="36" t="str">
        <x:v>Preserved context; not mined as normative authority.</x:v>
      </x:c>
      <x:c r="O592" s="36" t="str">
        <x:v>10_Development_Records/Sprint_10/Documentation/S10_PreImplementation_Record.md</x:v>
      </x:c>
    </x:row>
    <x:row r="593">
      <x:c r="A593" s="27" t="str">
        <x:v>HIST-0589</x:v>
      </x:c>
      <x:c r="B593" s="27" t="str">
        <x:v>10_Development_Records</x:v>
      </x:c>
      <x:c r="C593" s="27" t="str"/>
      <x:c r="D593" s="27" t="str">
        <x:v>Sprint 10</x:v>
      </x:c>
      <x:c r="E593" s="36" t="str">
        <x:v>S10_Handoff_Update_Template.md</x:v>
      </x:c>
      <x:c r="F593" s="36" t="str">
        <x:v>MD</x:v>
      </x:c>
      <x:c r="G593" s="54" t="n">
        <x:v>429</x:v>
      </x:c>
      <x:c r="H593" s="36" t="str">
        <x:v>e7893c392feb7b35d3e270034b36f9da758d73673adb7e3f50cecea5763003a0</x:v>
      </x:c>
      <x:c r="I593" s="36" t="n">
        <x:v>1</x:v>
      </x:c>
      <x:c r="J593" s="36" t="str">
        <x:v>Development evidence</x:v>
      </x:c>
      <x:c r="K593" s="36" t="str">
        <x:v>SUPPORTING</x:v>
      </x:c>
      <x:c r="L593" s="36" t="str">
        <x:v>handoff, sprint</x:v>
      </x:c>
      <x:c r="M593" s="36" t="str">
        <x:v>Retain read-only; current authority remains 00–34.</x:v>
      </x:c>
      <x:c r="N593" s="36" t="str">
        <x:v>33 risk/continuity context</x:v>
      </x:c>
      <x:c r="O593" s="36" t="str">
        <x:v>10_Development_Records/Sprint_10/Governance/S10_Handoff_Update_Template.md</x:v>
      </x:c>
    </x:row>
    <x:row r="594">
      <x:c r="A594" s="27" t="str">
        <x:v>HIST-0590</x:v>
      </x:c>
      <x:c r="B594" s="27" t="str">
        <x:v>10_Development_Records</x:v>
      </x:c>
      <x:c r="C594" s="27" t="str"/>
      <x:c r="D594" s="27" t="str">
        <x:v>Sprint 10</x:v>
      </x:c>
      <x:c r="E594" s="36" t="str">
        <x:v>Sprint_10_Charter.md</x:v>
      </x:c>
      <x:c r="F594" s="36" t="str">
        <x:v>MD</x:v>
      </x:c>
      <x:c r="G594" s="54" t="n">
        <x:v>834</x:v>
      </x:c>
      <x:c r="H594" s="36" t="str">
        <x:v>b484679a0a2a28c420bf3e6aa9213b29d4bde9949595e381cf6ef16b12b16a23</x:v>
      </x:c>
      <x:c r="I594" s="36" t="n">
        <x:v>1</x:v>
      </x:c>
      <x:c r="J594" s="36" t="str">
        <x:v>Development evidence</x:v>
      </x:c>
      <x:c r="K594" s="36" t="str">
        <x:v>SUPPORTING</x:v>
      </x:c>
      <x:c r="L594" s="36" t="str">
        <x:v>build, sprint</x:v>
      </x:c>
      <x:c r="M594" s="36" t="str">
        <x:v>Retain read-only; current authority remains 00–34.</x:v>
      </x:c>
      <x:c r="N594" s="36" t="str">
        <x:v>33 risk/continuity context</x:v>
      </x:c>
      <x:c r="O594" s="36" t="str">
        <x:v>10_Development_Records/Sprint_10/Governance/Sprint_10_Charter.md</x:v>
      </x:c>
    </x:row>
    <x:row r="595">
      <x:c r="A595" s="27" t="str">
        <x:v>HIST-0591</x:v>
      </x:c>
      <x:c r="B595" s="27" t="str">
        <x:v>10_Development_Records</x:v>
      </x:c>
      <x:c r="C595" s="27" t="str"/>
      <x:c r="D595" s="27" t="str">
        <x:v>Sprint 10</x:v>
      </x:c>
      <x:c r="E595" s="36" t="str">
        <x:v>Sprint_10_Current_Status.md</x:v>
      </x:c>
      <x:c r="F595" s="36" t="str">
        <x:v>MD</x:v>
      </x:c>
      <x:c r="G595" s="54" t="n">
        <x:v>669</x:v>
      </x:c>
      <x:c r="H595" s="36" t="str">
        <x:v>893435f0a6ec143e27717287e3702e0d7306e9f5da085f3fcedab40994cbdb4b</x:v>
      </x:c>
      <x:c r="I595" s="36" t="n">
        <x:v>1</x:v>
      </x:c>
      <x:c r="J595" s="36" t="str">
        <x:v>Development evidence</x:v>
      </x:c>
      <x:c r="K595" s="36" t="str">
        <x:v>SUPPORTING</x:v>
      </x:c>
      <x:c r="L595" s="36" t="str">
        <x:v>build, current_status, sprint</x:v>
      </x:c>
      <x:c r="M595" s="36" t="str">
        <x:v>Retain read-only; current authority remains 00–34.</x:v>
      </x:c>
      <x:c r="N595" s="36" t="str">
        <x:v>33 risk/continuity context</x:v>
      </x:c>
      <x:c r="O595" s="36" t="str">
        <x:v>10_Development_Records/Sprint_10/Governance/Sprint_10_Current_Status.md</x:v>
      </x:c>
    </x:row>
    <x:row r="596">
      <x:c r="A596" s="27" t="str">
        <x:v>HIST-0592</x:v>
      </x:c>
      <x:c r="B596" s="27" t="str">
        <x:v>10_Development_Records</x:v>
      </x:c>
      <x:c r="C596" s="27" t="str"/>
      <x:c r="D596" s="27" t="str">
        <x:v>Sprint 10</x:v>
      </x:c>
      <x:c r="E596" s="36" t="str">
        <x:v>S10_Acceptance_Matrix.md</x:v>
      </x:c>
      <x:c r="F596" s="36" t="str">
        <x:v>MD</x:v>
      </x:c>
      <x:c r="G596" s="54" t="n">
        <x:v>665</x:v>
      </x:c>
      <x:c r="H596" s="36" t="str">
        <x:v>8a3558314d7d868e3e2ce0dc33fe62e7b1b33eddf1e70b2d6eab43c9b3600d8c</x:v>
      </x:c>
      <x:c r="I596" s="36" t="n">
        <x:v>1</x:v>
      </x:c>
      <x:c r="J596" s="36" t="str">
        <x:v>Development evidence</x:v>
      </x:c>
      <x:c r="K596" s="36" t="str">
        <x:v>DIRECT</x:v>
      </x:c>
      <x:c r="L596" s="36" t="str">
        <x:v>acceptance, build, qa, sprint, test</x:v>
      </x:c>
      <x:c r="M596" s="36" t="str">
        <x:v>Retain read-only; current authority remains 00–34.</x:v>
      </x:c>
      <x:c r="N596" s="36" t="str">
        <x:v>33 risk/continuity context</x:v>
      </x:c>
      <x:c r="O596" s="36" t="str">
        <x:v>10_Development_Records/Sprint_10/QA/S10_Acceptance_Matrix.md</x:v>
      </x:c>
    </x:row>
    <x:row r="597">
      <x:c r="A597" s="27" t="str">
        <x:v>HIST-0593</x:v>
      </x:c>
      <x:c r="B597" s="27" t="str">
        <x:v>10_Development_Records</x:v>
      </x:c>
      <x:c r="C597" s="27" t="str"/>
      <x:c r="D597" s="27" t="str">
        <x:v>Sprint 10</x:v>
      </x:c>
      <x:c r="E597" s="36" t="str">
        <x:v>S10_Build_Execution_Record.md</x:v>
      </x:c>
      <x:c r="F597" s="36" t="str">
        <x:v>MD</x:v>
      </x:c>
      <x:c r="G597" s="54" t="n">
        <x:v>535</x:v>
      </x:c>
      <x:c r="H597" s="36" t="str">
        <x:v>adea9b7fcdab6e319f0ded3171260cc0200e2ae3ab424916a8068a7175872369</x:v>
      </x:c>
      <x:c r="I597" s="36" t="n">
        <x:v>1</x:v>
      </x:c>
      <x:c r="J597" s="36" t="str">
        <x:v>Development evidence</x:v>
      </x:c>
      <x:c r="K597" s="36" t="str">
        <x:v>SUPPORTING</x:v>
      </x:c>
      <x:c r="L597" s="36" t="str">
        <x:v>build, qa, sprint</x:v>
      </x:c>
      <x:c r="M597" s="36" t="str">
        <x:v>Retain read-only; current authority remains 00–34.</x:v>
      </x:c>
      <x:c r="N597" s="36" t="str">
        <x:v>33 risk/continuity context</x:v>
      </x:c>
      <x:c r="O597" s="36" t="str">
        <x:v>10_Development_Records/Sprint_10/QA/S10_Build_Execution_Record.md</x:v>
      </x:c>
    </x:row>
    <x:row r="598">
      <x:c r="A598" s="27" t="str">
        <x:v>HIST-0594</x:v>
      </x:c>
      <x:c r="B598" s="27" t="str">
        <x:v>10_Development_Records</x:v>
      </x:c>
      <x:c r="C598" s="27" t="str"/>
      <x:c r="D598" s="27" t="str">
        <x:v>Sprint 10</x:v>
      </x:c>
      <x:c r="E598" s="36" t="str">
        <x:v>S10_Manual_Validation_Record.md</x:v>
      </x:c>
      <x:c r="F598" s="36" t="str">
        <x:v>MD</x:v>
      </x:c>
      <x:c r="G598" s="54" t="n">
        <x:v>609</x:v>
      </x:c>
      <x:c r="H598" s="36" t="str">
        <x:v>35d91142c2f3c26612d93bdf77ed3d4211d1d08373d21fcb34960e5987457c19</x:v>
      </x:c>
      <x:c r="I598" s="36" t="n">
        <x:v>1</x:v>
      </x:c>
      <x:c r="J598" s="36" t="str">
        <x:v>Development evidence</x:v>
      </x:c>
      <x:c r="K598" s="36" t="str">
        <x:v>SUPPORTING</x:v>
      </x:c>
      <x:c r="L598" s="36" t="str">
        <x:v>qa, sprint, test, validation</x:v>
      </x:c>
      <x:c r="M598" s="36" t="str">
        <x:v>Retain read-only; current authority remains 00–34.</x:v>
      </x:c>
      <x:c r="N598" s="36" t="str">
        <x:v>33 risk/continuity context</x:v>
      </x:c>
      <x:c r="O598" s="36" t="str">
        <x:v>10_Development_Records/Sprint_10/QA/S10_Manual_Validation_Record.md</x:v>
      </x:c>
    </x:row>
    <x:row r="599">
      <x:c r="A599" s="27" t="str">
        <x:v>HIST-0595</x:v>
      </x:c>
      <x:c r="B599" s="27" t="str">
        <x:v>10_Development_Records</x:v>
      </x:c>
      <x:c r="C599" s="27" t="str"/>
      <x:c r="D599" s="27" t="str">
        <x:v>Sprint 10</x:v>
      </x:c>
      <x:c r="E599" s="36" t="str">
        <x:v>S10_QA_Execution_Record.md</x:v>
      </x:c>
      <x:c r="F599" s="36" t="str">
        <x:v>MD</x:v>
      </x:c>
      <x:c r="G599" s="54" t="n">
        <x:v>544</x:v>
      </x:c>
      <x:c r="H599" s="36" t="str">
        <x:v>c45fb3dd29d4ec4dc67ad42f496932c94cbe384096c560c08d3d1c9615c6a5fe</x:v>
      </x:c>
      <x:c r="I599" s="36" t="n">
        <x:v>1</x:v>
      </x:c>
      <x:c r="J599" s="36" t="str">
        <x:v>Development evidence</x:v>
      </x:c>
      <x:c r="K599" s="36" t="str">
        <x:v>SUPPORTING</x:v>
      </x:c>
      <x:c r="L599" s="36" t="str">
        <x:v>qa, sprint, test</x:v>
      </x:c>
      <x:c r="M599" s="36" t="str">
        <x:v>Retain read-only; current authority remains 00–34.</x:v>
      </x:c>
      <x:c r="N599" s="36" t="str">
        <x:v>33 risk/continuity context</x:v>
      </x:c>
      <x:c r="O599" s="36" t="str">
        <x:v>10_Development_Records/Sprint_10/QA/S10_QA_Execution_Record.md</x:v>
      </x:c>
    </x:row>
    <x:row r="600">
      <x:c r="A600" s="27" t="str">
        <x:v>HIST-0596</x:v>
      </x:c>
      <x:c r="B600" s="27" t="str">
        <x:v>10_Development_Records</x:v>
      </x:c>
      <x:c r="C600" s="27" t="str"/>
      <x:c r="D600" s="27" t="str">
        <x:v>Sprint 10</x:v>
      </x:c>
      <x:c r="E600" s="36" t="str">
        <x:v>S10_Test_Plan.md</x:v>
      </x:c>
      <x:c r="F600" s="36" t="str">
        <x:v>MD</x:v>
      </x:c>
      <x:c r="G600" s="54" t="n">
        <x:v>279</x:v>
      </x:c>
      <x:c r="H600" s="36" t="str">
        <x:v>55fc567ad4532a20b65b5c284c907e8a39d3498c598bee6533552780a5f10fa3</x:v>
      </x:c>
      <x:c r="I600" s="36" t="n">
        <x:v>1</x:v>
      </x:c>
      <x:c r="J600" s="36" t="str">
        <x:v>Development evidence</x:v>
      </x:c>
      <x:c r="K600" s="36" t="str">
        <x:v>SUPPORTING</x:v>
      </x:c>
      <x:c r="L600" s="36" t="str">
        <x:v>build, qa, sprint, test</x:v>
      </x:c>
      <x:c r="M600" s="36" t="str">
        <x:v>Retain read-only; current authority remains 00–34.</x:v>
      </x:c>
      <x:c r="N600" s="36" t="str">
        <x:v>33 risk/continuity context</x:v>
      </x:c>
      <x:c r="O600" s="36" t="str">
        <x:v>10_Development_Records/Sprint_10/QA/S10_Test_Plan.md</x:v>
      </x:c>
    </x:row>
    <x:row r="601">
      <x:c r="A601" s="27" t="str">
        <x:v>HIST-0597</x:v>
      </x:c>
      <x:c r="B601" s="27" t="str">
        <x:v>10_Development_Records</x:v>
      </x:c>
      <x:c r="C601" s="27" t="str"/>
      <x:c r="D601" s="27" t="str">
        <x:v>Sprint 10</x:v>
      </x:c>
      <x:c r="E601" s="36" t="str">
        <x:v>S10_Validation_Checklist.md</x:v>
      </x:c>
      <x:c r="F601" s="36" t="str">
        <x:v>MD</x:v>
      </x:c>
      <x:c r="G601" s="54" t="n">
        <x:v>522</x:v>
      </x:c>
      <x:c r="H601" s="36" t="str">
        <x:v>4ccd94ab6aeac432193d476585e83286bd5be87777256812814dd206ad2d5e55</x:v>
      </x:c>
      <x:c r="I601" s="36" t="n">
        <x:v>1</x:v>
      </x:c>
      <x:c r="J601" s="36" t="str">
        <x:v>Development evidence</x:v>
      </x:c>
      <x:c r="K601" s="36" t="str">
        <x:v>SUPPORTING</x:v>
      </x:c>
      <x:c r="L601" s="36" t="str">
        <x:v>build, qa, sprint, validation</x:v>
      </x:c>
      <x:c r="M601" s="36" t="str">
        <x:v>Retain read-only; current authority remains 00–34.</x:v>
      </x:c>
      <x:c r="N601" s="36" t="str">
        <x:v>33 risk/continuity context</x:v>
      </x:c>
      <x:c r="O601" s="36" t="str">
        <x:v>10_Development_Records/Sprint_10/QA/S10_Validation_Checklist.md</x:v>
      </x:c>
    </x:row>
    <x:row r="602">
      <x:c r="A602" s="27" t="str">
        <x:v>HIST-0598</x:v>
      </x:c>
      <x:c r="B602" s="27" t="str">
        <x:v>10_Development_Records</x:v>
      </x:c>
      <x:c r="C602" s="27" t="str"/>
      <x:c r="D602" s="27" t="str">
        <x:v>Sprint 10</x:v>
      </x:c>
      <x:c r="E602" s="36" t="str">
        <x:v>Sprint_10_Closure_Report.md</x:v>
      </x:c>
      <x:c r="F602" s="36" t="str">
        <x:v>MD</x:v>
      </x:c>
      <x:c r="G602" s="54" t="n">
        <x:v>3211</x:v>
      </x:c>
      <x:c r="H602" s="36" t="str">
        <x:v>e9a44655c0ad3974168a876bc31ebcf4d71c1995eea797d8e38b0c1034ebabcc</x:v>
      </x:c>
      <x:c r="I602" s="36" t="n">
        <x:v>1</x:v>
      </x:c>
      <x:c r="J602" s="36" t="str">
        <x:v>Development evidence</x:v>
      </x:c>
      <x:c r="K602" s="36" t="str">
        <x:v>SUPPORTING</x:v>
      </x:c>
      <x:c r="L602" s="36" t="str">
        <x:v>build, closure, sprint, test</x:v>
      </x:c>
      <x:c r="M602" s="36" t="str">
        <x:v>Retain read-only; current authority remains 00–34.</x:v>
      </x:c>
      <x:c r="N602" s="36" t="str">
        <x:v>33 risk/continuity context</x:v>
      </x:c>
      <x:c r="O602" s="36" t="str">
        <x:v>10_Development_Records/Sprint_10/Sprint_10_Closure_Report.md</x:v>
      </x:c>
    </x:row>
    <x:row r="603">
      <x:c r="A603" s="27" t="str">
        <x:v>HIST-0599</x:v>
      </x:c>
      <x:c r="B603" s="27" t="str">
        <x:v>10_Development_Records</x:v>
      </x:c>
      <x:c r="C603" s="27" t="str"/>
      <x:c r="D603" s="27" t="str">
        <x:v>Sprint 10</x:v>
      </x:c>
      <x:c r="E603" s="36" t="str">
        <x:v>S10_Document_Impact_Working_Matrix.md</x:v>
      </x:c>
      <x:c r="F603" s="36" t="str">
        <x:v>MD</x:v>
      </x:c>
      <x:c r="G603" s="54" t="n">
        <x:v>502</x:v>
      </x:c>
      <x:c r="H603" s="36" t="str">
        <x:v>51e81c3ca34a57c57d74dc65d901d0ea254dbc4b9d99388c15bb0d6ba2f2136c</x:v>
      </x:c>
      <x:c r="I603" s="36" t="n">
        <x:v>1</x:v>
      </x:c>
      <x:c r="J603" s="36" t="str">
        <x:v>Development evidence</x:v>
      </x:c>
      <x:c r="K603" s="36" t="str">
        <x:v>DIRECT</x:v>
      </x:c>
      <x:c r="L603" s="36" t="str">
        <x:v>build, handoff, qa, roadmap, sprint, test</x:v>
      </x:c>
      <x:c r="M603" s="36" t="str">
        <x:v>Retain read-only; current authority remains 00–34.</x:v>
      </x:c>
      <x:c r="N603" s="36" t="str">
        <x:v>33 risk/continuity context</x:v>
      </x:c>
      <x:c r="O603" s="36" t="str">
        <x:v>10_Development_Records/Sprint_10/Traceability/S10_Document_Impact_Working_Matrix.md</x:v>
      </x:c>
    </x:row>
    <x:row r="604">
      <x:c r="A604" s="27" t="str">
        <x:v>HIST-0600</x:v>
      </x:c>
      <x:c r="B604" s="27" t="str">
        <x:v>10_Development_Records</x:v>
      </x:c>
      <x:c r="C604" s="27" t="str"/>
      <x:c r="D604" s="27" t="str">
        <x:v>Sprint 10</x:v>
      </x:c>
      <x:c r="E604" s="36" t="str">
        <x:v>S10_Traceability_Entries.csv</x:v>
      </x:c>
      <x:c r="F604" s="36" t="str">
        <x:v>CSV</x:v>
      </x:c>
      <x:c r="G604" s="54" t="n">
        <x:v>513</x:v>
      </x:c>
      <x:c r="H604" s="36" t="str">
        <x:v>baa7cc58437d849fcd5c81104e23a89431c1f70e4fc5318b924811f52187a375</x:v>
      </x:c>
      <x:c r="I604" s="36" t="n">
        <x:v>1</x:v>
      </x:c>
      <x:c r="J604" s="36" t="str">
        <x:v>Development evidence</x:v>
      </x:c>
      <x:c r="K604" s="36" t="str">
        <x:v>DIRECT</x:v>
      </x:c>
      <x:c r="L604" s="36" t="str">
        <x:v>build, qa, roadmap, sprint, test</x:v>
      </x:c>
      <x:c r="M604" s="36" t="str">
        <x:v>Retain read-only; current authority remains 00–34.</x:v>
      </x:c>
      <x:c r="N604" s="36" t="str">
        <x:v>33 risk/continuity context</x:v>
      </x:c>
      <x:c r="O604" s="36" t="str">
        <x:v>10_Development_Records/Sprint_10/Traceability/S10_Traceability_Entries.csv</x:v>
      </x:c>
    </x:row>
    <x:row r="605">
      <x:c r="A605" s="27" t="str">
        <x:v>HIST-0601</x:v>
      </x:c>
      <x:c r="B605" s="27" t="str">
        <x:v>10_Development_Records</x:v>
      </x:c>
      <x:c r="C605" s="27" t="str"/>
      <x:c r="D605" s="27" t="str">
        <x:v>Sprint 11</x:v>
      </x:c>
      <x:c r="E605" s="36" t="str">
        <x:v>ADR-0042-StrictFifoCheckoutQueue.md</x:v>
      </x:c>
      <x:c r="F605" s="36" t="str">
        <x:v>MD</x:v>
      </x:c>
      <x:c r="G605" s="54" t="n">
        <x:v>205</x:v>
      </x:c>
      <x:c r="H605" s="36" t="str">
        <x:v>094a7bdd2663b03a04f085dd8b9e0c775081f8b64eb6319858f1ac39b086df43</x:v>
      </x:c>
      <x:c r="I605" s="36" t="n">
        <x:v>1</x:v>
      </x:c>
      <x:c r="J605" s="36" t="str">
        <x:v>Development evidence</x:v>
      </x:c>
      <x:c r="K605" s="36" t="str">
        <x:v>SUPPORTING</x:v>
      </x:c>
      <x:c r="L605" s="36" t="str">
        <x:v>adr, sprint</x:v>
      </x:c>
      <x:c r="M605" s="36" t="str">
        <x:v>Retain read-only; current authority remains 00–34.</x:v>
      </x:c>
      <x:c r="N605" s="36" t="str">
        <x:v>33 risk/continuity context</x:v>
      </x:c>
      <x:c r="O605" s="36" t="str">
        <x:v>10_Development_Records/Sprint_11/Architecture/ADR-0042-StrictFifoCheckoutQueue.md</x:v>
      </x:c>
    </x:row>
    <x:row r="606">
      <x:c r="A606" s="27" t="str">
        <x:v>HIST-0602</x:v>
      </x:c>
      <x:c r="B606" s="27" t="str">
        <x:v>10_Development_Records</x:v>
      </x:c>
      <x:c r="C606" s="27" t="str"/>
      <x:c r="D606" s="27" t="str">
        <x:v>Sprint 11</x:v>
      </x:c>
      <x:c r="E606" s="36" t="str">
        <x:v>ADR-0043-SingleEntryCheckoutStation.md</x:v>
      </x:c>
      <x:c r="F606" s="36" t="str">
        <x:v>MD</x:v>
      </x:c>
      <x:c r="G606" s="54" t="n">
        <x:v>177</x:v>
      </x:c>
      <x:c r="H606" s="36" t="str">
        <x:v>251308c9d85fe221f37152f5f9448a811db556b3b91816c20485e7a12949d5db</x:v>
      </x:c>
      <x:c r="I606" s="36" t="n">
        <x:v>1</x:v>
      </x:c>
      <x:c r="J606" s="36" t="str">
        <x:v>Development evidence</x:v>
      </x:c>
      <x:c r="K606" s="36" t="str">
        <x:v>SUPPORTING</x:v>
      </x:c>
      <x:c r="L606" s="36" t="str">
        <x:v>adr, sprint</x:v>
      </x:c>
      <x:c r="M606" s="36" t="str">
        <x:v>Retain read-only; current authority remains 00–34.</x:v>
      </x:c>
      <x:c r="N606" s="36" t="str">
        <x:v>33 risk/continuity context</x:v>
      </x:c>
      <x:c r="O606" s="36" t="str">
        <x:v>10_Development_Records/Sprint_11/Architecture/ADR-0043-SingleEntryCheckoutStation.md</x:v>
      </x:c>
    </x:row>
    <x:row r="607">
      <x:c r="A607" s="27" t="str">
        <x:v>HIST-0603</x:v>
      </x:c>
      <x:c r="B607" s="27" t="str">
        <x:v>10_Development_Records</x:v>
      </x:c>
      <x:c r="C607" s="27" t="str"/>
      <x:c r="D607" s="27" t="str">
        <x:v>Sprint 11</x:v>
      </x:c>
      <x:c r="E607" s="36" t="str">
        <x:v>ADR-0044-PreflightThenCommitCheckout.md</x:v>
      </x:c>
      <x:c r="F607" s="36" t="str">
        <x:v>MD</x:v>
      </x:c>
      <x:c r="G607" s="54" t="n">
        <x:v>263</x:v>
      </x:c>
      <x:c r="H607" s="36" t="str">
        <x:v>a58dfea3f71f24fd52ae8c7ab9d015aad8b31ad56c60e12162e4aff95783a864</x:v>
      </x:c>
      <x:c r="I607" s="36" t="n">
        <x:v>1</x:v>
      </x:c>
      <x:c r="J607" s="36" t="str">
        <x:v>Development evidence</x:v>
      </x:c>
      <x:c r="K607" s="36" t="str">
        <x:v>SUPPORTING</x:v>
      </x:c>
      <x:c r="L607" s="36" t="str">
        <x:v>adr, sprint</x:v>
      </x:c>
      <x:c r="M607" s="36" t="str">
        <x:v>Retain read-only; current authority remains 00–34.</x:v>
      </x:c>
      <x:c r="N607" s="36" t="str">
        <x:v>33 risk/continuity context</x:v>
      </x:c>
      <x:c r="O607" s="36" t="str">
        <x:v>10_Development_Records/Sprint_11/Architecture/ADR-0044-PreflightThenCommitCheckout.md</x:v>
      </x:c>
    </x:row>
    <x:row r="608">
      <x:c r="A608" s="27" t="str">
        <x:v>HIST-0604</x:v>
      </x:c>
      <x:c r="B608" s="27" t="str">
        <x:v>10_Development_Records</x:v>
      </x:c>
      <x:c r="C608" s="27" t="str"/>
      <x:c r="D608" s="27" t="str">
        <x:v>Sprint 11</x:v>
      </x:c>
      <x:c r="E608" s="36" t="str">
        <x:v>ADR-0045-CheckoutIdempotency.md</x:v>
      </x:c>
      <x:c r="F608" s="36" t="str">
        <x:v>MD</x:v>
      </x:c>
      <x:c r="G608" s="54" t="n">
        <x:v>152</x:v>
      </x:c>
      <x:c r="H608" s="36" t="str">
        <x:v>dcaf08280bbc3fb2f7947d5d594d13d1d84c415dfa93e3c83148280a171d5d75</x:v>
      </x:c>
      <x:c r="I608" s="36" t="n">
        <x:v>1</x:v>
      </x:c>
      <x:c r="J608" s="36" t="str">
        <x:v>Development evidence</x:v>
      </x:c>
      <x:c r="K608" s="36" t="str">
        <x:v>SUPPORTING</x:v>
      </x:c>
      <x:c r="L608" s="36" t="str">
        <x:v>adr, sprint</x:v>
      </x:c>
      <x:c r="M608" s="36" t="str">
        <x:v>Retain read-only; current authority remains 00–34.</x:v>
      </x:c>
      <x:c r="N608" s="36" t="str">
        <x:v>33 risk/continuity context</x:v>
      </x:c>
      <x:c r="O608" s="36" t="str">
        <x:v>10_Development_Records/Sprint_11/Architecture/ADR-0045-CheckoutIdempotency.md</x:v>
      </x:c>
    </x:row>
    <x:row r="609">
      <x:c r="A609" s="27" t="str">
        <x:v>HIST-0605</x:v>
      </x:c>
      <x:c r="B609" s="27" t="str">
        <x:v>10_Development_Records</x:v>
      </x:c>
      <x:c r="C609" s="27" t="str"/>
      <x:c r="D609" s="27" t="str">
        <x:v>Sprint 11</x:v>
      </x:c>
      <x:c r="E609" s="36" t="str">
        <x:v>S11_PostImplementation_Record.md</x:v>
      </x:c>
      <x:c r="F609" s="36" t="str">
        <x:v>MD</x:v>
      </x:c>
      <x:c r="G609" s="54" t="n">
        <x:v>589</x:v>
      </x:c>
      <x:c r="H609" s="36" t="str">
        <x:v>5642f0de8091f082726d0d25fda968e886c16221dee482cdc1cf047006b5abf1</x:v>
      </x:c>
      <x:c r="I609" s="36" t="n">
        <x:v>1</x:v>
      </x:c>
      <x:c r="J609" s="36" t="str">
        <x:v>Development evidence</x:v>
      </x:c>
      <x:c r="K609" s="36" t="str">
        <x:v>SUPPORTING</x:v>
      </x:c>
      <x:c r="L609" s="36" t="str">
        <x:v>build, sprint, test</x:v>
      </x:c>
      <x:c r="M609" s="36" t="str">
        <x:v>Retain read-only; current authority remains 00–34.</x:v>
      </x:c>
      <x:c r="N609" s="36" t="str">
        <x:v>33 risk/continuity context</x:v>
      </x:c>
      <x:c r="O609" s="36" t="str">
        <x:v>10_Development_Records/Sprint_11/Documentation/S11_PostImplementation_Record.md</x:v>
      </x:c>
    </x:row>
    <x:row r="610">
      <x:c r="A610" s="27" t="str">
        <x:v>HIST-0606</x:v>
      </x:c>
      <x:c r="B610" s="27" t="str">
        <x:v>10_Development_Records</x:v>
      </x:c>
      <x:c r="C610" s="27" t="str"/>
      <x:c r="D610" s="27" t="str">
        <x:v>Sprint 11</x:v>
      </x:c>
      <x:c r="E610" s="36" t="str">
        <x:v>S11_PreImplementation_Record.md</x:v>
      </x:c>
      <x:c r="F610" s="36" t="str">
        <x:v>MD</x:v>
      </x:c>
      <x:c r="G610" s="54" t="n">
        <x:v>233</x:v>
      </x:c>
      <x:c r="H610" s="36" t="str">
        <x:v>4fdf1d94276de0f66594797189d5d93d14ee84a41c7d2b0425b0178dec42dc43</x:v>
      </x:c>
      <x:c r="I610" s="36" t="n">
        <x:v>1</x:v>
      </x:c>
      <x:c r="J610" s="36" t="str">
        <x:v>Development evidence</x:v>
      </x:c>
      <x:c r="K610" s="36" t="str">
        <x:v>CONTEXT / PRESERVED</x:v>
      </x:c>
      <x:c r="L610" s="36" t="str">
        <x:v>sprint</x:v>
      </x:c>
      <x:c r="M610" s="36" t="str">
        <x:v>Retain read-only; current authority remains 00–34.</x:v>
      </x:c>
      <x:c r="N610" s="36" t="str">
        <x:v>Preserved context; not mined as normative authority.</x:v>
      </x:c>
      <x:c r="O610" s="36" t="str">
        <x:v>10_Development_Records/Sprint_11/Documentation/S11_PreImplementation_Record.md</x:v>
      </x:c>
    </x:row>
    <x:row r="611">
      <x:c r="A611" s="27" t="str">
        <x:v>HIST-0607</x:v>
      </x:c>
      <x:c r="B611" s="27" t="str">
        <x:v>10_Development_Records</x:v>
      </x:c>
      <x:c r="C611" s="27" t="str"/>
      <x:c r="D611" s="27" t="str">
        <x:v>Sprint 11</x:v>
      </x:c>
      <x:c r="E611" s="36" t="str">
        <x:v>S11_Handoff_Update_Template.md</x:v>
      </x:c>
      <x:c r="F611" s="36" t="str">
        <x:v>MD</x:v>
      </x:c>
      <x:c r="G611" s="54" t="n">
        <x:v>422</x:v>
      </x:c>
      <x:c r="H611" s="36" t="str">
        <x:v>3da63a8600ab4da7f1afe4032690763029d3551297fad0d51afbfa841687dad5</x:v>
      </x:c>
      <x:c r="I611" s="36" t="n">
        <x:v>1</x:v>
      </x:c>
      <x:c r="J611" s="36" t="str">
        <x:v>Development evidence</x:v>
      </x:c>
      <x:c r="K611" s="36" t="str">
        <x:v>SUPPORTING</x:v>
      </x:c>
      <x:c r="L611" s="36" t="str">
        <x:v>closure, handoff, sprint</x:v>
      </x:c>
      <x:c r="M611" s="36" t="str">
        <x:v>Retain read-only; current authority remains 00–34.</x:v>
      </x:c>
      <x:c r="N611" s="36" t="str">
        <x:v>33 risk/continuity context</x:v>
      </x:c>
      <x:c r="O611" s="36" t="str">
        <x:v>10_Development_Records/Sprint_11/Governance/S11_Handoff_Update_Template.md</x:v>
      </x:c>
    </x:row>
    <x:row r="612">
      <x:c r="A612" s="27" t="str">
        <x:v>HIST-0608</x:v>
      </x:c>
      <x:c r="B612" s="27" t="str">
        <x:v>10_Development_Records</x:v>
      </x:c>
      <x:c r="C612" s="27" t="str"/>
      <x:c r="D612" s="27" t="str">
        <x:v>Sprint 11</x:v>
      </x:c>
      <x:c r="E612" s="36" t="str">
        <x:v>Sprint_11_Charter.md</x:v>
      </x:c>
      <x:c r="F612" s="36" t="str">
        <x:v>MD</x:v>
      </x:c>
      <x:c r="G612" s="54" t="n">
        <x:v>628</x:v>
      </x:c>
      <x:c r="H612" s="36" t="str">
        <x:v>aa6f12f920a630ad9d1f0cdbda1a2acb4f37cadd64f3eafddccc146b492b1632</x:v>
      </x:c>
      <x:c r="I612" s="36" t="n">
        <x:v>1</x:v>
      </x:c>
      <x:c r="J612" s="36" t="str">
        <x:v>Development evidence</x:v>
      </x:c>
      <x:c r="K612" s="36" t="str">
        <x:v>SUPPORTING</x:v>
      </x:c>
      <x:c r="L612" s="36" t="str">
        <x:v>build, sprint</x:v>
      </x:c>
      <x:c r="M612" s="36" t="str">
        <x:v>Retain read-only; current authority remains 00–34.</x:v>
      </x:c>
      <x:c r="N612" s="36" t="str">
        <x:v>33 risk/continuity context</x:v>
      </x:c>
      <x:c r="O612" s="36" t="str">
        <x:v>10_Development_Records/Sprint_11/Governance/Sprint_11_Charter.md</x:v>
      </x:c>
    </x:row>
    <x:row r="613">
      <x:c r="A613" s="27" t="str">
        <x:v>HIST-0609</x:v>
      </x:c>
      <x:c r="B613" s="27" t="str">
        <x:v>10_Development_Records</x:v>
      </x:c>
      <x:c r="C613" s="27" t="str"/>
      <x:c r="D613" s="27" t="str">
        <x:v>Sprint 11</x:v>
      </x:c>
      <x:c r="E613" s="36" t="str">
        <x:v>Sprint_11_Current_Status.md</x:v>
      </x:c>
      <x:c r="F613" s="36" t="str">
        <x:v>MD</x:v>
      </x:c>
      <x:c r="G613" s="54" t="n">
        <x:v>679</x:v>
      </x:c>
      <x:c r="H613" s="36" t="str">
        <x:v>824a6fd6c261f8cdf4c8ac7fa5b5454772248c28c63a006aff83581603b5e38c</x:v>
      </x:c>
      <x:c r="I613" s="36" t="n">
        <x:v>1</x:v>
      </x:c>
      <x:c r="J613" s="36" t="str">
        <x:v>Development evidence</x:v>
      </x:c>
      <x:c r="K613" s="36" t="str">
        <x:v>SUPPORTING</x:v>
      </x:c>
      <x:c r="L613" s="36" t="str">
        <x:v>build, closure, current_status, sprint</x:v>
      </x:c>
      <x:c r="M613" s="36" t="str">
        <x:v>Retain read-only; current authority remains 00–34.</x:v>
      </x:c>
      <x:c r="N613" s="36" t="str">
        <x:v>33 risk/continuity context</x:v>
      </x:c>
      <x:c r="O613" s="36" t="str">
        <x:v>10_Development_Records/Sprint_11/Governance/Sprint_11_Current_Status.md</x:v>
      </x:c>
    </x:row>
    <x:row r="614">
      <x:c r="A614" s="27" t="str">
        <x:v>HIST-0610</x:v>
      </x:c>
      <x:c r="B614" s="27" t="str">
        <x:v>10_Development_Records</x:v>
      </x:c>
      <x:c r="C614" s="27" t="str"/>
      <x:c r="D614" s="27" t="str">
        <x:v>Sprint 11</x:v>
      </x:c>
      <x:c r="E614" s="36" t="str">
        <x:v>S11_Acceptance_Matrix.md</x:v>
      </x:c>
      <x:c r="F614" s="36" t="str">
        <x:v>MD</x:v>
      </x:c>
      <x:c r="G614" s="54" t="n">
        <x:v>650</x:v>
      </x:c>
      <x:c r="H614" s="36" t="str">
        <x:v>a6f876fb02398be1ee466d2f9dde9613ad9c0fa2fc0088778b791ab9a3d00e8d</x:v>
      </x:c>
      <x:c r="I614" s="36" t="n">
        <x:v>1</x:v>
      </x:c>
      <x:c r="J614" s="36" t="str">
        <x:v>Development evidence</x:v>
      </x:c>
      <x:c r="K614" s="36" t="str">
        <x:v>DIRECT</x:v>
      </x:c>
      <x:c r="L614" s="36" t="str">
        <x:v>acceptance, build, qa, sprint, test, validation</x:v>
      </x:c>
      <x:c r="M614" s="36" t="str">
        <x:v>Retain read-only; current authority remains 00–34.</x:v>
      </x:c>
      <x:c r="N614" s="36" t="str">
        <x:v>33 risk/continuity context</x:v>
      </x:c>
      <x:c r="O614" s="36" t="str">
        <x:v>10_Development_Records/Sprint_11/QA/S11_Acceptance_Matrix.md</x:v>
      </x:c>
    </x:row>
    <x:row r="615">
      <x:c r="A615" s="27" t="str">
        <x:v>HIST-0611</x:v>
      </x:c>
      <x:c r="B615" s="27" t="str">
        <x:v>10_Development_Records</x:v>
      </x:c>
      <x:c r="C615" s="27" t="str"/>
      <x:c r="D615" s="27" t="str">
        <x:v>Sprint 11</x:v>
      </x:c>
      <x:c r="E615" s="36" t="str">
        <x:v>S11_Build_Execution_Record.md</x:v>
      </x:c>
      <x:c r="F615" s="36" t="str">
        <x:v>MD</x:v>
      </x:c>
      <x:c r="G615" s="54" t="n">
        <x:v>494</x:v>
      </x:c>
      <x:c r="H615" s="36" t="str">
        <x:v>6e5b3ee3b6b9a1a6d2f6c90fc07df567cfdd81126f6e2c06aa4c3307db206f24</x:v>
      </x:c>
      <x:c r="I615" s="36" t="n">
        <x:v>1</x:v>
      </x:c>
      <x:c r="J615" s="36" t="str">
        <x:v>Development evidence</x:v>
      </x:c>
      <x:c r="K615" s="36" t="str">
        <x:v>SUPPORTING</x:v>
      </x:c>
      <x:c r="L615" s="36" t="str">
        <x:v>build, qa, sprint</x:v>
      </x:c>
      <x:c r="M615" s="36" t="str">
        <x:v>Retain read-only; current authority remains 00–34.</x:v>
      </x:c>
      <x:c r="N615" s="36" t="str">
        <x:v>33 risk/continuity context</x:v>
      </x:c>
      <x:c r="O615" s="36" t="str">
        <x:v>10_Development_Records/Sprint_11/QA/S11_Build_Execution_Record.md</x:v>
      </x:c>
    </x:row>
    <x:row r="616">
      <x:c r="A616" s="27" t="str">
        <x:v>HIST-0612</x:v>
      </x:c>
      <x:c r="B616" s="27" t="str">
        <x:v>10_Development_Records</x:v>
      </x:c>
      <x:c r="C616" s="27" t="str"/>
      <x:c r="D616" s="27" t="str">
        <x:v>Sprint 11</x:v>
      </x:c>
      <x:c r="E616" s="36" t="str">
        <x:v>S11_Manual_Validation_Record.md</x:v>
      </x:c>
      <x:c r="F616" s="36" t="str">
        <x:v>MD</x:v>
      </x:c>
      <x:c r="G616" s="54" t="n">
        <x:v>627</x:v>
      </x:c>
      <x:c r="H616" s="36" t="str">
        <x:v>4570258f61607a4d682668a55327dd21ba3c5358f213888de0b75dc7309f94f8</x:v>
      </x:c>
      <x:c r="I616" s="36" t="n">
        <x:v>1</x:v>
      </x:c>
      <x:c r="J616" s="36" t="str">
        <x:v>Development evidence</x:v>
      </x:c>
      <x:c r="K616" s="36" t="str">
        <x:v>SUPPORTING</x:v>
      </x:c>
      <x:c r="L616" s="36" t="str">
        <x:v>qa, sprint, validation</x:v>
      </x:c>
      <x:c r="M616" s="36" t="str">
        <x:v>Retain read-only; current authority remains 00–34.</x:v>
      </x:c>
      <x:c r="N616" s="36" t="str">
        <x:v>33 risk/continuity context</x:v>
      </x:c>
      <x:c r="O616" s="36" t="str">
        <x:v>10_Development_Records/Sprint_11/QA/S11_Manual_Validation_Record.md</x:v>
      </x:c>
    </x:row>
    <x:row r="617">
      <x:c r="A617" s="27" t="str">
        <x:v>HIST-0613</x:v>
      </x:c>
      <x:c r="B617" s="27" t="str">
        <x:v>10_Development_Records</x:v>
      </x:c>
      <x:c r="C617" s="27" t="str"/>
      <x:c r="D617" s="27" t="str">
        <x:v>Sprint 11</x:v>
      </x:c>
      <x:c r="E617" s="36" t="str">
        <x:v>S11_QA_Execution_Record.md</x:v>
      </x:c>
      <x:c r="F617" s="36" t="str">
        <x:v>MD</x:v>
      </x:c>
      <x:c r="G617" s="54" t="n">
        <x:v>457</x:v>
      </x:c>
      <x:c r="H617" s="36" t="str">
        <x:v>e09346a52a005447f98244392575dce8bfe0e1c24395d87ef4efa9949582222d</x:v>
      </x:c>
      <x:c r="I617" s="36" t="n">
        <x:v>1</x:v>
      </x:c>
      <x:c r="J617" s="36" t="str">
        <x:v>Development evidence</x:v>
      </x:c>
      <x:c r="K617" s="36" t="str">
        <x:v>SUPPORTING</x:v>
      </x:c>
      <x:c r="L617" s="36" t="str">
        <x:v>qa, sprint</x:v>
      </x:c>
      <x:c r="M617" s="36" t="str">
        <x:v>Retain read-only; current authority remains 00–34.</x:v>
      </x:c>
      <x:c r="N617" s="36" t="str">
        <x:v>33 risk/continuity context</x:v>
      </x:c>
      <x:c r="O617" s="36" t="str">
        <x:v>10_Development_Records/Sprint_11/QA/S11_QA_Execution_Record.md</x:v>
      </x:c>
    </x:row>
    <x:row r="618">
      <x:c r="A618" s="27" t="str">
        <x:v>HIST-0614</x:v>
      </x:c>
      <x:c r="B618" s="27" t="str">
        <x:v>10_Development_Records</x:v>
      </x:c>
      <x:c r="C618" s="27" t="str"/>
      <x:c r="D618" s="27" t="str">
        <x:v>Sprint 11</x:v>
      </x:c>
      <x:c r="E618" s="36" t="str">
        <x:v>S11_Test_Plan.md</x:v>
      </x:c>
      <x:c r="F618" s="36" t="str">
        <x:v>MD</x:v>
      </x:c>
      <x:c r="G618" s="54" t="n">
        <x:v>316</x:v>
      </x:c>
      <x:c r="H618" s="36" t="str">
        <x:v>75c9f46d3f588baa0e4942042264f3d5e62f609a38e975f604dce5645920b84e</x:v>
      </x:c>
      <x:c r="I618" s="36" t="n">
        <x:v>1</x:v>
      </x:c>
      <x:c r="J618" s="36" t="str">
        <x:v>Development evidence</x:v>
      </x:c>
      <x:c r="K618" s="36" t="str">
        <x:v>SUPPORTING</x:v>
      </x:c>
      <x:c r="L618" s="36" t="str">
        <x:v>build, qa, sprint, test</x:v>
      </x:c>
      <x:c r="M618" s="36" t="str">
        <x:v>Retain read-only; current authority remains 00–34.</x:v>
      </x:c>
      <x:c r="N618" s="36" t="str">
        <x:v>33 risk/continuity context</x:v>
      </x:c>
      <x:c r="O618" s="36" t="str">
        <x:v>10_Development_Records/Sprint_11/QA/S11_Test_Plan.md</x:v>
      </x:c>
    </x:row>
    <x:row r="619">
      <x:c r="A619" s="27" t="str">
        <x:v>HIST-0615</x:v>
      </x:c>
      <x:c r="B619" s="27" t="str">
        <x:v>10_Development_Records</x:v>
      </x:c>
      <x:c r="C619" s="27" t="str"/>
      <x:c r="D619" s="27" t="str">
        <x:v>Sprint 11</x:v>
      </x:c>
      <x:c r="E619" s="36" t="str">
        <x:v>S11_Validation_Checklist.md</x:v>
      </x:c>
      <x:c r="F619" s="36" t="str">
        <x:v>MD</x:v>
      </x:c>
      <x:c r="G619" s="54" t="n">
        <x:v>586</x:v>
      </x:c>
      <x:c r="H619" s="36" t="str">
        <x:v>6e6a1eaca9f8b962ef3092264ba1419f8dae3c1212518a64cb3ed738fa1b4b22</x:v>
      </x:c>
      <x:c r="I619" s="36" t="n">
        <x:v>1</x:v>
      </x:c>
      <x:c r="J619" s="36" t="str">
        <x:v>Development evidence</x:v>
      </x:c>
      <x:c r="K619" s="36" t="str">
        <x:v>SUPPORTING</x:v>
      </x:c>
      <x:c r="L619" s="36" t="str">
        <x:v>build, qa, sprint, validation</x:v>
      </x:c>
      <x:c r="M619" s="36" t="str">
        <x:v>Retain read-only; current authority remains 00–34.</x:v>
      </x:c>
      <x:c r="N619" s="36" t="str">
        <x:v>33 risk/continuity context</x:v>
      </x:c>
      <x:c r="O619" s="36" t="str">
        <x:v>10_Development_Records/Sprint_11/QA/S11_Validation_Checklist.md</x:v>
      </x:c>
    </x:row>
    <x:row r="620">
      <x:c r="A620" s="27" t="str">
        <x:v>HIST-0616</x:v>
      </x:c>
      <x:c r="B620" s="27" t="str">
        <x:v>10_Development_Records</x:v>
      </x:c>
      <x:c r="C620" s="27" t="str"/>
      <x:c r="D620" s="27" t="str">
        <x:v>Sprint 11</x:v>
      </x:c>
      <x:c r="E620" s="36" t="str">
        <x:v>Sprint_11_Closure_Report.md</x:v>
      </x:c>
      <x:c r="F620" s="36" t="str">
        <x:v>MD</x:v>
      </x:c>
      <x:c r="G620" s="54" t="n">
        <x:v>2545</x:v>
      </x:c>
      <x:c r="H620" s="36" t="str">
        <x:v>b4ae4ddc090cdb00af473e64cbc19ac2285cdad28e1face724b2e7ac8e0b7725</x:v>
      </x:c>
      <x:c r="I620" s="36" t="n">
        <x:v>1</x:v>
      </x:c>
      <x:c r="J620" s="36" t="str">
        <x:v>Development evidence</x:v>
      </x:c>
      <x:c r="K620" s="36" t="str">
        <x:v>SUPPORTING</x:v>
      </x:c>
      <x:c r="L620" s="36" t="str">
        <x:v>build, closure, sprint, test</x:v>
      </x:c>
      <x:c r="M620" s="36" t="str">
        <x:v>Retain read-only; current authority remains 00–34.</x:v>
      </x:c>
      <x:c r="N620" s="36" t="str">
        <x:v>33 risk/continuity context</x:v>
      </x:c>
      <x:c r="O620" s="36" t="str">
        <x:v>10_Development_Records/Sprint_11/Sprint_11_Closure_Report.md</x:v>
      </x:c>
    </x:row>
    <x:row r="621">
      <x:c r="A621" s="27" t="str">
        <x:v>HIST-0617</x:v>
      </x:c>
      <x:c r="B621" s="27" t="str">
        <x:v>10_Development_Records</x:v>
      </x:c>
      <x:c r="C621" s="27" t="str"/>
      <x:c r="D621" s="27" t="str">
        <x:v>Sprint 11</x:v>
      </x:c>
      <x:c r="E621" s="36" t="str">
        <x:v>S11_Document_Impact_Working_Matrix.md</x:v>
      </x:c>
      <x:c r="F621" s="36" t="str">
        <x:v>MD</x:v>
      </x:c>
      <x:c r="G621" s="54" t="n">
        <x:v>435</x:v>
      </x:c>
      <x:c r="H621" s="36" t="str">
        <x:v>ffd34a62a2fedd14023d2ef3ea9b31660c708041449fee2a25fecadc2f809225</x:v>
      </x:c>
      <x:c r="I621" s="36" t="n">
        <x:v>1</x:v>
      </x:c>
      <x:c r="J621" s="36" t="str">
        <x:v>Development evidence</x:v>
      </x:c>
      <x:c r="K621" s="36" t="str">
        <x:v>DIRECT</x:v>
      </x:c>
      <x:c r="L621" s="36" t="str">
        <x:v>build, handoff, qa, roadmap, sprint, test</x:v>
      </x:c>
      <x:c r="M621" s="36" t="str">
        <x:v>Retain read-only; current authority remains 00–34.</x:v>
      </x:c>
      <x:c r="N621" s="36" t="str">
        <x:v>33 risk/continuity context</x:v>
      </x:c>
      <x:c r="O621" s="36" t="str">
        <x:v>10_Development_Records/Sprint_11/Traceability/S11_Document_Impact_Working_Matrix.md</x:v>
      </x:c>
    </x:row>
    <x:row r="622">
      <x:c r="A622" s="27" t="str">
        <x:v>HIST-0618</x:v>
      </x:c>
      <x:c r="B622" s="27" t="str">
        <x:v>10_Development_Records</x:v>
      </x:c>
      <x:c r="C622" s="27" t="str"/>
      <x:c r="D622" s="27" t="str">
        <x:v>Sprint 11</x:v>
      </x:c>
      <x:c r="E622" s="36" t="str">
        <x:v>S11_Traceability_Entries.csv</x:v>
      </x:c>
      <x:c r="F622" s="36" t="str">
        <x:v>CSV</x:v>
      </x:c>
      <x:c r="G622" s="54" t="n">
        <x:v>518</x:v>
      </x:c>
      <x:c r="H622" s="36" t="str">
        <x:v>780039aa815023951fccb39a0170340297ed5ad5901d8a4089b7c083c13c3fa1</x:v>
      </x:c>
      <x:c r="I622" s="36" t="n">
        <x:v>1</x:v>
      </x:c>
      <x:c r="J622" s="36" t="str">
        <x:v>Development evidence</x:v>
      </x:c>
      <x:c r="K622" s="36" t="str">
        <x:v>DIRECT</x:v>
      </x:c>
      <x:c r="L622" s="36" t="str">
        <x:v>build, qa, roadmap, sprint, test</x:v>
      </x:c>
      <x:c r="M622" s="36" t="str">
        <x:v>Retain read-only; current authority remains 00–34.</x:v>
      </x:c>
      <x:c r="N622" s="36" t="str">
        <x:v>33 risk/continuity context</x:v>
      </x:c>
      <x:c r="O622" s="36" t="str">
        <x:v>10_Development_Records/Sprint_11/Traceability/S11_Traceability_Entries.csv</x:v>
      </x:c>
    </x:row>
    <x:row r="623">
      <x:c r="A623" s="27" t="str">
        <x:v>HIST-0619</x:v>
      </x:c>
      <x:c r="B623" s="27" t="str">
        <x:v>10_Development_Records</x:v>
      </x:c>
      <x:c r="C623" s="27" t="str"/>
      <x:c r="D623" s="27" t="str">
        <x:v>Sprint 12</x:v>
      </x:c>
      <x:c r="E623" s="36" t="str">
        <x:v>ADR-0046-LogicalStoreDayAggregate.md</x:v>
      </x:c>
      <x:c r="F623" s="36" t="str">
        <x:v>MD</x:v>
      </x:c>
      <x:c r="G623" s="54" t="n">
        <x:v>191</x:v>
      </x:c>
      <x:c r="H623" s="36" t="str">
        <x:v>4b0703008d657d9b20ef1554afcf827e8126540b156009d91cfc61c6270fcc7d</x:v>
      </x:c>
      <x:c r="I623" s="36" t="n">
        <x:v>1</x:v>
      </x:c>
      <x:c r="J623" s="36" t="str">
        <x:v>Development evidence</x:v>
      </x:c>
      <x:c r="K623" s="36" t="str">
        <x:v>SUPPORTING</x:v>
      </x:c>
      <x:c r="L623" s="36" t="str">
        <x:v>adr, sprint</x:v>
      </x:c>
      <x:c r="M623" s="36" t="str">
        <x:v>Retain read-only; current authority remains 00–34.</x:v>
      </x:c>
      <x:c r="N623" s="36" t="str">
        <x:v>33 risk/continuity context</x:v>
      </x:c>
      <x:c r="O623" s="36" t="str">
        <x:v>10_Development_Records/Sprint_12/Architecture/ADR-0046-LogicalStoreDayAggregate.md</x:v>
      </x:c>
    </x:row>
    <x:row r="624">
      <x:c r="A624" s="27" t="str">
        <x:v>HIST-0620</x:v>
      </x:c>
      <x:c r="B624" s="27" t="str">
        <x:v>10_Development_Records</x:v>
      </x:c>
      <x:c r="C624" s="27" t="str"/>
      <x:c r="D624" s="27" t="str">
        <x:v>Sprint 12</x:v>
      </x:c>
      <x:c r="E624" s="36" t="str">
        <x:v>ADR-0047-ClosingAdmissionGates.md</x:v>
      </x:c>
      <x:c r="F624" s="36" t="str">
        <x:v>MD</x:v>
      </x:c>
      <x:c r="G624" s="54" t="n">
        <x:v>203</x:v>
      </x:c>
      <x:c r="H624" s="36" t="str">
        <x:v>1bea6d3a71b2dda9f027398423d40013fed095318570d0c983c3a5ef5adbf2ef</x:v>
      </x:c>
      <x:c r="I624" s="36" t="n">
        <x:v>1</x:v>
      </x:c>
      <x:c r="J624" s="36" t="str">
        <x:v>Development evidence</x:v>
      </x:c>
      <x:c r="K624" s="36" t="str">
        <x:v>SUPPORTING</x:v>
      </x:c>
      <x:c r="L624" s="36" t="str">
        <x:v>adr, sprint</x:v>
      </x:c>
      <x:c r="M624" s="36" t="str">
        <x:v>Retain read-only; current authority remains 00–34.</x:v>
      </x:c>
      <x:c r="N624" s="36" t="str">
        <x:v>33 risk/continuity context</x:v>
      </x:c>
      <x:c r="O624" s="36" t="str">
        <x:v>10_Development_Records/Sprint_12/Architecture/ADR-0047-ClosingAdmissionGates.md</x:v>
      </x:c>
    </x:row>
    <x:row r="625">
      <x:c r="A625" s="27" t="str">
        <x:v>HIST-0621</x:v>
      </x:c>
      <x:c r="B625" s="27" t="str">
        <x:v>10_Development_Records</x:v>
      </x:c>
      <x:c r="C625" s="27" t="str"/>
      <x:c r="D625" s="27" t="str">
        <x:v>Sprint 12</x:v>
      </x:c>
      <x:c r="E625" s="36" t="str">
        <x:v>ADR-0048-DeterministicDrainAndResolution.md</x:v>
      </x:c>
      <x:c r="F625" s="36" t="str">
        <x:v>MD</x:v>
      </x:c>
      <x:c r="G625" s="54" t="n">
        <x:v>201</x:v>
      </x:c>
      <x:c r="H625" s="36" t="str">
        <x:v>930429172027b64eeed649d79c17f55747622690c4355f303b4b1f572f2e53da</x:v>
      </x:c>
      <x:c r="I625" s="36" t="n">
        <x:v>1</x:v>
      </x:c>
      <x:c r="J625" s="36" t="str">
        <x:v>Development evidence</x:v>
      </x:c>
      <x:c r="K625" s="36" t="str">
        <x:v>SUPPORTING</x:v>
      </x:c>
      <x:c r="L625" s="36" t="str">
        <x:v>adr, sprint</x:v>
      </x:c>
      <x:c r="M625" s="36" t="str">
        <x:v>Retain read-only; current authority remains 00–34.</x:v>
      </x:c>
      <x:c r="N625" s="36" t="str">
        <x:v>33 risk/continuity context</x:v>
      </x:c>
      <x:c r="O625" s="36" t="str">
        <x:v>10_Development_Records/Sprint_12/Architecture/ADR-0048-DeterministicDrainAndResolution.md</x:v>
      </x:c>
    </x:row>
    <x:row r="626">
      <x:c r="A626" s="27" t="str">
        <x:v>HIST-0622</x:v>
      </x:c>
      <x:c r="B626" s="27" t="str">
        <x:v>10_Development_Records</x:v>
      </x:c>
      <x:c r="C626" s="27" t="str"/>
      <x:c r="D626" s="27" t="str">
        <x:v>Sprint 12</x:v>
      </x:c>
      <x:c r="E626" s="36" t="str">
        <x:v>ADR-0049-ClosureReadinessSnapshot.md</x:v>
      </x:c>
      <x:c r="F626" s="36" t="str">
        <x:v>MD</x:v>
      </x:c>
      <x:c r="G626" s="54" t="n">
        <x:v>173</x:v>
      </x:c>
      <x:c r="H626" s="36" t="str">
        <x:v>8bbed47b5de9fe5d2fb48f877e7bc1452a95aab891c3fcae14d6b06fea819df9</x:v>
      </x:c>
      <x:c r="I626" s="36" t="n">
        <x:v>1</x:v>
      </x:c>
      <x:c r="J626" s="36" t="str">
        <x:v>Development evidence</x:v>
      </x:c>
      <x:c r="K626" s="36" t="str">
        <x:v>SUPPORTING</x:v>
      </x:c>
      <x:c r="L626" s="36" t="str">
        <x:v>adr, closure, sprint</x:v>
      </x:c>
      <x:c r="M626" s="36" t="str">
        <x:v>Retain read-only; current authority remains 00–34.</x:v>
      </x:c>
      <x:c r="N626" s="36" t="str">
        <x:v>33 risk/continuity context</x:v>
      </x:c>
      <x:c r="O626" s="36" t="str">
        <x:v>10_Development_Records/Sprint_12/Architecture/ADR-0049-ClosureReadinessSnapshot.md</x:v>
      </x:c>
    </x:row>
    <x:row r="627">
      <x:c r="A627" s="27" t="str">
        <x:v>HIST-0623</x:v>
      </x:c>
      <x:c r="B627" s="27" t="str">
        <x:v>10_Development_Records</x:v>
      </x:c>
      <x:c r="C627" s="27" t="str"/>
      <x:c r="D627" s="27" t="str">
        <x:v>Sprint 12</x:v>
      </x:c>
      <x:c r="E627" s="36" t="str">
        <x:v>ADR-0050-TechnicalDaySummary.md</x:v>
      </x:c>
      <x:c r="F627" s="36" t="str">
        <x:v>MD</x:v>
      </x:c>
      <x:c r="G627" s="54" t="n">
        <x:v>146</x:v>
      </x:c>
      <x:c r="H627" s="36" t="str">
        <x:v>523e7074e3ffda8a481a51a7fe1637494cf452b722c77823f268c3d7b773a1dc</x:v>
      </x:c>
      <x:c r="I627" s="36" t="n">
        <x:v>1</x:v>
      </x:c>
      <x:c r="J627" s="36" t="str">
        <x:v>Development evidence</x:v>
      </x:c>
      <x:c r="K627" s="36" t="str">
        <x:v>SUPPORTING</x:v>
      </x:c>
      <x:c r="L627" s="36" t="str">
        <x:v>adr, sprint</x:v>
      </x:c>
      <x:c r="M627" s="36" t="str">
        <x:v>Retain read-only; current authority remains 00–34.</x:v>
      </x:c>
      <x:c r="N627" s="36" t="str">
        <x:v>33 risk/continuity context</x:v>
      </x:c>
      <x:c r="O627" s="36" t="str">
        <x:v>10_Development_Records/Sprint_12/Architecture/ADR-0050-TechnicalDaySummary.md</x:v>
      </x:c>
    </x:row>
    <x:row r="628">
      <x:c r="A628" s="27" t="str">
        <x:v>HIST-0624</x:v>
      </x:c>
      <x:c r="B628" s="27" t="str">
        <x:v>10_Development_Records</x:v>
      </x:c>
      <x:c r="C628" s="27" t="str"/>
      <x:c r="D628" s="27" t="str">
        <x:v>Sprint 12</x:v>
      </x:c>
      <x:c r="E628" s="36" t="str">
        <x:v>S12_PostImplementation_Record.md</x:v>
      </x:c>
      <x:c r="F628" s="36" t="str">
        <x:v>MD</x:v>
      </x:c>
      <x:c r="G628" s="54" t="n">
        <x:v>420</x:v>
      </x:c>
      <x:c r="H628" s="36" t="str">
        <x:v>2e0156fac6fda2d0475d71f8f3c66f827bc8b5ca5325d8e99348522ae72040bb</x:v>
      </x:c>
      <x:c r="I628" s="36" t="n">
        <x:v>1</x:v>
      </x:c>
      <x:c r="J628" s="36" t="str">
        <x:v>Development evidence</x:v>
      </x:c>
      <x:c r="K628" s="36" t="str">
        <x:v>SUPPORTING</x:v>
      </x:c>
      <x:c r="L628" s="36" t="str">
        <x:v>build, sprint, test</x:v>
      </x:c>
      <x:c r="M628" s="36" t="str">
        <x:v>Retain read-only; current authority remains 00–34.</x:v>
      </x:c>
      <x:c r="N628" s="36" t="str">
        <x:v>33 risk/continuity context</x:v>
      </x:c>
      <x:c r="O628" s="36" t="str">
        <x:v>10_Development_Records/Sprint_12/Documentation/S12_PostImplementation_Record.md</x:v>
      </x:c>
    </x:row>
    <x:row r="629">
      <x:c r="A629" s="27" t="str">
        <x:v>HIST-0625</x:v>
      </x:c>
      <x:c r="B629" s="27" t="str">
        <x:v>10_Development_Records</x:v>
      </x:c>
      <x:c r="C629" s="27" t="str"/>
      <x:c r="D629" s="27" t="str">
        <x:v>Sprint 12</x:v>
      </x:c>
      <x:c r="E629" s="36" t="str">
        <x:v>S12_PreImplementation_Record.md</x:v>
      </x:c>
      <x:c r="F629" s="36" t="str">
        <x:v>MD</x:v>
      </x:c>
      <x:c r="G629" s="54" t="n">
        <x:v>227</x:v>
      </x:c>
      <x:c r="H629" s="36" t="str">
        <x:v>a1e22ddbc6da2aa854920a24e5eb64d839dece5f479bd3094d51019133472bc1</x:v>
      </x:c>
      <x:c r="I629" s="36" t="n">
        <x:v>1</x:v>
      </x:c>
      <x:c r="J629" s="36" t="str">
        <x:v>Development evidence</x:v>
      </x:c>
      <x:c r="K629" s="36" t="str">
        <x:v>CONTEXT / PRESERVED</x:v>
      </x:c>
      <x:c r="L629" s="36" t="str">
        <x:v>sprint</x:v>
      </x:c>
      <x:c r="M629" s="36" t="str">
        <x:v>Retain read-only; current authority remains 00–34.</x:v>
      </x:c>
      <x:c r="N629" s="36" t="str">
        <x:v>Preserved context; not mined as normative authority.</x:v>
      </x:c>
      <x:c r="O629" s="36" t="str">
        <x:v>10_Development_Records/Sprint_12/Documentation/S12_PreImplementation_Record.md</x:v>
      </x:c>
    </x:row>
    <x:row r="630">
      <x:c r="A630" s="27" t="str">
        <x:v>HIST-0626</x:v>
      </x:c>
      <x:c r="B630" s="27" t="str">
        <x:v>10_Development_Records</x:v>
      </x:c>
      <x:c r="C630" s="27" t="str"/>
      <x:c r="D630" s="27" t="str">
        <x:v>Sprint 12</x:v>
      </x:c>
      <x:c r="E630" s="36" t="str">
        <x:v>S12_Handoff_Update_Template.md</x:v>
      </x:c>
      <x:c r="F630" s="36" t="str">
        <x:v>MD</x:v>
      </x:c>
      <x:c r="G630" s="54" t="n">
        <x:v>361</x:v>
      </x:c>
      <x:c r="H630" s="36" t="str">
        <x:v>683e99d27f7af84f319fad7c98230f6dec7f9b9eeddf8b4066f750b22c230bd0</x:v>
      </x:c>
      <x:c r="I630" s="36" t="n">
        <x:v>1</x:v>
      </x:c>
      <x:c r="J630" s="36" t="str">
        <x:v>Development evidence</x:v>
      </x:c>
      <x:c r="K630" s="36" t="str">
        <x:v>SUPPORTING</x:v>
      </x:c>
      <x:c r="L630" s="36" t="str">
        <x:v>handoff, sprint</x:v>
      </x:c>
      <x:c r="M630" s="36" t="str">
        <x:v>Retain read-only; current authority remains 00–34.</x:v>
      </x:c>
      <x:c r="N630" s="36" t="str">
        <x:v>33 risk/continuity context</x:v>
      </x:c>
      <x:c r="O630" s="36" t="str">
        <x:v>10_Development_Records/Sprint_12/Governance/S12_Handoff_Update_Template.md</x:v>
      </x:c>
    </x:row>
    <x:row r="631">
      <x:c r="A631" s="27" t="str">
        <x:v>HIST-0627</x:v>
      </x:c>
      <x:c r="B631" s="27" t="str">
        <x:v>10_Development_Records</x:v>
      </x:c>
      <x:c r="C631" s="27" t="str"/>
      <x:c r="D631" s="27" t="str">
        <x:v>Sprint 12</x:v>
      </x:c>
      <x:c r="E631" s="36" t="str">
        <x:v>Sprint_12_Charter.md</x:v>
      </x:c>
      <x:c r="F631" s="36" t="str">
        <x:v>MD</x:v>
      </x:c>
      <x:c r="G631" s="54" t="n">
        <x:v>621</x:v>
      </x:c>
      <x:c r="H631" s="36" t="str">
        <x:v>e5ba484ba7b1ec0c56f438d25c486d65206f2c9517d47ebaf7e946d57f661682</x:v>
      </x:c>
      <x:c r="I631" s="36" t="n">
        <x:v>1</x:v>
      </x:c>
      <x:c r="J631" s="36" t="str">
        <x:v>Development evidence</x:v>
      </x:c>
      <x:c r="K631" s="36" t="str">
        <x:v>SUPPORTING</x:v>
      </x:c>
      <x:c r="L631" s="36" t="str">
        <x:v>build, closure, sprint</x:v>
      </x:c>
      <x:c r="M631" s="36" t="str">
        <x:v>Retain read-only; current authority remains 00–34.</x:v>
      </x:c>
      <x:c r="N631" s="36" t="str">
        <x:v>33 risk/continuity context</x:v>
      </x:c>
      <x:c r="O631" s="36" t="str">
        <x:v>10_Development_Records/Sprint_12/Governance/Sprint_12_Charter.md</x:v>
      </x:c>
    </x:row>
    <x:row r="632">
      <x:c r="A632" s="27" t="str">
        <x:v>HIST-0628</x:v>
      </x:c>
      <x:c r="B632" s="27" t="str">
        <x:v>10_Development_Records</x:v>
      </x:c>
      <x:c r="C632" s="27" t="str"/>
      <x:c r="D632" s="27" t="str">
        <x:v>Sprint 12</x:v>
      </x:c>
      <x:c r="E632" s="36" t="str">
        <x:v>Sprint_12_Current_Status.md</x:v>
      </x:c>
      <x:c r="F632" s="36" t="str">
        <x:v>MD</x:v>
      </x:c>
      <x:c r="G632" s="54" t="n">
        <x:v>548</x:v>
      </x:c>
      <x:c r="H632" s="36" t="str">
        <x:v>abf1580da3fab4d76250d9b370d441fc5f448f23257d745ccdf27f100769e682</x:v>
      </x:c>
      <x:c r="I632" s="36" t="n">
        <x:v>1</x:v>
      </x:c>
      <x:c r="J632" s="36" t="str">
        <x:v>Development evidence</x:v>
      </x:c>
      <x:c r="K632" s="36" t="str">
        <x:v>SUPPORTING</x:v>
      </x:c>
      <x:c r="L632" s="36" t="str">
        <x:v>build, current_status, sprint</x:v>
      </x:c>
      <x:c r="M632" s="36" t="str">
        <x:v>Retain read-only; current authority remains 00–34.</x:v>
      </x:c>
      <x:c r="N632" s="36" t="str">
        <x:v>33 risk/continuity context</x:v>
      </x:c>
      <x:c r="O632" s="36" t="str">
        <x:v>10_Development_Records/Sprint_12/Governance/Sprint_12_Current_Status.md</x:v>
      </x:c>
    </x:row>
    <x:row r="633">
      <x:c r="A633" s="27" t="str">
        <x:v>HIST-0629</x:v>
      </x:c>
      <x:c r="B633" s="27" t="str">
        <x:v>10_Development_Records</x:v>
      </x:c>
      <x:c r="C633" s="27" t="str"/>
      <x:c r="D633" s="27" t="str">
        <x:v>Sprint 12</x:v>
      </x:c>
      <x:c r="E633" s="36" t="str">
        <x:v>S12_Acceptance_Matrix.md</x:v>
      </x:c>
      <x:c r="F633" s="36" t="str">
        <x:v>MD</x:v>
      </x:c>
      <x:c r="G633" s="54" t="n">
        <x:v>661</x:v>
      </x:c>
      <x:c r="H633" s="36" t="str">
        <x:v>9b16fac6f71a8d05203d140a77a1b0c202a5f445556cc663208b04e5c45392b9</x:v>
      </x:c>
      <x:c r="I633" s="36" t="n">
        <x:v>1</x:v>
      </x:c>
      <x:c r="J633" s="36" t="str">
        <x:v>Development evidence</x:v>
      </x:c>
      <x:c r="K633" s="36" t="str">
        <x:v>DIRECT</x:v>
      </x:c>
      <x:c r="L633" s="36" t="str">
        <x:v>acceptance, build, qa, sprint, test</x:v>
      </x:c>
      <x:c r="M633" s="36" t="str">
        <x:v>Retain read-only; current authority remains 00–34.</x:v>
      </x:c>
      <x:c r="N633" s="36" t="str">
        <x:v>33 risk/continuity context</x:v>
      </x:c>
      <x:c r="O633" s="36" t="str">
        <x:v>10_Development_Records/Sprint_12/QA/S12_Acceptance_Matrix.md</x:v>
      </x:c>
    </x:row>
    <x:row r="634">
      <x:c r="A634" s="27" t="str">
        <x:v>HIST-0630</x:v>
      </x:c>
      <x:c r="B634" s="27" t="str">
        <x:v>10_Development_Records</x:v>
      </x:c>
      <x:c r="C634" s="27" t="str"/>
      <x:c r="D634" s="27" t="str">
        <x:v>Sprint 12</x:v>
      </x:c>
      <x:c r="E634" s="36" t="str">
        <x:v>S12_Build_Execution_Record.md</x:v>
      </x:c>
      <x:c r="F634" s="36" t="str">
        <x:v>MD</x:v>
      </x:c>
      <x:c r="G634" s="54" t="n">
        <x:v>431</x:v>
      </x:c>
      <x:c r="H634" s="36" t="str">
        <x:v>e3531d9bc28665f33ed38c176188246308d38bd480be42c1758f848e433f69b4</x:v>
      </x:c>
      <x:c r="I634" s="36" t="n">
        <x:v>1</x:v>
      </x:c>
      <x:c r="J634" s="36" t="str">
        <x:v>Development evidence</x:v>
      </x:c>
      <x:c r="K634" s="36" t="str">
        <x:v>SUPPORTING</x:v>
      </x:c>
      <x:c r="L634" s="36" t="str">
        <x:v>build, closure, qa, sprint</x:v>
      </x:c>
      <x:c r="M634" s="36" t="str">
        <x:v>Retain read-only; current authority remains 00–34.</x:v>
      </x:c>
      <x:c r="N634" s="36" t="str">
        <x:v>33 risk/continuity context</x:v>
      </x:c>
      <x:c r="O634" s="36" t="str">
        <x:v>10_Development_Records/Sprint_12/QA/S12_Build_Execution_Record.md</x:v>
      </x:c>
    </x:row>
    <x:row r="635">
      <x:c r="A635" s="27" t="str">
        <x:v>HIST-0631</x:v>
      </x:c>
      <x:c r="B635" s="27" t="str">
        <x:v>10_Development_Records</x:v>
      </x:c>
      <x:c r="C635" s="27" t="str"/>
      <x:c r="D635" s="27" t="str">
        <x:v>Sprint 12</x:v>
      </x:c>
      <x:c r="E635" s="36" t="str">
        <x:v>S12_Manual_Validation_Record.md</x:v>
      </x:c>
      <x:c r="F635" s="36" t="str">
        <x:v>MD</x:v>
      </x:c>
      <x:c r="G635" s="54" t="n">
        <x:v>703</x:v>
      </x:c>
      <x:c r="H635" s="36" t="str">
        <x:v>e64f8e7b06c81b96a686a34d6165cf5cc6c2aaeb1114954e858f41f7cbd9cb40</x:v>
      </x:c>
      <x:c r="I635" s="36" t="n">
        <x:v>1</x:v>
      </x:c>
      <x:c r="J635" s="36" t="str">
        <x:v>Development evidence</x:v>
      </x:c>
      <x:c r="K635" s="36" t="str">
        <x:v>SUPPORTING</x:v>
      </x:c>
      <x:c r="L635" s="36" t="str">
        <x:v>qa, sprint, validation</x:v>
      </x:c>
      <x:c r="M635" s="36" t="str">
        <x:v>Retain read-only; current authority remains 00–34.</x:v>
      </x:c>
      <x:c r="N635" s="36" t="str">
        <x:v>33 risk/continuity context</x:v>
      </x:c>
      <x:c r="O635" s="36" t="str">
        <x:v>10_Development_Records/Sprint_12/QA/S12_Manual_Validation_Record.md</x:v>
      </x:c>
    </x:row>
    <x:row r="636">
      <x:c r="A636" s="27" t="str">
        <x:v>HIST-0632</x:v>
      </x:c>
      <x:c r="B636" s="27" t="str">
        <x:v>10_Development_Records</x:v>
      </x:c>
      <x:c r="C636" s="27" t="str"/>
      <x:c r="D636" s="27" t="str">
        <x:v>Sprint 12</x:v>
      </x:c>
      <x:c r="E636" s="36" t="str">
        <x:v>S12_QA_Execution_Record.md</x:v>
      </x:c>
      <x:c r="F636" s="36" t="str">
        <x:v>MD</x:v>
      </x:c>
      <x:c r="G636" s="54" t="n">
        <x:v>402</x:v>
      </x:c>
      <x:c r="H636" s="36" t="str">
        <x:v>e53fa611bf41782ecb96b8d41010b2607f3e38223dad09898a92bdfec0f6ba9f</x:v>
      </x:c>
      <x:c r="I636" s="36" t="n">
        <x:v>1</x:v>
      </x:c>
      <x:c r="J636" s="36" t="str">
        <x:v>Development evidence</x:v>
      </x:c>
      <x:c r="K636" s="36" t="str">
        <x:v>SUPPORTING</x:v>
      </x:c>
      <x:c r="L636" s="36" t="str">
        <x:v>qa, sprint</x:v>
      </x:c>
      <x:c r="M636" s="36" t="str">
        <x:v>Retain read-only; current authority remains 00–34.</x:v>
      </x:c>
      <x:c r="N636" s="36" t="str">
        <x:v>33 risk/continuity context</x:v>
      </x:c>
      <x:c r="O636" s="36" t="str">
        <x:v>10_Development_Records/Sprint_12/QA/S12_QA_Execution_Record.md</x:v>
      </x:c>
    </x:row>
    <x:row r="637">
      <x:c r="A637" s="27" t="str">
        <x:v>HIST-0633</x:v>
      </x:c>
      <x:c r="B637" s="27" t="str">
        <x:v>10_Development_Records</x:v>
      </x:c>
      <x:c r="C637" s="27" t="str"/>
      <x:c r="D637" s="27" t="str">
        <x:v>Sprint 12</x:v>
      </x:c>
      <x:c r="E637" s="36" t="str">
        <x:v>S12_Test_Plan.md</x:v>
      </x:c>
      <x:c r="F637" s="36" t="str">
        <x:v>MD</x:v>
      </x:c>
      <x:c r="G637" s="54" t="n">
        <x:v>425</x:v>
      </x:c>
      <x:c r="H637" s="36" t="str">
        <x:v>30bd7ced538009bf712a71eb200d7ac3646cce58b3ee09f0d6cb339ff83055e9</x:v>
      </x:c>
      <x:c r="I637" s="36" t="n">
        <x:v>1</x:v>
      </x:c>
      <x:c r="J637" s="36" t="str">
        <x:v>Development evidence</x:v>
      </x:c>
      <x:c r="K637" s="36" t="str">
        <x:v>SUPPORTING</x:v>
      </x:c>
      <x:c r="L637" s="36" t="str">
        <x:v>build, qa, sprint, test</x:v>
      </x:c>
      <x:c r="M637" s="36" t="str">
        <x:v>Retain read-only; current authority remains 00–34.</x:v>
      </x:c>
      <x:c r="N637" s="36" t="str">
        <x:v>33 risk/continuity context</x:v>
      </x:c>
      <x:c r="O637" s="36" t="str">
        <x:v>10_Development_Records/Sprint_12/QA/S12_Test_Plan.md</x:v>
      </x:c>
    </x:row>
    <x:row r="638">
      <x:c r="A638" s="27" t="str">
        <x:v>HIST-0634</x:v>
      </x:c>
      <x:c r="B638" s="27" t="str">
        <x:v>10_Development_Records</x:v>
      </x:c>
      <x:c r="C638" s="27" t="str"/>
      <x:c r="D638" s="27" t="str">
        <x:v>Sprint 12</x:v>
      </x:c>
      <x:c r="E638" s="36" t="str">
        <x:v>S12_Validation_Checklist.md</x:v>
      </x:c>
      <x:c r="F638" s="36" t="str">
        <x:v>MD</x:v>
      </x:c>
      <x:c r="G638" s="54" t="n">
        <x:v>583</x:v>
      </x:c>
      <x:c r="H638" s="36" t="str">
        <x:v>00cd5c9edcc23a93e48b68df03a8b85c659dae40a91b0523e840c6ca5d043720</x:v>
      </x:c>
      <x:c r="I638" s="36" t="n">
        <x:v>1</x:v>
      </x:c>
      <x:c r="J638" s="36" t="str">
        <x:v>Development evidence</x:v>
      </x:c>
      <x:c r="K638" s="36" t="str">
        <x:v>SUPPORTING</x:v>
      </x:c>
      <x:c r="L638" s="36" t="str">
        <x:v>build, qa, sprint, validation</x:v>
      </x:c>
      <x:c r="M638" s="36" t="str">
        <x:v>Retain read-only; current authority remains 00–34.</x:v>
      </x:c>
      <x:c r="N638" s="36" t="str">
        <x:v>33 risk/continuity context</x:v>
      </x:c>
      <x:c r="O638" s="36" t="str">
        <x:v>10_Development_Records/Sprint_12/QA/S12_Validation_Checklist.md</x:v>
      </x:c>
    </x:row>
    <x:row r="639">
      <x:c r="A639" s="27" t="str">
        <x:v>HIST-0635</x:v>
      </x:c>
      <x:c r="B639" s="27" t="str">
        <x:v>10_Development_Records</x:v>
      </x:c>
      <x:c r="C639" s="27" t="str"/>
      <x:c r="D639" s="27" t="str">
        <x:v>Sprint 12</x:v>
      </x:c>
      <x:c r="E639" s="36" t="str">
        <x:v>Sprint_12_Closure_Report.md</x:v>
      </x:c>
      <x:c r="F639" s="36" t="str">
        <x:v>MD</x:v>
      </x:c>
      <x:c r="G639" s="54" t="n">
        <x:v>2034</x:v>
      </x:c>
      <x:c r="H639" s="36" t="str">
        <x:v>e745ab6b920f0910b054d3c2c84b20db3ade4baef82e55a4560a3821febac57f</x:v>
      </x:c>
      <x:c r="I639" s="36" t="n">
        <x:v>1</x:v>
      </x:c>
      <x:c r="J639" s="36" t="str">
        <x:v>Development evidence</x:v>
      </x:c>
      <x:c r="K639" s="36" t="str">
        <x:v>SUPPORTING</x:v>
      </x:c>
      <x:c r="L639" s="36" t="str">
        <x:v>build, closure, sprint, test</x:v>
      </x:c>
      <x:c r="M639" s="36" t="str">
        <x:v>Retain read-only; current authority remains 00–34.</x:v>
      </x:c>
      <x:c r="N639" s="36" t="str">
        <x:v>33 risk/continuity context</x:v>
      </x:c>
      <x:c r="O639" s="36" t="str">
        <x:v>10_Development_Records/Sprint_12/Sprint_12_Closure_Report.md</x:v>
      </x:c>
    </x:row>
    <x:row r="640">
      <x:c r="A640" s="27" t="str">
        <x:v>HIST-0636</x:v>
      </x:c>
      <x:c r="B640" s="27" t="str">
        <x:v>10_Development_Records</x:v>
      </x:c>
      <x:c r="C640" s="27" t="str"/>
      <x:c r="D640" s="27" t="str">
        <x:v>Sprint 12</x:v>
      </x:c>
      <x:c r="E640" s="36" t="str">
        <x:v>S12_Document_Impact_Working_Matrix.md</x:v>
      </x:c>
      <x:c r="F640" s="36" t="str">
        <x:v>MD</x:v>
      </x:c>
      <x:c r="G640" s="54" t="n">
        <x:v>430</x:v>
      </x:c>
      <x:c r="H640" s="36" t="str">
        <x:v>ff5ee8f431339179ce4375342d7d5d1f9c5c4909ac4b8c0fa64df2089a160023</x:v>
      </x:c>
      <x:c r="I640" s="36" t="n">
        <x:v>1</x:v>
      </x:c>
      <x:c r="J640" s="36" t="str">
        <x:v>Development evidence</x:v>
      </x:c>
      <x:c r="K640" s="36" t="str">
        <x:v>DIRECT</x:v>
      </x:c>
      <x:c r="L640" s="36" t="str">
        <x:v>build, handoff, qa, roadmap, sprint, test</x:v>
      </x:c>
      <x:c r="M640" s="36" t="str">
        <x:v>Retain read-only; current authority remains 00–34.</x:v>
      </x:c>
      <x:c r="N640" s="36" t="str">
        <x:v>33 risk/continuity context</x:v>
      </x:c>
      <x:c r="O640" s="36" t="str">
        <x:v>10_Development_Records/Sprint_12/Traceability/S12_Document_Impact_Working_Matrix.md</x:v>
      </x:c>
    </x:row>
    <x:row r="641">
      <x:c r="A641" s="27" t="str">
        <x:v>HIST-0637</x:v>
      </x:c>
      <x:c r="B641" s="27" t="str">
        <x:v>10_Development_Records</x:v>
      </x:c>
      <x:c r="C641" s="27" t="str"/>
      <x:c r="D641" s="27" t="str">
        <x:v>Sprint 12</x:v>
      </x:c>
      <x:c r="E641" s="36" t="str">
        <x:v>S12_Traceability_Entries.csv</x:v>
      </x:c>
      <x:c r="F641" s="36" t="str">
        <x:v>CSV</x:v>
      </x:c>
      <x:c r="G641" s="54" t="n">
        <x:v>694</x:v>
      </x:c>
      <x:c r="H641" s="36" t="str">
        <x:v>28ba58fff645e9b2dc47c9e7d6629c924e89eff6981a293ff5bb750c41b3ba17</x:v>
      </x:c>
      <x:c r="I641" s="36" t="n">
        <x:v>1</x:v>
      </x:c>
      <x:c r="J641" s="36" t="str">
        <x:v>Development evidence</x:v>
      </x:c>
      <x:c r="K641" s="36" t="str">
        <x:v>DIRECT</x:v>
      </x:c>
      <x:c r="L641" s="36" t="str">
        <x:v>build, closure, handoff, qa, sprint, test</x:v>
      </x:c>
      <x:c r="M641" s="36" t="str">
        <x:v>Retain read-only; current authority remains 00–34.</x:v>
      </x:c>
      <x:c r="N641" s="36" t="str">
        <x:v>33 risk/continuity context</x:v>
      </x:c>
      <x:c r="O641" s="36" t="str">
        <x:v>10_Development_Records/Sprint_12/Traceability/S12_Traceability_Entries.csv</x:v>
      </x:c>
    </x:row>
    <x:row r="642">
      <x:c r="A642" s="27" t="str">
        <x:v>HIST-0638</x:v>
      </x:c>
      <x:c r="B642" s="27" t="str">
        <x:v>10_Development_Records</x:v>
      </x:c>
      <x:c r="C642" s="27" t="str"/>
      <x:c r="D642" s="27" t="str">
        <x:v>Sprint 13</x:v>
      </x:c>
      <x:c r="E642" s="36" t="str">
        <x:v>ADR-0051-IntegerMinorUnitMoney.md</x:v>
      </x:c>
      <x:c r="F642" s="36" t="str">
        <x:v>MD</x:v>
      </x:c>
      <x:c r="G642" s="54" t="n">
        <x:v>173</x:v>
      </x:c>
      <x:c r="H642" s="36" t="str">
        <x:v>73384536261c238a733a2f818844f35d55f135835e6b5c97cdd7dae6d63ca795</x:v>
      </x:c>
      <x:c r="I642" s="36" t="n">
        <x:v>1</x:v>
      </x:c>
      <x:c r="J642" s="36" t="str">
        <x:v>Development evidence</x:v>
      </x:c>
      <x:c r="K642" s="36" t="str">
        <x:v>SUPPORTING</x:v>
      </x:c>
      <x:c r="L642" s="36" t="str">
        <x:v>adr, sprint</x:v>
      </x:c>
      <x:c r="M642" s="36" t="str">
        <x:v>Retain read-only; current authority remains 00–34.</x:v>
      </x:c>
      <x:c r="N642" s="36" t="str">
        <x:v>33 risk/continuity context</x:v>
      </x:c>
      <x:c r="O642" s="36" t="str">
        <x:v>10_Development_Records/Sprint_13/Architecture/ADR-0051-IntegerMinorUnitMoney.md</x:v>
      </x:c>
    </x:row>
    <x:row r="643">
      <x:c r="A643" s="27" t="str">
        <x:v>HIST-0639</x:v>
      </x:c>
      <x:c r="B643" s="27" t="str">
        <x:v>10_Development_Records</x:v>
      </x:c>
      <x:c r="C643" s="27" t="str"/>
      <x:c r="D643" s="27" t="str">
        <x:v>Sprint 13</x:v>
      </x:c>
      <x:c r="E643" s="36" t="str">
        <x:v>ADR-0052-SeparateSalePriceCatalog.md</x:v>
      </x:c>
      <x:c r="F643" s="36" t="str">
        <x:v>MD</x:v>
      </x:c>
      <x:c r="G643" s="54" t="n">
        <x:v>226</x:v>
      </x:c>
      <x:c r="H643" s="36" t="str">
        <x:v>1a0a34e33c5a76ff1cfb80921aa4dbbdf223200b95c8e54bf52e95e1eece4018</x:v>
      </x:c>
      <x:c r="I643" s="36" t="n">
        <x:v>1</x:v>
      </x:c>
      <x:c r="J643" s="36" t="str">
        <x:v>Development evidence</x:v>
      </x:c>
      <x:c r="K643" s="36" t="str">
        <x:v>SUPPORTING</x:v>
      </x:c>
      <x:c r="L643" s="36" t="str">
        <x:v>adr, sprint</x:v>
      </x:c>
      <x:c r="M643" s="36" t="str">
        <x:v>Retain read-only; current authority remains 00–34.</x:v>
      </x:c>
      <x:c r="N643" s="36" t="str">
        <x:v>33 risk/continuity context</x:v>
      </x:c>
      <x:c r="O643" s="36" t="str">
        <x:v>10_Development_Records/Sprint_13/Architecture/ADR-0052-SeparateSalePriceCatalog.md</x:v>
      </x:c>
    </x:row>
    <x:row r="644">
      <x:c r="A644" s="27" t="str">
        <x:v>HIST-0640</x:v>
      </x:c>
      <x:c r="B644" s="27" t="str">
        <x:v>10_Development_Records</x:v>
      </x:c>
      <x:c r="C644" s="27" t="str"/>
      <x:c r="D644" s="27" t="str">
        <x:v>Sprint 13</x:v>
      </x:c>
      <x:c r="E644" s="36" t="str">
        <x:v>ADR-0053-QuoteBeforePhysicalCheckout.md</x:v>
      </x:c>
      <x:c r="F644" s="36" t="str">
        <x:v>MD</x:v>
      </x:c>
      <x:c r="G644" s="54" t="n">
        <x:v>196</x:v>
      </x:c>
      <x:c r="H644" s="36" t="str">
        <x:v>5c71902b6c89d51d471338f30be7fdf34014f33944ada9030b826b0149562d3a</x:v>
      </x:c>
      <x:c r="I644" s="36" t="n">
        <x:v>1</x:v>
      </x:c>
      <x:c r="J644" s="36" t="str">
        <x:v>Development evidence</x:v>
      </x:c>
      <x:c r="K644" s="36" t="str">
        <x:v>SUPPORTING</x:v>
      </x:c>
      <x:c r="L644" s="36" t="str">
        <x:v>adr, sprint</x:v>
      </x:c>
      <x:c r="M644" s="36" t="str">
        <x:v>Retain read-only; current authority remains 00–34.</x:v>
      </x:c>
      <x:c r="N644" s="36" t="str">
        <x:v>33 risk/continuity context</x:v>
      </x:c>
      <x:c r="O644" s="36" t="str">
        <x:v>10_Development_Records/Sprint_13/Architecture/ADR-0053-QuoteBeforePhysicalCheckout.md</x:v>
      </x:c>
    </x:row>
    <x:row r="645">
      <x:c r="A645" s="27" t="str">
        <x:v>HIST-0641</x:v>
      </x:c>
      <x:c r="B645" s="27" t="str">
        <x:v>10_Development_Records</x:v>
      </x:c>
      <x:c r="C645" s="27" t="str"/>
      <x:c r="D645" s="27" t="str">
        <x:v>Sprint 13</x:v>
      </x:c>
      <x:c r="E645" s="36" t="str">
        <x:v>ADR-0054-IdempotentEconomyLedger.md</x:v>
      </x:c>
      <x:c r="F645" s="36" t="str">
        <x:v>MD</x:v>
      </x:c>
      <x:c r="G645" s="54" t="n">
        <x:v>158</x:v>
      </x:c>
      <x:c r="H645" s="36" t="str">
        <x:v>f52b16bb87159d2616add98a3c44442ddfb65e0fe5e50fa4fea29fee33215246</x:v>
      </x:c>
      <x:c r="I645" s="36" t="n">
        <x:v>1</x:v>
      </x:c>
      <x:c r="J645" s="36" t="str">
        <x:v>Development evidence</x:v>
      </x:c>
      <x:c r="K645" s="36" t="str">
        <x:v>SUPPORTING</x:v>
      </x:c>
      <x:c r="L645" s="36" t="str">
        <x:v>adr, sprint</x:v>
      </x:c>
      <x:c r="M645" s="36" t="str">
        <x:v>Retain read-only; current authority remains 00–34.</x:v>
      </x:c>
      <x:c r="N645" s="36" t="str">
        <x:v>33 risk/continuity context</x:v>
      </x:c>
      <x:c r="O645" s="36" t="str">
        <x:v>10_Development_Records/Sprint_13/Architecture/ADR-0054-IdempotentEconomyLedger.md</x:v>
      </x:c>
    </x:row>
    <x:row r="646">
      <x:c r="A646" s="27" t="str">
        <x:v>HIST-0642</x:v>
      </x:c>
      <x:c r="B646" s="27" t="str">
        <x:v>10_Development_Records</x:v>
      </x:c>
      <x:c r="C646" s="27" t="str"/>
      <x:c r="D646" s="27" t="str">
        <x:v>Sprint 13</x:v>
      </x:c>
      <x:c r="E646" s="36" t="str">
        <x:v>ADR-0055-ClosedDayEconomicResult.md</x:v>
      </x:c>
      <x:c r="F646" s="36" t="str">
        <x:v>MD</x:v>
      </x:c>
      <x:c r="G646" s="54" t="n">
        <x:v>189</x:v>
      </x:c>
      <x:c r="H646" s="36" t="str">
        <x:v>d0445e9824c68ff49cdc6836a4809e56bc768dfeb1f504dd17f6207db76ef0af</x:v>
      </x:c>
      <x:c r="I646" s="36" t="n">
        <x:v>1</x:v>
      </x:c>
      <x:c r="J646" s="36" t="str">
        <x:v>Development evidence</x:v>
      </x:c>
      <x:c r="K646" s="36" t="str">
        <x:v>SUPPORTING</x:v>
      </x:c>
      <x:c r="L646" s="36" t="str">
        <x:v>adr, sprint</x:v>
      </x:c>
      <x:c r="M646" s="36" t="str">
        <x:v>Retain read-only; current authority remains 00–34.</x:v>
      </x:c>
      <x:c r="N646" s="36" t="str">
        <x:v>33 risk/continuity context</x:v>
      </x:c>
      <x:c r="O646" s="36" t="str">
        <x:v>10_Development_Records/Sprint_13/Architecture/ADR-0055-ClosedDayEconomicResult.md</x:v>
      </x:c>
    </x:row>
    <x:row r="647">
      <x:c r="A647" s="27" t="str">
        <x:v>HIST-0643</x:v>
      </x:c>
      <x:c r="B647" s="27" t="str">
        <x:v>10_Development_Records</x:v>
      </x:c>
      <x:c r="C647" s="27" t="str"/>
      <x:c r="D647" s="27" t="str">
        <x:v>Sprint 13</x:v>
      </x:c>
      <x:c r="E647" s="36" t="str">
        <x:v>S13_PostImplementation_Record.md</x:v>
      </x:c>
      <x:c r="F647" s="36" t="str">
        <x:v>MD</x:v>
      </x:c>
      <x:c r="G647" s="54" t="n">
        <x:v>624</x:v>
      </x:c>
      <x:c r="H647" s="36" t="str">
        <x:v>0b5d8860dc3625f95cd33eb8e44f3aeb551d887271c034e77a35481ed40b1799</x:v>
      </x:c>
      <x:c r="I647" s="36" t="n">
        <x:v>1</x:v>
      </x:c>
      <x:c r="J647" s="36" t="str">
        <x:v>Development evidence</x:v>
      </x:c>
      <x:c r="K647" s="36" t="str">
        <x:v>SUPPORTING</x:v>
      </x:c>
      <x:c r="L647" s="36" t="str">
        <x:v>build, sprint, test</x:v>
      </x:c>
      <x:c r="M647" s="36" t="str">
        <x:v>Retain read-only; current authority remains 00–34.</x:v>
      </x:c>
      <x:c r="N647" s="36" t="str">
        <x:v>33 risk/continuity context</x:v>
      </x:c>
      <x:c r="O647" s="36" t="str">
        <x:v>10_Development_Records/Sprint_13/Documentation/S13_PostImplementation_Record.md</x:v>
      </x:c>
    </x:row>
    <x:row r="648">
      <x:c r="A648" s="27" t="str">
        <x:v>HIST-0644</x:v>
      </x:c>
      <x:c r="B648" s="27" t="str">
        <x:v>10_Development_Records</x:v>
      </x:c>
      <x:c r="C648" s="27" t="str"/>
      <x:c r="D648" s="27" t="str">
        <x:v>Sprint 13</x:v>
      </x:c>
      <x:c r="E648" s="36" t="str">
        <x:v>S13_PreImplementation_Record.md</x:v>
      </x:c>
      <x:c r="F648" s="36" t="str">
        <x:v>MD</x:v>
      </x:c>
      <x:c r="G648" s="54" t="n">
        <x:v>329</x:v>
      </x:c>
      <x:c r="H648" s="36" t="str">
        <x:v>d631432d38d193ee490df5d6e8843500c0985e058354977a544cc6f6e1b45129</x:v>
      </x:c>
      <x:c r="I648" s="36" t="n">
        <x:v>1</x:v>
      </x:c>
      <x:c r="J648" s="36" t="str">
        <x:v>Development evidence</x:v>
      </x:c>
      <x:c r="K648" s="36" t="str">
        <x:v>CONTEXT / PRESERVED</x:v>
      </x:c>
      <x:c r="L648" s="36" t="str">
        <x:v>sprint</x:v>
      </x:c>
      <x:c r="M648" s="36" t="str">
        <x:v>Retain read-only; current authority remains 00–34.</x:v>
      </x:c>
      <x:c r="N648" s="36" t="str">
        <x:v>Preserved context; not mined as normative authority.</x:v>
      </x:c>
      <x:c r="O648" s="36" t="str">
        <x:v>10_Development_Records/Sprint_13/Documentation/S13_PreImplementation_Record.md</x:v>
      </x:c>
    </x:row>
    <x:row r="649">
      <x:c r="A649" s="27" t="str">
        <x:v>HIST-0645</x:v>
      </x:c>
      <x:c r="B649" s="27" t="str">
        <x:v>10_Development_Records</x:v>
      </x:c>
      <x:c r="C649" s="27" t="str"/>
      <x:c r="D649" s="27" t="str">
        <x:v>Sprint 13</x:v>
      </x:c>
      <x:c r="E649" s="36" t="str">
        <x:v>S13_Handoff_Update_Template.md</x:v>
      </x:c>
      <x:c r="F649" s="36" t="str">
        <x:v>MD</x:v>
      </x:c>
      <x:c r="G649" s="54" t="n">
        <x:v>431</x:v>
      </x:c>
      <x:c r="H649" s="36" t="str">
        <x:v>7d91ce81d3567cd4f392f6d9784c7415d628eec2b65e7468ea5e1b694af743f8</x:v>
      </x:c>
      <x:c r="I649" s="36" t="n">
        <x:v>1</x:v>
      </x:c>
      <x:c r="J649" s="36" t="str">
        <x:v>Development evidence</x:v>
      </x:c>
      <x:c r="K649" s="36" t="str">
        <x:v>SUPPORTING</x:v>
      </x:c>
      <x:c r="L649" s="36" t="str">
        <x:v>handoff, recovery, save, sprint</x:v>
      </x:c>
      <x:c r="M649" s="36" t="str">
        <x:v>Retain read-only; current authority remains 00–34.</x:v>
      </x:c>
      <x:c r="N649" s="36" t="str">
        <x:v>33 risk/continuity context</x:v>
      </x:c>
      <x:c r="O649" s="36" t="str">
        <x:v>10_Development_Records/Sprint_13/Governance/S13_Handoff_Update_Template.md</x:v>
      </x:c>
    </x:row>
    <x:row r="650">
      <x:c r="A650" s="27" t="str">
        <x:v>HIST-0646</x:v>
      </x:c>
      <x:c r="B650" s="27" t="str">
        <x:v>10_Development_Records</x:v>
      </x:c>
      <x:c r="C650" s="27" t="str"/>
      <x:c r="D650" s="27" t="str">
        <x:v>Sprint 13</x:v>
      </x:c>
      <x:c r="E650" s="36" t="str">
        <x:v>Sprint_13_Charter.md</x:v>
      </x:c>
      <x:c r="F650" s="36" t="str">
        <x:v>MD</x:v>
      </x:c>
      <x:c r="G650" s="54" t="n">
        <x:v>636</x:v>
      </x:c>
      <x:c r="H650" s="36" t="str">
        <x:v>98af5faf1a967930faba7dc0bc475610d7a230dbd64ff7eda115aff7eed70b58</x:v>
      </x:c>
      <x:c r="I650" s="36" t="n">
        <x:v>1</x:v>
      </x:c>
      <x:c r="J650" s="36" t="str">
        <x:v>Development evidence</x:v>
      </x:c>
      <x:c r="K650" s="36" t="str">
        <x:v>SUPPORTING</x:v>
      </x:c>
      <x:c r="L650" s="36" t="str">
        <x:v>build, sprint</x:v>
      </x:c>
      <x:c r="M650" s="36" t="str">
        <x:v>Retain read-only; current authority remains 00–34.</x:v>
      </x:c>
      <x:c r="N650" s="36" t="str">
        <x:v>33 risk/continuity context</x:v>
      </x:c>
      <x:c r="O650" s="36" t="str">
        <x:v>10_Development_Records/Sprint_13/Governance/Sprint_13_Charter.md</x:v>
      </x:c>
    </x:row>
    <x:row r="651">
      <x:c r="A651" s="27" t="str">
        <x:v>HIST-0647</x:v>
      </x:c>
      <x:c r="B651" s="27" t="str">
        <x:v>10_Development_Records</x:v>
      </x:c>
      <x:c r="C651" s="27" t="str"/>
      <x:c r="D651" s="27" t="str">
        <x:v>Sprint 13</x:v>
      </x:c>
      <x:c r="E651" s="36" t="str">
        <x:v>Sprint_13_Current_Status.md</x:v>
      </x:c>
      <x:c r="F651" s="36" t="str">
        <x:v>MD</x:v>
      </x:c>
      <x:c r="G651" s="54" t="n">
        <x:v>684</x:v>
      </x:c>
      <x:c r="H651" s="36" t="str">
        <x:v>11fa2c9c81e37474d7bed83b95243be46a1a1015d81fd663df3cdaf55eea84e8</x:v>
      </x:c>
      <x:c r="I651" s="36" t="n">
        <x:v>1</x:v>
      </x:c>
      <x:c r="J651" s="36" t="str">
        <x:v>Development evidence</x:v>
      </x:c>
      <x:c r="K651" s="36" t="str">
        <x:v>DIRECT</x:v>
      </x:c>
      <x:c r="L651" s="36" t="str">
        <x:v>build, current_status, recovery, save, sprint</x:v>
      </x:c>
      <x:c r="M651" s="36" t="str">
        <x:v>Retain read-only; current authority remains 00–34.</x:v>
      </x:c>
      <x:c r="N651" s="36" t="str">
        <x:v>33 risk/continuity context</x:v>
      </x:c>
      <x:c r="O651" s="36" t="str">
        <x:v>10_Development_Records/Sprint_13/Governance/Sprint_13_Current_Status.md</x:v>
      </x:c>
    </x:row>
    <x:row r="652">
      <x:c r="A652" s="27" t="str">
        <x:v>HIST-0648</x:v>
      </x:c>
      <x:c r="B652" s="27" t="str">
        <x:v>10_Development_Records</x:v>
      </x:c>
      <x:c r="C652" s="27" t="str"/>
      <x:c r="D652" s="27" t="str">
        <x:v>Sprint 13</x:v>
      </x:c>
      <x:c r="E652" s="36" t="str">
        <x:v>S13_Acceptance_Matrix.md</x:v>
      </x:c>
      <x:c r="F652" s="36" t="str">
        <x:v>MD</x:v>
      </x:c>
      <x:c r="G652" s="54" t="n">
        <x:v>693</x:v>
      </x:c>
      <x:c r="H652" s="36" t="str">
        <x:v>e7f134005949b363e84fadb28d740ff268adb3c42de47070fbcc968862319f2b</x:v>
      </x:c>
      <x:c r="I652" s="36" t="n">
        <x:v>1</x:v>
      </x:c>
      <x:c r="J652" s="36" t="str">
        <x:v>Development evidence</x:v>
      </x:c>
      <x:c r="K652" s="36" t="str">
        <x:v>DIRECT</x:v>
      </x:c>
      <x:c r="L652" s="36" t="str">
        <x:v>acceptance, build, qa, sprint, test</x:v>
      </x:c>
      <x:c r="M652" s="36" t="str">
        <x:v>Retain read-only; current authority remains 00–34.</x:v>
      </x:c>
      <x:c r="N652" s="36" t="str">
        <x:v>33 risk/continuity context</x:v>
      </x:c>
      <x:c r="O652" s="36" t="str">
        <x:v>10_Development_Records/Sprint_13/QA/S13_Acceptance_Matrix.md</x:v>
      </x:c>
    </x:row>
    <x:row r="653">
      <x:c r="A653" s="27" t="str">
        <x:v>HIST-0649</x:v>
      </x:c>
      <x:c r="B653" s="27" t="str">
        <x:v>10_Development_Records</x:v>
      </x:c>
      <x:c r="C653" s="27" t="str"/>
      <x:c r="D653" s="27" t="str">
        <x:v>Sprint 13</x:v>
      </x:c>
      <x:c r="E653" s="36" t="str">
        <x:v>S13_Build_Execution_Record.md</x:v>
      </x:c>
      <x:c r="F653" s="36" t="str">
        <x:v>MD</x:v>
      </x:c>
      <x:c r="G653" s="54" t="n">
        <x:v>493</x:v>
      </x:c>
      <x:c r="H653" s="36" t="str">
        <x:v>887232c7346268536f197fc6069ad7f518735c2f51c302f0d27e6c2625cd005b</x:v>
      </x:c>
      <x:c r="I653" s="36" t="n">
        <x:v>1</x:v>
      </x:c>
      <x:c r="J653" s="36" t="str">
        <x:v>Development evidence</x:v>
      </x:c>
      <x:c r="K653" s="36" t="str">
        <x:v>SUPPORTING</x:v>
      </x:c>
      <x:c r="L653" s="36" t="str">
        <x:v>build, qa, sprint</x:v>
      </x:c>
      <x:c r="M653" s="36" t="str">
        <x:v>Retain read-only; current authority remains 00–34.</x:v>
      </x:c>
      <x:c r="N653" s="36" t="str">
        <x:v>33 risk/continuity context</x:v>
      </x:c>
      <x:c r="O653" s="36" t="str">
        <x:v>10_Development_Records/Sprint_13/QA/S13_Build_Execution_Record.md</x:v>
      </x:c>
    </x:row>
    <x:row r="654">
      <x:c r="A654" s="27" t="str">
        <x:v>HIST-0650</x:v>
      </x:c>
      <x:c r="B654" s="27" t="str">
        <x:v>10_Development_Records</x:v>
      </x:c>
      <x:c r="C654" s="27" t="str"/>
      <x:c r="D654" s="27" t="str">
        <x:v>Sprint 13</x:v>
      </x:c>
      <x:c r="E654" s="36" t="str">
        <x:v>S13_Manual_Validation_Record.md</x:v>
      </x:c>
      <x:c r="F654" s="36" t="str">
        <x:v>MD</x:v>
      </x:c>
      <x:c r="G654" s="54" t="n">
        <x:v>726</x:v>
      </x:c>
      <x:c r="H654" s="36" t="str">
        <x:v>debd552a2298fb05bf6cf48f5030ad4531e4ec02a2c030467e9d7fcb390cef99</x:v>
      </x:c>
      <x:c r="I654" s="36" t="n">
        <x:v>1</x:v>
      </x:c>
      <x:c r="J654" s="36" t="str">
        <x:v>Development evidence</x:v>
      </x:c>
      <x:c r="K654" s="36" t="str">
        <x:v>SUPPORTING</x:v>
      </x:c>
      <x:c r="L654" s="36" t="str">
        <x:v>qa, sprint, validation</x:v>
      </x:c>
      <x:c r="M654" s="36" t="str">
        <x:v>Retain read-only; current authority remains 00–34.</x:v>
      </x:c>
      <x:c r="N654" s="36" t="str">
        <x:v>33 risk/continuity context</x:v>
      </x:c>
      <x:c r="O654" s="36" t="str">
        <x:v>10_Development_Records/Sprint_13/QA/S13_Manual_Validation_Record.md</x:v>
      </x:c>
    </x:row>
    <x:row r="655">
      <x:c r="A655" s="27" t="str">
        <x:v>HIST-0651</x:v>
      </x:c>
      <x:c r="B655" s="27" t="str">
        <x:v>10_Development_Records</x:v>
      </x:c>
      <x:c r="C655" s="27" t="str"/>
      <x:c r="D655" s="27" t="str">
        <x:v>Sprint 13</x:v>
      </x:c>
      <x:c r="E655" s="36" t="str">
        <x:v>S13_QA_Execution_Record.md</x:v>
      </x:c>
      <x:c r="F655" s="36" t="str">
        <x:v>MD</x:v>
      </x:c>
      <x:c r="G655" s="54" t="n">
        <x:v>456</x:v>
      </x:c>
      <x:c r="H655" s="36" t="str">
        <x:v>a0ecdfbd34ae6a3e96f2ff4b19602fcfdad3628da0f4647a96631aecce9bd9e0</x:v>
      </x:c>
      <x:c r="I655" s="36" t="n">
        <x:v>1</x:v>
      </x:c>
      <x:c r="J655" s="36" t="str">
        <x:v>Development evidence</x:v>
      </x:c>
      <x:c r="K655" s="36" t="str">
        <x:v>SUPPORTING</x:v>
      </x:c>
      <x:c r="L655" s="36" t="str">
        <x:v>qa, sprint</x:v>
      </x:c>
      <x:c r="M655" s="36" t="str">
        <x:v>Retain read-only; current authority remains 00–34.</x:v>
      </x:c>
      <x:c r="N655" s="36" t="str">
        <x:v>33 risk/continuity context</x:v>
      </x:c>
      <x:c r="O655" s="36" t="str">
        <x:v>10_Development_Records/Sprint_13/QA/S13_QA_Execution_Record.md</x:v>
      </x:c>
    </x:row>
    <x:row r="656">
      <x:c r="A656" s="27" t="str">
        <x:v>HIST-0652</x:v>
      </x:c>
      <x:c r="B656" s="27" t="str">
        <x:v>10_Development_Records</x:v>
      </x:c>
      <x:c r="C656" s="27" t="str"/>
      <x:c r="D656" s="27" t="str">
        <x:v>Sprint 13</x:v>
      </x:c>
      <x:c r="E656" s="36" t="str">
        <x:v>S13_Test_Plan.md</x:v>
      </x:c>
      <x:c r="F656" s="36" t="str">
        <x:v>MD</x:v>
      </x:c>
      <x:c r="G656" s="54" t="n">
        <x:v>432</x:v>
      </x:c>
      <x:c r="H656" s="36" t="str">
        <x:v>ae9f583cfca7e51d7ba01a00dc335de7a5dd31b86e1532321b6a1888d30ada25</x:v>
      </x:c>
      <x:c r="I656" s="36" t="n">
        <x:v>1</x:v>
      </x:c>
      <x:c r="J656" s="36" t="str">
        <x:v>Development evidence</x:v>
      </x:c>
      <x:c r="K656" s="36" t="str">
        <x:v>SUPPORTING</x:v>
      </x:c>
      <x:c r="L656" s="36" t="str">
        <x:v>build, qa, sprint, test</x:v>
      </x:c>
      <x:c r="M656" s="36" t="str">
        <x:v>Retain read-only; current authority remains 00–34.</x:v>
      </x:c>
      <x:c r="N656" s="36" t="str">
        <x:v>33 risk/continuity context</x:v>
      </x:c>
      <x:c r="O656" s="36" t="str">
        <x:v>10_Development_Records/Sprint_13/QA/S13_Test_Plan.md</x:v>
      </x:c>
    </x:row>
    <x:row r="657">
      <x:c r="A657" s="27" t="str">
        <x:v>HIST-0653</x:v>
      </x:c>
      <x:c r="B657" s="27" t="str">
        <x:v>10_Development_Records</x:v>
      </x:c>
      <x:c r="C657" s="27" t="str"/>
      <x:c r="D657" s="27" t="str">
        <x:v>Sprint 13</x:v>
      </x:c>
      <x:c r="E657" s="36" t="str">
        <x:v>S13_Validation_Checklist.md</x:v>
      </x:c>
      <x:c r="F657" s="36" t="str">
        <x:v>MD</x:v>
      </x:c>
      <x:c r="G657" s="54" t="n">
        <x:v>525</x:v>
      </x:c>
      <x:c r="H657" s="36" t="str">
        <x:v>f758216e28d991ede9e414acc767c6a118c4c3e5960de13d4f8f7a42e35bcbc1</x:v>
      </x:c>
      <x:c r="I657" s="36" t="n">
        <x:v>1</x:v>
      </x:c>
      <x:c r="J657" s="36" t="str">
        <x:v>Development evidence</x:v>
      </x:c>
      <x:c r="K657" s="36" t="str">
        <x:v>SUPPORTING</x:v>
      </x:c>
      <x:c r="L657" s="36" t="str">
        <x:v>build, qa, sprint, validation</x:v>
      </x:c>
      <x:c r="M657" s="36" t="str">
        <x:v>Retain read-only; current authority remains 00–34.</x:v>
      </x:c>
      <x:c r="N657" s="36" t="str">
        <x:v>33 risk/continuity context</x:v>
      </x:c>
      <x:c r="O657" s="36" t="str">
        <x:v>10_Development_Records/Sprint_13/QA/S13_Validation_Checklist.md</x:v>
      </x:c>
    </x:row>
    <x:row r="658">
      <x:c r="A658" s="27" t="str">
        <x:v>HIST-0654</x:v>
      </x:c>
      <x:c r="B658" s="27" t="str">
        <x:v>10_Development_Records</x:v>
      </x:c>
      <x:c r="C658" s="27" t="str"/>
      <x:c r="D658" s="27" t="str">
        <x:v>Sprint 13</x:v>
      </x:c>
      <x:c r="E658" s="36" t="str">
        <x:v>Sprint_13_Closure_Report.md</x:v>
      </x:c>
      <x:c r="F658" s="36" t="str">
        <x:v>MD</x:v>
      </x:c>
      <x:c r="G658" s="54" t="n">
        <x:v>3546</x:v>
      </x:c>
      <x:c r="H658" s="36" t="str">
        <x:v>a8c1ad0958a4fc002aa2f13f47a7cfcf5b00d5a0f050a078fa78e96a9027d8fa</x:v>
      </x:c>
      <x:c r="I658" s="36" t="n">
        <x:v>1</x:v>
      </x:c>
      <x:c r="J658" s="36" t="str">
        <x:v>Development evidence</x:v>
      </x:c>
      <x:c r="K658" s="36" t="str">
        <x:v>DIRECT</x:v>
      </x:c>
      <x:c r="L658" s="36" t="str">
        <x:v>build, closure, recovery, save, sprint, test</x:v>
      </x:c>
      <x:c r="M658" s="36" t="str">
        <x:v>Retain read-only; current authority remains 00–34.</x:v>
      </x:c>
      <x:c r="N658" s="36" t="str">
        <x:v>33 risk/continuity context</x:v>
      </x:c>
      <x:c r="O658" s="36" t="str">
        <x:v>10_Development_Records/Sprint_13/Sprint_13_Closure_Report.md</x:v>
      </x:c>
    </x:row>
    <x:row r="659">
      <x:c r="A659" s="27" t="str">
        <x:v>HIST-0655</x:v>
      </x:c>
      <x:c r="B659" s="27" t="str">
        <x:v>10_Development_Records</x:v>
      </x:c>
      <x:c r="C659" s="27" t="str"/>
      <x:c r="D659" s="27" t="str">
        <x:v>Sprint 13</x:v>
      </x:c>
      <x:c r="E659" s="36" t="str">
        <x:v>S13_Document_Impact_Working_Matrix.md</x:v>
      </x:c>
      <x:c r="F659" s="36" t="str">
        <x:v>MD</x:v>
      </x:c>
      <x:c r="G659" s="54" t="n">
        <x:v>437</x:v>
      </x:c>
      <x:c r="H659" s="36" t="str">
        <x:v>645cf1e05f326d91aaff4a24f80de33ac438c23310dc4ac18c19f7b9ddefbdc1</x:v>
      </x:c>
      <x:c r="I659" s="36" t="n">
        <x:v>1</x:v>
      </x:c>
      <x:c r="J659" s="36" t="str">
        <x:v>Development evidence</x:v>
      </x:c>
      <x:c r="K659" s="36" t="str">
        <x:v>DIRECT</x:v>
      </x:c>
      <x:c r="L659" s="36" t="str">
        <x:v>build, handoff, qa, roadmap, sprint, test</x:v>
      </x:c>
      <x:c r="M659" s="36" t="str">
        <x:v>Retain read-only; current authority remains 00–34.</x:v>
      </x:c>
      <x:c r="N659" s="36" t="str">
        <x:v>33 risk/continuity context</x:v>
      </x:c>
      <x:c r="O659" s="36" t="str">
        <x:v>10_Development_Records/Sprint_13/Traceability/S13_Document_Impact_Working_Matrix.md</x:v>
      </x:c>
    </x:row>
    <x:row r="660">
      <x:c r="A660" s="27" t="str">
        <x:v>HIST-0656</x:v>
      </x:c>
      <x:c r="B660" s="27" t="str">
        <x:v>10_Development_Records</x:v>
      </x:c>
      <x:c r="C660" s="27" t="str"/>
      <x:c r="D660" s="27" t="str">
        <x:v>Sprint 13</x:v>
      </x:c>
      <x:c r="E660" s="36" t="str">
        <x:v>S13_Traceability_Entries.csv</x:v>
      </x:c>
      <x:c r="F660" s="36" t="str">
        <x:v>CSV</x:v>
      </x:c>
      <x:c r="G660" s="54" t="n">
        <x:v>577</x:v>
      </x:c>
      <x:c r="H660" s="36" t="str">
        <x:v>f26bf899a5f22deb03f5db3be7e4395cb4cab3031addb14adc24c748195b7118</x:v>
      </x:c>
      <x:c r="I660" s="36" t="n">
        <x:v>1</x:v>
      </x:c>
      <x:c r="J660" s="36" t="str">
        <x:v>Development evidence</x:v>
      </x:c>
      <x:c r="K660" s="36" t="str">
        <x:v>DIRECT</x:v>
      </x:c>
      <x:c r="L660" s="36" t="str">
        <x:v>build, handoff, qa, sprint, test</x:v>
      </x:c>
      <x:c r="M660" s="36" t="str">
        <x:v>Retain read-only; current authority remains 00–34.</x:v>
      </x:c>
      <x:c r="N660" s="36" t="str">
        <x:v>33 risk/continuity context</x:v>
      </x:c>
      <x:c r="O660" s="36" t="str">
        <x:v>10_Development_Records/Sprint_13/Traceability/S13_Traceability_Entries.csv</x:v>
      </x:c>
    </x:row>
    <x:row r="661">
      <x:c r="A661" s="27" t="str">
        <x:v>HIST-0657</x:v>
      </x:c>
      <x:c r="B661" s="27" t="str">
        <x:v>10_Development_Records</x:v>
      </x:c>
      <x:c r="C661" s="27" t="str"/>
      <x:c r="D661" s="27" t="str">
        <x:v>Sprint 14</x:v>
      </x:c>
      <x:c r="E661" s="36" t="str">
        <x:v>ADR-0056-CompatibleIntegratedSaveV2.md</x:v>
      </x:c>
      <x:c r="F661" s="36" t="str">
        <x:v>MD</x:v>
      </x:c>
      <x:c r="G661" s="54" t="n">
        <x:v>198</x:v>
      </x:c>
      <x:c r="H661" s="36" t="str">
        <x:v>5cc539efb691df4398f23002613d08079fa8869bde84816f89a91be781ffcf6a</x:v>
      </x:c>
      <x:c r="I661" s="36" t="n">
        <x:v>1</x:v>
      </x:c>
      <x:c r="J661" s="36" t="str">
        <x:v>Development evidence</x:v>
      </x:c>
      <x:c r="K661" s="36" t="str">
        <x:v>SUPPORTING</x:v>
      </x:c>
      <x:c r="L661" s="36" t="str">
        <x:v>adr, save, sprint</x:v>
      </x:c>
      <x:c r="M661" s="36" t="str">
        <x:v>Retain read-only; current authority remains 00–34.</x:v>
      </x:c>
      <x:c r="N661" s="36" t="str">
        <x:v>33 risk/continuity context</x:v>
      </x:c>
      <x:c r="O661" s="36" t="str">
        <x:v>10_Development_Records/Sprint_14/Architecture/ADR-0056-CompatibleIntegratedSaveV2.md</x:v>
      </x:c>
    </x:row>
    <x:row r="662">
      <x:c r="A662" s="27" t="str">
        <x:v>HIST-0658</x:v>
      </x:c>
      <x:c r="B662" s="27" t="str">
        <x:v>10_Development_Records</x:v>
      </x:c>
      <x:c r="C662" s="27" t="str"/>
      <x:c r="D662" s="27" t="str">
        <x:v>Sprint 14</x:v>
      </x:c>
      <x:c r="E662" s="36" t="str">
        <x:v>ADR-0057-ValidatedAtomicWrite.md</x:v>
      </x:c>
      <x:c r="F662" s="36" t="str">
        <x:v>MD</x:v>
      </x:c>
      <x:c r="G662" s="54" t="n">
        <x:v>215</x:v>
      </x:c>
      <x:c r="H662" s="36" t="str">
        <x:v>919cf393c0449300f85947190ba50828706c34ebfbc0a93d9aa31a1d9e021301</x:v>
      </x:c>
      <x:c r="I662" s="36" t="n">
        <x:v>1</x:v>
      </x:c>
      <x:c r="J662" s="36" t="str">
        <x:v>Development evidence</x:v>
      </x:c>
      <x:c r="K662" s="36" t="str">
        <x:v>SUPPORTING</x:v>
      </x:c>
      <x:c r="L662" s="36" t="str">
        <x:v>adr, sprint</x:v>
      </x:c>
      <x:c r="M662" s="36" t="str">
        <x:v>Retain read-only; current authority remains 00–34.</x:v>
      </x:c>
      <x:c r="N662" s="36" t="str">
        <x:v>33 risk/continuity context</x:v>
      </x:c>
      <x:c r="O662" s="36" t="str">
        <x:v>10_Development_Records/Sprint_14/Architecture/ADR-0057-ValidatedAtomicWrite.md</x:v>
      </x:c>
    </x:row>
    <x:row r="663">
      <x:c r="A663" s="27" t="str">
        <x:v>HIST-0659</x:v>
      </x:c>
      <x:c r="B663" s="27" t="str">
        <x:v>10_Development_Records</x:v>
      </x:c>
      <x:c r="C663" s="27" t="str"/>
      <x:c r="D663" s="27" t="str">
        <x:v>Sprint 14</x:v>
      </x:c>
      <x:c r="E663" s="36" t="str">
        <x:v>ADR-0058-ChecksumAndGenerationEnvelope.md</x:v>
      </x:c>
      <x:c r="F663" s="36" t="str">
        <x:v>MD</x:v>
      </x:c>
      <x:c r="G663" s="54" t="n">
        <x:v>192</x:v>
      </x:c>
      <x:c r="H663" s="36" t="str">
        <x:v>ee9dd8479ba19464211e32510dcb7cd3f4f4a199cc9506ac28cf7cefc3cffd0b</x:v>
      </x:c>
      <x:c r="I663" s="36" t="n">
        <x:v>1</x:v>
      </x:c>
      <x:c r="J663" s="36" t="str">
        <x:v>Development evidence</x:v>
      </x:c>
      <x:c r="K663" s="36" t="str">
        <x:v>SUPPORTING</x:v>
      </x:c>
      <x:c r="L663" s="36" t="str">
        <x:v>adr, checksum, sprint</x:v>
      </x:c>
      <x:c r="M663" s="36" t="str">
        <x:v>Retain read-only; current authority remains 00–34.</x:v>
      </x:c>
      <x:c r="N663" s="36" t="str">
        <x:v>33 risk/continuity context</x:v>
      </x:c>
      <x:c r="O663" s="36" t="str">
        <x:v>10_Development_Records/Sprint_14/Architecture/ADR-0058-ChecksumAndGenerationEnvelope.md</x:v>
      </x:c>
    </x:row>
    <x:row r="664">
      <x:c r="A664" s="27" t="str">
        <x:v>HIST-0660</x:v>
      </x:c>
      <x:c r="B664" s="27" t="str">
        <x:v>10_Development_Records</x:v>
      </x:c>
      <x:c r="C664" s="27" t="str"/>
      <x:c r="D664" s="27" t="str">
        <x:v>Sprint 14</x:v>
      </x:c>
      <x:c r="E664" s="36" t="str">
        <x:v>ADR-0059-BackupFirstRecovery.md</x:v>
      </x:c>
      <x:c r="F664" s="36" t="str">
        <x:v>MD</x:v>
      </x:c>
      <x:c r="G664" s="54" t="n">
        <x:v>209</x:v>
      </x:c>
      <x:c r="H664" s="36" t="str">
        <x:v>22af6a1df416b4c7fb8389f08ec428c61289bbb5984d958e0576aa2478ad03d4</x:v>
      </x:c>
      <x:c r="I664" s="36" t="n">
        <x:v>1</x:v>
      </x:c>
      <x:c r="J664" s="36" t="str">
        <x:v>Development evidence</x:v>
      </x:c>
      <x:c r="K664" s="36" t="str">
        <x:v>SUPPORTING</x:v>
      </x:c>
      <x:c r="L664" s="36" t="str">
        <x:v>adr, backup, recovery, sprint</x:v>
      </x:c>
      <x:c r="M664" s="36" t="str">
        <x:v>Retain read-only; current authority remains 00–34.</x:v>
      </x:c>
      <x:c r="N664" s="36" t="str">
        <x:v>33 risk/continuity context</x:v>
      </x:c>
      <x:c r="O664" s="36" t="str">
        <x:v>10_Development_Records/Sprint_14/Architecture/ADR-0059-BackupFirstRecovery.md</x:v>
      </x:c>
    </x:row>
    <x:row r="665">
      <x:c r="A665" s="27" t="str">
        <x:v>HIST-0661</x:v>
      </x:c>
      <x:c r="B665" s="27" t="str">
        <x:v>10_Development_Records</x:v>
      </x:c>
      <x:c r="C665" s="27" t="str"/>
      <x:c r="D665" s="27" t="str">
        <x:v>Sprint 14</x:v>
      </x:c>
      <x:c r="E665" s="36" t="str">
        <x:v>ADR-0060-TwoPhaseRestore.md</x:v>
      </x:c>
      <x:c r="F665" s="36" t="str">
        <x:v>MD</x:v>
      </x:c>
      <x:c r="G665" s="54" t="n">
        <x:v>189</x:v>
      </x:c>
      <x:c r="H665" s="36" t="str">
        <x:v>4c701c8c4cfcadabb5a9002e0599765339d6028694431b79bb8a372f6a857345</x:v>
      </x:c>
      <x:c r="I665" s="36" t="n">
        <x:v>1</x:v>
      </x:c>
      <x:c r="J665" s="36" t="str">
        <x:v>Development evidence</x:v>
      </x:c>
      <x:c r="K665" s="36" t="str">
        <x:v>SUPPORTING</x:v>
      </x:c>
      <x:c r="L665" s="36" t="str">
        <x:v>adr, restore, sprint</x:v>
      </x:c>
      <x:c r="M665" s="36" t="str">
        <x:v>Retain read-only; current authority remains 00–34.</x:v>
      </x:c>
      <x:c r="N665" s="36" t="str">
        <x:v>33 risk/continuity context</x:v>
      </x:c>
      <x:c r="O665" s="36" t="str">
        <x:v>10_Development_Records/Sprint_14/Architecture/ADR-0060-TwoPhaseRestore.md</x:v>
      </x:c>
    </x:row>
    <x:row r="666">
      <x:c r="A666" s="27" t="str">
        <x:v>HIST-0662</x:v>
      </x:c>
      <x:c r="B666" s="27" t="str">
        <x:v>10_Development_Records</x:v>
      </x:c>
      <x:c r="C666" s="27" t="str"/>
      <x:c r="D666" s="27" t="str">
        <x:v>Sprint 14</x:v>
      </x:c>
      <x:c r="E666" s="36" t="str">
        <x:v>S14_PostImplementation_Record.md</x:v>
      </x:c>
      <x:c r="F666" s="36" t="str">
        <x:v>MD</x:v>
      </x:c>
      <x:c r="G666" s="54" t="n">
        <x:v>559</x:v>
      </x:c>
      <x:c r="H666" s="36" t="str">
        <x:v>301104a8d7d45f8a80047b4e7d6f7f7fc5f633418341784bd08c744e41603066</x:v>
      </x:c>
      <x:c r="I666" s="36" t="n">
        <x:v>1</x:v>
      </x:c>
      <x:c r="J666" s="36" t="str">
        <x:v>Development evidence</x:v>
      </x:c>
      <x:c r="K666" s="36" t="str">
        <x:v>SUPPORTING</x:v>
      </x:c>
      <x:c r="L666" s="36" t="str">
        <x:v>build, recovery, sprint, test</x:v>
      </x:c>
      <x:c r="M666" s="36" t="str">
        <x:v>Retain read-only; current authority remains 00–34.</x:v>
      </x:c>
      <x:c r="N666" s="36" t="str">
        <x:v>33 risk/continuity context</x:v>
      </x:c>
      <x:c r="O666" s="36" t="str">
        <x:v>10_Development_Records/Sprint_14/Documentation/S14_PostImplementation_Record.md</x:v>
      </x:c>
    </x:row>
    <x:row r="667">
      <x:c r="A667" s="27" t="str">
        <x:v>HIST-0663</x:v>
      </x:c>
      <x:c r="B667" s="27" t="str">
        <x:v>10_Development_Records</x:v>
      </x:c>
      <x:c r="C667" s="27" t="str"/>
      <x:c r="D667" s="27" t="str">
        <x:v>Sprint 14</x:v>
      </x:c>
      <x:c r="E667" s="36" t="str">
        <x:v>S14_PreImplementation_Record.md</x:v>
      </x:c>
      <x:c r="F667" s="36" t="str">
        <x:v>MD</x:v>
      </x:c>
      <x:c r="G667" s="54" t="n">
        <x:v>304</x:v>
      </x:c>
      <x:c r="H667" s="36" t="str">
        <x:v>98f60c6d6d92e543fe104ed1b3179e4a99b1dd3e4358508e47bffa4312eb3cc9</x:v>
      </x:c>
      <x:c r="I667" s="36" t="n">
        <x:v>1</x:v>
      </x:c>
      <x:c r="J667" s="36" t="str">
        <x:v>Development evidence</x:v>
      </x:c>
      <x:c r="K667" s="36" t="str">
        <x:v>SUPPORTING</x:v>
      </x:c>
      <x:c r="L667" s="36" t="str">
        <x:v>backup, save, sprint</x:v>
      </x:c>
      <x:c r="M667" s="36" t="str">
        <x:v>Retain read-only; current authority remains 00–34.</x:v>
      </x:c>
      <x:c r="N667" s="36" t="str">
        <x:v>33 risk/continuity context</x:v>
      </x:c>
      <x:c r="O667" s="36" t="str">
        <x:v>10_Development_Records/Sprint_14/Documentation/S14_PreImplementation_Record.md</x:v>
      </x:c>
    </x:row>
    <x:row r="668">
      <x:c r="A668" s="27" t="str">
        <x:v>HIST-0664</x:v>
      </x:c>
      <x:c r="B668" s="27" t="str">
        <x:v>10_Development_Records</x:v>
      </x:c>
      <x:c r="C668" s="27" t="str"/>
      <x:c r="D668" s="27" t="str">
        <x:v>Sprint 14</x:v>
      </x:c>
      <x:c r="E668" s="36" t="str">
        <x:v>S14_Handoff_Update_Template.md</x:v>
      </x:c>
      <x:c r="F668" s="36" t="str">
        <x:v>MD</x:v>
      </x:c>
      <x:c r="G668" s="54" t="n">
        <x:v>437</x:v>
      </x:c>
      <x:c r="H668" s="36" t="str">
        <x:v>70ac9acc5473a29f44723f4e1499f027f5adbc772ae45635ebdb035f2374bd4f</x:v>
      </x:c>
      <x:c r="I668" s="36" t="n">
        <x:v>1</x:v>
      </x:c>
      <x:c r="J668" s="36" t="str">
        <x:v>Development evidence</x:v>
      </x:c>
      <x:c r="K668" s="36" t="str">
        <x:v>DIRECT</x:v>
      </x:c>
      <x:c r="L668" s="36" t="str">
        <x:v>handoff, recovery, roadmap, save, sprint</x:v>
      </x:c>
      <x:c r="M668" s="36" t="str">
        <x:v>Retain read-only; current authority remains 00–34.</x:v>
      </x:c>
      <x:c r="N668" s="36" t="str">
        <x:v>33 risk/continuity context</x:v>
      </x:c>
      <x:c r="O668" s="36" t="str">
        <x:v>10_Development_Records/Sprint_14/Governance/S14_Handoff_Update_Template.md</x:v>
      </x:c>
    </x:row>
    <x:row r="669">
      <x:c r="A669" s="27" t="str">
        <x:v>HIST-0665</x:v>
      </x:c>
      <x:c r="B669" s="27" t="str">
        <x:v>10_Development_Records</x:v>
      </x:c>
      <x:c r="C669" s="27" t="str"/>
      <x:c r="D669" s="27" t="str">
        <x:v>Sprint 14</x:v>
      </x:c>
      <x:c r="E669" s="36" t="str">
        <x:v>Sprint_14_Charter.md</x:v>
      </x:c>
      <x:c r="F669" s="36" t="str">
        <x:v>MD</x:v>
      </x:c>
      <x:c r="G669" s="54" t="n">
        <x:v>690</x:v>
      </x:c>
      <x:c r="H669" s="36" t="str">
        <x:v>5bdd8272a4f2a0c598ed7d178620b9360dec1d2c2a0c5369ee55216dddbc1ab1</x:v>
      </x:c>
      <x:c r="I669" s="36" t="n">
        <x:v>1</x:v>
      </x:c>
      <x:c r="J669" s="36" t="str">
        <x:v>Development evidence</x:v>
      </x:c>
      <x:c r="K669" s="36" t="str">
        <x:v>SUPPORTING</x:v>
      </x:c>
      <x:c r="L669" s="36" t="str">
        <x:v>build, recovery, save, sprint</x:v>
      </x:c>
      <x:c r="M669" s="36" t="str">
        <x:v>Retain read-only; current authority remains 00–34.</x:v>
      </x:c>
      <x:c r="N669" s="36" t="str">
        <x:v>33 risk/continuity context</x:v>
      </x:c>
      <x:c r="O669" s="36" t="str">
        <x:v>10_Development_Records/Sprint_14/Governance/Sprint_14_Charter.md</x:v>
      </x:c>
    </x:row>
    <x:row r="670">
      <x:c r="A670" s="27" t="str">
        <x:v>HIST-0666</x:v>
      </x:c>
      <x:c r="B670" s="27" t="str">
        <x:v>10_Development_Records</x:v>
      </x:c>
      <x:c r="C670" s="27" t="str"/>
      <x:c r="D670" s="27" t="str">
        <x:v>Sprint 14</x:v>
      </x:c>
      <x:c r="E670" s="36" t="str">
        <x:v>Sprint_14_Current_Status.md</x:v>
      </x:c>
      <x:c r="F670" s="36" t="str">
        <x:v>MD</x:v>
      </x:c>
      <x:c r="G670" s="54" t="n">
        <x:v>655</x:v>
      </x:c>
      <x:c r="H670" s="36" t="str">
        <x:v>1635e3b630c1b7596d2d2c3dbcc68a574ec1e0de2494ddb1c1a0d2c286040bdd</x:v>
      </x:c>
      <x:c r="I670" s="36" t="n">
        <x:v>1</x:v>
      </x:c>
      <x:c r="J670" s="36" t="str">
        <x:v>Development evidence</x:v>
      </x:c>
      <x:c r="K670" s="36" t="str">
        <x:v>DIRECT</x:v>
      </x:c>
      <x:c r="L670" s="36" t="str">
        <x:v>build, current_status, recovery, roadmap, save, sprint</x:v>
      </x:c>
      <x:c r="M670" s="36" t="str">
        <x:v>Retain read-only; current authority remains 00–34.</x:v>
      </x:c>
      <x:c r="N670" s="36" t="str">
        <x:v>33 risk/continuity context</x:v>
      </x:c>
      <x:c r="O670" s="36" t="str">
        <x:v>10_Development_Records/Sprint_14/Governance/Sprint_14_Current_Status.md</x:v>
      </x:c>
    </x:row>
    <x:row r="671">
      <x:c r="A671" s="27" t="str">
        <x:v>HIST-0667</x:v>
      </x:c>
      <x:c r="B671" s="27" t="str">
        <x:v>10_Development_Records</x:v>
      </x:c>
      <x:c r="C671" s="27" t="str"/>
      <x:c r="D671" s="27" t="str">
        <x:v>Sprint 14</x:v>
      </x:c>
      <x:c r="E671" s="36" t="str">
        <x:v>S14_Acceptance_Matrix.md</x:v>
      </x:c>
      <x:c r="F671" s="36" t="str">
        <x:v>MD</x:v>
      </x:c>
      <x:c r="G671" s="54" t="n">
        <x:v>761</x:v>
      </x:c>
      <x:c r="H671" s="36" t="str">
        <x:v>6abc7f9f6b1f199f797ede8e4610be0819c89c52ba763b09489f76e5b6d2b3e9</x:v>
      </x:c>
      <x:c r="I671" s="36" t="n">
        <x:v>1</x:v>
      </x:c>
      <x:c r="J671" s="36" t="str">
        <x:v>Development evidence</x:v>
      </x:c>
      <x:c r="K671" s="36" t="str">
        <x:v>DIRECT</x:v>
      </x:c>
      <x:c r="L671" s="36" t="str">
        <x:v>acceptance, backup, build, checksum, qa, recovery, sprint, test</x:v>
      </x:c>
      <x:c r="M671" s="36" t="str">
        <x:v>Retain read-only; current authority remains 00–34.</x:v>
      </x:c>
      <x:c r="N671" s="36" t="str">
        <x:v>33 risk/continuity context</x:v>
      </x:c>
      <x:c r="O671" s="36" t="str">
        <x:v>10_Development_Records/Sprint_14/QA/S14_Acceptance_Matrix.md</x:v>
      </x:c>
    </x:row>
    <x:row r="672">
      <x:c r="A672" s="27" t="str">
        <x:v>HIST-0668</x:v>
      </x:c>
      <x:c r="B672" s="27" t="str">
        <x:v>10_Development_Records</x:v>
      </x:c>
      <x:c r="C672" s="27" t="str"/>
      <x:c r="D672" s="27" t="str">
        <x:v>Sprint 14</x:v>
      </x:c>
      <x:c r="E672" s="36" t="str">
        <x:v>S14_Build_Execution_Record.md</x:v>
      </x:c>
      <x:c r="F672" s="36" t="str">
        <x:v>MD</x:v>
      </x:c>
      <x:c r="G672" s="54" t="n">
        <x:v>490</x:v>
      </x:c>
      <x:c r="H672" s="36" t="str">
        <x:v>758b82a0301e5f3de699b76365cf74c577377bcb6d88333c4b65a26e6065af33</x:v>
      </x:c>
      <x:c r="I672" s="36" t="n">
        <x:v>1</x:v>
      </x:c>
      <x:c r="J672" s="36" t="str">
        <x:v>Development evidence</x:v>
      </x:c>
      <x:c r="K672" s="36" t="str">
        <x:v>DIRECT</x:v>
      </x:c>
      <x:c r="L672" s="36" t="str">
        <x:v>build, qa, recovery, save, sprint</x:v>
      </x:c>
      <x:c r="M672" s="36" t="str">
        <x:v>Retain read-only; current authority remains 00–34.</x:v>
      </x:c>
      <x:c r="N672" s="36" t="str">
        <x:v>33 risk/continuity context</x:v>
      </x:c>
      <x:c r="O672" s="36" t="str">
        <x:v>10_Development_Records/Sprint_14/QA/S14_Build_Execution_Record.md</x:v>
      </x:c>
    </x:row>
    <x:row r="673">
      <x:c r="A673" s="27" t="str">
        <x:v>HIST-0669</x:v>
      </x:c>
      <x:c r="B673" s="27" t="str">
        <x:v>10_Development_Records</x:v>
      </x:c>
      <x:c r="C673" s="27" t="str"/>
      <x:c r="D673" s="27" t="str">
        <x:v>Sprint 14</x:v>
      </x:c>
      <x:c r="E673" s="36" t="str">
        <x:v>S14_Manual_Validation_Record.md</x:v>
      </x:c>
      <x:c r="F673" s="36" t="str">
        <x:v>MD</x:v>
      </x:c>
      <x:c r="G673" s="54" t="n">
        <x:v>791</x:v>
      </x:c>
      <x:c r="H673" s="36" t="str">
        <x:v>142883a842fadfab456fd787b586363340a31cc0e90dbb33955858e3bc95e0ca</x:v>
      </x:c>
      <x:c r="I673" s="36" t="n">
        <x:v>1</x:v>
      </x:c>
      <x:c r="J673" s="36" t="str">
        <x:v>Development evidence</x:v>
      </x:c>
      <x:c r="K673" s="36" t="str">
        <x:v>DIRECT</x:v>
      </x:c>
      <x:c r="L673" s="36" t="str">
        <x:v>backup, qa, recovery, restore, sprint, validation</x:v>
      </x:c>
      <x:c r="M673" s="36" t="str">
        <x:v>Retain read-only; current authority remains 00–34.</x:v>
      </x:c>
      <x:c r="N673" s="36" t="str">
        <x:v>33 risk/continuity context</x:v>
      </x:c>
      <x:c r="O673" s="36" t="str">
        <x:v>10_Development_Records/Sprint_14/QA/S14_Manual_Validation_Record.md</x:v>
      </x:c>
    </x:row>
    <x:row r="674">
      <x:c r="A674" s="27" t="str">
        <x:v>HIST-0670</x:v>
      </x:c>
      <x:c r="B674" s="27" t="str">
        <x:v>10_Development_Records</x:v>
      </x:c>
      <x:c r="C674" s="27" t="str"/>
      <x:c r="D674" s="27" t="str">
        <x:v>Sprint 14</x:v>
      </x:c>
      <x:c r="E674" s="36" t="str">
        <x:v>S14_QA_Execution_Record.md</x:v>
      </x:c>
      <x:c r="F674" s="36" t="str">
        <x:v>MD</x:v>
      </x:c>
      <x:c r="G674" s="54" t="n">
        <x:v>407</x:v>
      </x:c>
      <x:c r="H674" s="36" t="str">
        <x:v>61083207815690667077272760527c8529f70916831a1bd7d75cc58125663a7f</x:v>
      </x:c>
      <x:c r="I674" s="36" t="n">
        <x:v>1</x:v>
      </x:c>
      <x:c r="J674" s="36" t="str">
        <x:v>Development evidence</x:v>
      </x:c>
      <x:c r="K674" s="36" t="str">
        <x:v>SUPPORTING</x:v>
      </x:c>
      <x:c r="L674" s="36" t="str">
        <x:v>qa, sprint</x:v>
      </x:c>
      <x:c r="M674" s="36" t="str">
        <x:v>Retain read-only; current authority remains 00–34.</x:v>
      </x:c>
      <x:c r="N674" s="36" t="str">
        <x:v>33 risk/continuity context</x:v>
      </x:c>
      <x:c r="O674" s="36" t="str">
        <x:v>10_Development_Records/Sprint_14/QA/S14_QA_Execution_Record.md</x:v>
      </x:c>
    </x:row>
    <x:row r="675">
      <x:c r="A675" s="27" t="str">
        <x:v>HIST-0671</x:v>
      </x:c>
      <x:c r="B675" s="27" t="str">
        <x:v>10_Development_Records</x:v>
      </x:c>
      <x:c r="C675" s="27" t="str"/>
      <x:c r="D675" s="27" t="str">
        <x:v>Sprint 14</x:v>
      </x:c>
      <x:c r="E675" s="36" t="str">
        <x:v>S14_Test_Plan.md</x:v>
      </x:c>
      <x:c r="F675" s="36" t="str">
        <x:v>MD</x:v>
      </x:c>
      <x:c r="G675" s="54" t="n">
        <x:v>474</x:v>
      </x:c>
      <x:c r="H675" s="36" t="str">
        <x:v>a11b98e2c724cf7fba9b59a75906073d352a8365df289169934ee798329c63bb</x:v>
      </x:c>
      <x:c r="I675" s="36" t="n">
        <x:v>1</x:v>
      </x:c>
      <x:c r="J675" s="36" t="str">
        <x:v>Development evidence</x:v>
      </x:c>
      <x:c r="K675" s="36" t="str">
        <x:v>DIRECT</x:v>
      </x:c>
      <x:c r="L675" s="36" t="str">
        <x:v>backup, build, checksum, qa, sprint, test</x:v>
      </x:c>
      <x:c r="M675" s="36" t="str">
        <x:v>Retain read-only; current authority remains 00–34.</x:v>
      </x:c>
      <x:c r="N675" s="36" t="str">
        <x:v>33 risk/continuity context</x:v>
      </x:c>
      <x:c r="O675" s="36" t="str">
        <x:v>10_Development_Records/Sprint_14/QA/S14_Test_Plan.md</x:v>
      </x:c>
    </x:row>
    <x:row r="676">
      <x:c r="A676" s="27" t="str">
        <x:v>HIST-0672</x:v>
      </x:c>
      <x:c r="B676" s="27" t="str">
        <x:v>10_Development_Records</x:v>
      </x:c>
      <x:c r="C676" s="27" t="str"/>
      <x:c r="D676" s="27" t="str">
        <x:v>Sprint 14</x:v>
      </x:c>
      <x:c r="E676" s="36" t="str">
        <x:v>S14_Validation_Checklist.md</x:v>
      </x:c>
      <x:c r="F676" s="36" t="str">
        <x:v>MD</x:v>
      </x:c>
      <x:c r="G676" s="54" t="n">
        <x:v>626</x:v>
      </x:c>
      <x:c r="H676" s="36" t="str">
        <x:v>d309169ea50987bc6ecf0e9aa8739c80e72f34154e8e9f29ed5916b30ed63d9f</x:v>
      </x:c>
      <x:c r="I676" s="36" t="n">
        <x:v>1</x:v>
      </x:c>
      <x:c r="J676" s="36" t="str">
        <x:v>Development evidence</x:v>
      </x:c>
      <x:c r="K676" s="36" t="str">
        <x:v>DIRECT</x:v>
      </x:c>
      <x:c r="L676" s="36" t="str">
        <x:v>backup, build, qa, recovery, sprint, validation</x:v>
      </x:c>
      <x:c r="M676" s="36" t="str">
        <x:v>Retain read-only; current authority remains 00–34.</x:v>
      </x:c>
      <x:c r="N676" s="36" t="str">
        <x:v>33 risk/continuity context</x:v>
      </x:c>
      <x:c r="O676" s="36" t="str">
        <x:v>10_Development_Records/Sprint_14/QA/S14_Validation_Checklist.md</x:v>
      </x:c>
    </x:row>
    <x:row r="677">
      <x:c r="A677" s="27" t="str">
        <x:v>HIST-0673</x:v>
      </x:c>
      <x:c r="B677" s="27" t="str">
        <x:v>10_Development_Records</x:v>
      </x:c>
      <x:c r="C677" s="27" t="str"/>
      <x:c r="D677" s="27" t="str">
        <x:v>Sprint 14</x:v>
      </x:c>
      <x:c r="E677" s="36" t="str">
        <x:v>Sprint_14_Closure_Report.md</x:v>
      </x:c>
      <x:c r="F677" s="36" t="str">
        <x:v>MD</x:v>
      </x:c>
      <x:c r="G677" s="54" t="n">
        <x:v>3274</x:v>
      </x:c>
      <x:c r="H677" s="36" t="str">
        <x:v>68527b99d210a091e21855b9d64de0cabcfa8d650ae9772fbd7e68f259875edd</x:v>
      </x:c>
      <x:c r="I677" s="36" t="n">
        <x:v>1</x:v>
      </x:c>
      <x:c r="J677" s="36" t="str">
        <x:v>Development evidence</x:v>
      </x:c>
      <x:c r="K677" s="36" t="str">
        <x:v>DIRECT</x:v>
      </x:c>
      <x:c r="L677" s="36" t="str">
        <x:v>backup, build, checksum, closure, recovery, restore, roadmap, save, sprint, test</x:v>
      </x:c>
      <x:c r="M677" s="36" t="str">
        <x:v>Retain read-only; current authority remains 00–34.</x:v>
      </x:c>
      <x:c r="N677" s="36" t="str">
        <x:v>33 risk/continuity context</x:v>
      </x:c>
      <x:c r="O677" s="36" t="str">
        <x:v>10_Development_Records/Sprint_14/Sprint_14_Closure_Report.md</x:v>
      </x:c>
    </x:row>
    <x:row r="678">
      <x:c r="A678" s="27" t="str">
        <x:v>HIST-0674</x:v>
      </x:c>
      <x:c r="B678" s="27" t="str">
        <x:v>10_Development_Records</x:v>
      </x:c>
      <x:c r="C678" s="27" t="str"/>
      <x:c r="D678" s="27" t="str">
        <x:v>Sprint 14</x:v>
      </x:c>
      <x:c r="E678" s="36" t="str">
        <x:v>S14_Document_Impact_Working_Matrix.md</x:v>
      </x:c>
      <x:c r="F678" s="36" t="str">
        <x:v>MD</x:v>
      </x:c>
      <x:c r="G678" s="54" t="n">
        <x:v>498</x:v>
      </x:c>
      <x:c r="H678" s="36" t="str">
        <x:v>b73e55aef6569e9e777c65ceff6d8739f9c27482381b5794a201cb09c46ced72</x:v>
      </x:c>
      <x:c r="I678" s="36" t="n">
        <x:v>1</x:v>
      </x:c>
      <x:c r="J678" s="36" t="str">
        <x:v>Development evidence</x:v>
      </x:c>
      <x:c r="K678" s="36" t="str">
        <x:v>DIRECT</x:v>
      </x:c>
      <x:c r="L678" s="36" t="str">
        <x:v>build, handoff, qa, recovery, roadmap, save, sprint, test</x:v>
      </x:c>
      <x:c r="M678" s="36" t="str">
        <x:v>Retain read-only; current authority remains 00–34.</x:v>
      </x:c>
      <x:c r="N678" s="36" t="str">
        <x:v>33 risk/continuity context</x:v>
      </x:c>
      <x:c r="O678" s="36" t="str">
        <x:v>10_Development_Records/Sprint_14/Traceability/S14_Document_Impact_Working_Matrix.md</x:v>
      </x:c>
    </x:row>
    <x:row r="679">
      <x:c r="A679" s="27" t="str">
        <x:v>HIST-0675</x:v>
      </x:c>
      <x:c r="B679" s="27" t="str">
        <x:v>10_Development_Records</x:v>
      </x:c>
      <x:c r="C679" s="27" t="str"/>
      <x:c r="D679" s="27" t="str">
        <x:v>Sprint 14</x:v>
      </x:c>
      <x:c r="E679" s="36" t="str">
        <x:v>S14_Traceability_Entries.csv</x:v>
      </x:c>
      <x:c r="F679" s="36" t="str">
        <x:v>CSV</x:v>
      </x:c>
      <x:c r="G679" s="54" t="n">
        <x:v>793</x:v>
      </x:c>
      <x:c r="H679" s="36" t="str">
        <x:v>5713541928234e572bed6be3c925ed5600e5438a7871d7cbd94d814a0c921465</x:v>
      </x:c>
      <x:c r="I679" s="36" t="n">
        <x:v>1</x:v>
      </x:c>
      <x:c r="J679" s="36" t="str">
        <x:v>Development evidence</x:v>
      </x:c>
      <x:c r="K679" s="36" t="str">
        <x:v>DIRECT</x:v>
      </x:c>
      <x:c r="L679" s="36" t="str">
        <x:v>backup, build, handoff, qa, recovery, restore, save, sprint, test, validation</x:v>
      </x:c>
      <x:c r="M679" s="36" t="str">
        <x:v>Retain read-only; current authority remains 00–34.</x:v>
      </x:c>
      <x:c r="N679" s="36" t="str">
        <x:v>33 risk/continuity context</x:v>
      </x:c>
      <x:c r="O679" s="36" t="str">
        <x:v>10_Development_Records/Sprint_14/Traceability/S14_Traceability_Entries.csv</x:v>
      </x:c>
    </x:row>
    <x:row r="680">
      <x:c r="A680" s="27" t="str">
        <x:v>HIST-0676</x:v>
      </x:c>
      <x:c r="B680" s="27" t="str">
        <x:v>10_Development_Records</x:v>
      </x:c>
      <x:c r="C680" s="27" t="str"/>
      <x:c r="D680" s="27" t="str">
        <x:v>Sprint 15</x:v>
      </x:c>
      <x:c r="E680" s="36" t="str">
        <x:v>ADR-0061-RuntimeUICompositionRoot.md</x:v>
      </x:c>
      <x:c r="F680" s="36" t="str">
        <x:v>MD</x:v>
      </x:c>
      <x:c r="G680" s="54" t="n">
        <x:v>251</x:v>
      </x:c>
      <x:c r="H680" s="36" t="str">
        <x:v>65c71a50143e1217e64a395d48e368db684e9051879a84fe991d293254644fd9</x:v>
      </x:c>
      <x:c r="I680" s="36" t="n">
        <x:v>1</x:v>
      </x:c>
      <x:c r="J680" s="36" t="str">
        <x:v>Development evidence</x:v>
      </x:c>
      <x:c r="K680" s="36" t="str">
        <x:v>SUPPORTING</x:v>
      </x:c>
      <x:c r="L680" s="36" t="str">
        <x:v>adr, sprint</x:v>
      </x:c>
      <x:c r="M680" s="36" t="str">
        <x:v>Retain read-only; current authority remains 00–34.</x:v>
      </x:c>
      <x:c r="N680" s="36" t="str">
        <x:v>33 risk/continuity context</x:v>
      </x:c>
      <x:c r="O680" s="36" t="str">
        <x:v>10_Development_Records/Sprint_15/Architecture/ADR-0061-RuntimeUICompositionRoot.md</x:v>
      </x:c>
    </x:row>
    <x:row r="681">
      <x:c r="A681" s="27" t="str">
        <x:v>HIST-0677</x:v>
      </x:c>
      <x:c r="B681" s="27" t="str">
        <x:v>10_Development_Records</x:v>
      </x:c>
      <x:c r="C681" s="27" t="str"/>
      <x:c r="D681" s="27" t="str">
        <x:v>Sprint 15</x:v>
      </x:c>
      <x:c r="E681" s="36" t="str">
        <x:v>ADR-0062-SlotUIUsesIntegratedRepository.md</x:v>
      </x:c>
      <x:c r="F681" s="36" t="str">
        <x:v>MD</x:v>
      </x:c>
      <x:c r="G681" s="54" t="n">
        <x:v>188</x:v>
      </x:c>
      <x:c r="H681" s="36" t="str">
        <x:v>ddaab79fcc1ee70e54e299ef81c1b274c28de02b60cd7ca500b83f0c779a83ae</x:v>
      </x:c>
      <x:c r="I681" s="36" t="n">
        <x:v>1</x:v>
      </x:c>
      <x:c r="J681" s="36" t="str">
        <x:v>Development evidence</x:v>
      </x:c>
      <x:c r="K681" s="36" t="str">
        <x:v>SUPPORTING</x:v>
      </x:c>
      <x:c r="L681" s="36" t="str">
        <x:v>adr, save, sprint</x:v>
      </x:c>
      <x:c r="M681" s="36" t="str">
        <x:v>Retain read-only; current authority remains 00–34.</x:v>
      </x:c>
      <x:c r="N681" s="36" t="str">
        <x:v>33 risk/continuity context</x:v>
      </x:c>
      <x:c r="O681" s="36" t="str">
        <x:v>10_Development_Records/Sprint_15/Architecture/ADR-0062-SlotUIUsesIntegratedRepository.md</x:v>
      </x:c>
    </x:row>
    <x:row r="682">
      <x:c r="A682" s="27" t="str">
        <x:v>HIST-0678</x:v>
      </x:c>
      <x:c r="B682" s="27" t="str">
        <x:v>10_Development_Records</x:v>
      </x:c>
      <x:c r="C682" s="27" t="str"/>
      <x:c r="D682" s="27" t="str">
        <x:v>Sprint 15</x:v>
      </x:c>
      <x:c r="E682" s="36" t="str">
        <x:v>ADR-0063-ClosedDayAutosaveIdempotency.md</x:v>
      </x:c>
      <x:c r="F682" s="36" t="str">
        <x:v>MD</x:v>
      </x:c>
      <x:c r="G682" s="54" t="n">
        <x:v>200</x:v>
      </x:c>
      <x:c r="H682" s="36" t="str">
        <x:v>8575a38534155149713d4c711e65216ce43402c06dce60d181fbad87d806ad59</x:v>
      </x:c>
      <x:c r="I682" s="36" t="n">
        <x:v>1</x:v>
      </x:c>
      <x:c r="J682" s="36" t="str">
        <x:v>Development evidence</x:v>
      </x:c>
      <x:c r="K682" s="36" t="str">
        <x:v>SUPPORTING</x:v>
      </x:c>
      <x:c r="L682" s="36" t="str">
        <x:v>adr, save, sprint</x:v>
      </x:c>
      <x:c r="M682" s="36" t="str">
        <x:v>Retain read-only; current authority remains 00–34.</x:v>
      </x:c>
      <x:c r="N682" s="36" t="str">
        <x:v>33 risk/continuity context</x:v>
      </x:c>
      <x:c r="O682" s="36" t="str">
        <x:v>10_Development_Records/Sprint_15/Architecture/ADR-0063-ClosedDayAutosaveIdempotency.md</x:v>
      </x:c>
    </x:row>
    <x:row r="683">
      <x:c r="A683" s="27" t="str">
        <x:v>HIST-0679</x:v>
      </x:c>
      <x:c r="B683" s="27" t="str">
        <x:v>10_Development_Records</x:v>
      </x:c>
      <x:c r="C683" s="27" t="str"/>
      <x:c r="D683" s="27" t="str">
        <x:v>Sprint 15</x:v>
      </x:c>
      <x:c r="E683" s="36" t="str">
        <x:v>ADR-0064-TutorialProgressSidecar.md</x:v>
      </x:c>
      <x:c r="F683" s="36" t="str">
        <x:v>MD</x:v>
      </x:c>
      <x:c r="G683" s="54" t="n">
        <x:v>201</x:v>
      </x:c>
      <x:c r="H683" s="36" t="str">
        <x:v>d2cdde79c43ec5206b0f28cd4e4d5542210988058e9039cd6c510e41b8992b85</x:v>
      </x:c>
      <x:c r="I683" s="36" t="n">
        <x:v>1</x:v>
      </x:c>
      <x:c r="J683" s="36" t="str">
        <x:v>Development evidence</x:v>
      </x:c>
      <x:c r="K683" s="36" t="str">
        <x:v>SUPPORTING</x:v>
      </x:c>
      <x:c r="L683" s="36" t="str">
        <x:v>adr, sprint</x:v>
      </x:c>
      <x:c r="M683" s="36" t="str">
        <x:v>Retain read-only; current authority remains 00–34.</x:v>
      </x:c>
      <x:c r="N683" s="36" t="str">
        <x:v>33 risk/continuity context</x:v>
      </x:c>
      <x:c r="O683" s="36" t="str">
        <x:v>10_Development_Records/Sprint_15/Architecture/ADR-0064-TutorialProgressSidecar.md</x:v>
      </x:c>
    </x:row>
    <x:row r="684">
      <x:c r="A684" s="27" t="str">
        <x:v>HIST-0680</x:v>
      </x:c>
      <x:c r="B684" s="27" t="str">
        <x:v>10_Development_Records</x:v>
      </x:c>
      <x:c r="C684" s="27" t="str"/>
      <x:c r="D684" s="27" t="str">
        <x:v>Sprint 15</x:v>
      </x:c>
      <x:c r="E684" s="36" t="str">
        <x:v>ADR-0065-GlobalAccessibilityPreferences.md</x:v>
      </x:c>
      <x:c r="F684" s="36" t="str">
        <x:v>MD</x:v>
      </x:c>
      <x:c r="G684" s="54" t="n">
        <x:v>202</x:v>
      </x:c>
      <x:c r="H684" s="36" t="str">
        <x:v>2d42a2ba223eea0dd142a1c34949bf6095b257b8790b7ad36aabf0ae3fd4f30f</x:v>
      </x:c>
      <x:c r="I684" s="36" t="n">
        <x:v>1</x:v>
      </x:c>
      <x:c r="J684" s="36" t="str">
        <x:v>Development evidence</x:v>
      </x:c>
      <x:c r="K684" s="36" t="str">
        <x:v>SUPPORTING</x:v>
      </x:c>
      <x:c r="L684" s="36" t="str">
        <x:v>adr, sprint</x:v>
      </x:c>
      <x:c r="M684" s="36" t="str">
        <x:v>Retain read-only; current authority remains 00–34.</x:v>
      </x:c>
      <x:c r="N684" s="36" t="str">
        <x:v>33 risk/continuity context</x:v>
      </x:c>
      <x:c r="O684" s="36" t="str">
        <x:v>10_Development_Records/Sprint_15/Architecture/ADR-0065-GlobalAccessibilityPreferences.md</x:v>
      </x:c>
    </x:row>
    <x:row r="685">
      <x:c r="A685" s="27" t="str">
        <x:v>HIST-0681</x:v>
      </x:c>
      <x:c r="B685" s="27" t="str">
        <x:v>10_Development_Records</x:v>
      </x:c>
      <x:c r="C685" s="27" t="str"/>
      <x:c r="D685" s="27" t="str">
        <x:v>Sprint 15</x:v>
      </x:c>
      <x:c r="E685" s="36" t="str">
        <x:v>ADR-0066-ExclusiveUIInput.md</x:v>
      </x:c>
      <x:c r="F685" s="36" t="str">
        <x:v>MD</x:v>
      </x:c>
      <x:c r="G685" s="54" t="n">
        <x:v>193</x:v>
      </x:c>
      <x:c r="H685" s="36" t="str">
        <x:v>dd52812f99015a563282f87506a4b57884e6c41b4f0f9488cfb4d58944d74bbe</x:v>
      </x:c>
      <x:c r="I685" s="36" t="n">
        <x:v>1</x:v>
      </x:c>
      <x:c r="J685" s="36" t="str">
        <x:v>Development evidence</x:v>
      </x:c>
      <x:c r="K685" s="36" t="str">
        <x:v>SUPPORTING</x:v>
      </x:c>
      <x:c r="L685" s="36" t="str">
        <x:v>adr, sprint</x:v>
      </x:c>
      <x:c r="M685" s="36" t="str">
        <x:v>Retain read-only; current authority remains 00–34.</x:v>
      </x:c>
      <x:c r="N685" s="36" t="str">
        <x:v>33 risk/continuity context</x:v>
      </x:c>
      <x:c r="O685" s="36" t="str">
        <x:v>10_Development_Records/Sprint_15/Architecture/ADR-0066-ExclusiveUIInput.md</x:v>
      </x:c>
    </x:row>
    <x:row r="686">
      <x:c r="A686" s="27" t="str">
        <x:v>HIST-0682</x:v>
      </x:c>
      <x:c r="B686" s="27" t="str">
        <x:v>10_Development_Records</x:v>
      </x:c>
      <x:c r="C686" s="27" t="str"/>
      <x:c r="D686" s="27" t="str">
        <x:v>Sprint 15</x:v>
      </x:c>
      <x:c r="E686" s="36" t="str">
        <x:v>S15_PostImplementation_Record.md</x:v>
      </x:c>
      <x:c r="F686" s="36" t="str">
        <x:v>MD</x:v>
      </x:c>
      <x:c r="G686" s="54" t="n">
        <x:v>1276</x:v>
      </x:c>
      <x:c r="H686" s="36" t="str">
        <x:v>7d942b11542da16a2fba0e01edd20a7fc4bd43000f1b48e49c23bc7b6f389cd0</x:v>
      </x:c>
      <x:c r="I686" s="36" t="n">
        <x:v>1</x:v>
      </x:c>
      <x:c r="J686" s="36" t="str">
        <x:v>Development evidence</x:v>
      </x:c>
      <x:c r="K686" s="36" t="str">
        <x:v>DIRECT</x:v>
      </x:c>
      <x:c r="L686" s="36" t="str">
        <x:v>build, dependencia, save, sprint, test</x:v>
      </x:c>
      <x:c r="M686" s="36" t="str">
        <x:v>Retain read-only; current authority remains 00–34.</x:v>
      </x:c>
      <x:c r="N686" s="36" t="str">
        <x:v>33 risk/continuity context</x:v>
      </x:c>
      <x:c r="O686" s="36" t="str">
        <x:v>10_Development_Records/Sprint_15/Documentation/S15_PostImplementation_Record.md</x:v>
      </x:c>
    </x:row>
    <x:row r="687">
      <x:c r="A687" s="27" t="str">
        <x:v>HIST-0683</x:v>
      </x:c>
      <x:c r="B687" s="27" t="str">
        <x:v>10_Development_Records</x:v>
      </x:c>
      <x:c r="C687" s="27" t="str"/>
      <x:c r="D687" s="27" t="str">
        <x:v>Sprint 15</x:v>
      </x:c>
      <x:c r="E687" s="36" t="str">
        <x:v>S15_PreImplementation_Record.md</x:v>
      </x:c>
      <x:c r="F687" s="36" t="str">
        <x:v>MD</x:v>
      </x:c>
      <x:c r="G687" s="54" t="n">
        <x:v>421</x:v>
      </x:c>
      <x:c r="H687" s="36" t="str">
        <x:v>808772ba91a3972ed43ca172799de9d3d7fc170b34d33267186b4c4822db49ce</x:v>
      </x:c>
      <x:c r="I687" s="36" t="n">
        <x:v>1</x:v>
      </x:c>
      <x:c r="J687" s="36" t="str">
        <x:v>Development evidence</x:v>
      </x:c>
      <x:c r="K687" s="36" t="str">
        <x:v>SUPPORTING</x:v>
      </x:c>
      <x:c r="L687" s="36" t="str">
        <x:v>recovery, save, sprint</x:v>
      </x:c>
      <x:c r="M687" s="36" t="str">
        <x:v>Retain read-only; current authority remains 00–34.</x:v>
      </x:c>
      <x:c r="N687" s="36" t="str">
        <x:v>33 risk/continuity context</x:v>
      </x:c>
      <x:c r="O687" s="36" t="str">
        <x:v>10_Development_Records/Sprint_15/Documentation/S15_PreImplementation_Record.md</x:v>
      </x:c>
    </x:row>
    <x:row r="688">
      <x:c r="A688" s="27" t="str">
        <x:v>HIST-0684</x:v>
      </x:c>
      <x:c r="B688" s="27" t="str">
        <x:v>10_Development_Records</x:v>
      </x:c>
      <x:c r="C688" s="27" t="str"/>
      <x:c r="D688" s="27" t="str">
        <x:v>Sprint 15</x:v>
      </x:c>
      <x:c r="E688" s="36" t="str">
        <x:v>Sprint_15_Charter.md</x:v>
      </x:c>
      <x:c r="F688" s="36" t="str">
        <x:v>MD</x:v>
      </x:c>
      <x:c r="G688" s="54" t="n">
        <x:v>1462</x:v>
      </x:c>
      <x:c r="H688" s="36" t="str">
        <x:v>777cde8726943ec8864b5e5639261303bf1cf82c7c165be083c9a9efa7e29072</x:v>
      </x:c>
      <x:c r="I688" s="36" t="n">
        <x:v>1</x:v>
      </x:c>
      <x:c r="J688" s="36" t="str">
        <x:v>Development evidence</x:v>
      </x:c>
      <x:c r="K688" s="36" t="str">
        <x:v>SUPPORTING</x:v>
      </x:c>
      <x:c r="L688" s="36" t="str">
        <x:v>recovery, save, sprint, steam</x:v>
      </x:c>
      <x:c r="M688" s="36" t="str">
        <x:v>Retain read-only; current authority remains 00–34.</x:v>
      </x:c>
      <x:c r="N688" s="36" t="str">
        <x:v>33 risk/continuity context</x:v>
      </x:c>
      <x:c r="O688" s="36" t="str">
        <x:v>10_Development_Records/Sprint_15/Governance/Sprint_15_Charter.md</x:v>
      </x:c>
    </x:row>
    <x:row r="689">
      <x:c r="A689" s="27" t="str">
        <x:v>HIST-0685</x:v>
      </x:c>
      <x:c r="B689" s="27" t="str">
        <x:v>10_Development_Records</x:v>
      </x:c>
      <x:c r="C689" s="27" t="str"/>
      <x:c r="D689" s="27" t="str">
        <x:v>Sprint 15</x:v>
      </x:c>
      <x:c r="E689" s="36" t="str">
        <x:v>Sprint_15_Current_Status.md</x:v>
      </x:c>
      <x:c r="F689" s="36" t="str">
        <x:v>MD</x:v>
      </x:c>
      <x:c r="G689" s="54" t="n">
        <x:v>727</x:v>
      </x:c>
      <x:c r="H689" s="36" t="str">
        <x:v>73b0bc0d6d52ab1ee422ae3768727e4084db01eddd16e79ec773cfeae71ccbb2</x:v>
      </x:c>
      <x:c r="I689" s="36" t="n">
        <x:v>1</x:v>
      </x:c>
      <x:c r="J689" s="36" t="str">
        <x:v>Development evidence</x:v>
      </x:c>
      <x:c r="K689" s="36" t="str">
        <x:v>SUPPORTING</x:v>
      </x:c>
      <x:c r="L689" s="36" t="str">
        <x:v>build, current_status, sprint, test</x:v>
      </x:c>
      <x:c r="M689" s="36" t="str">
        <x:v>Retain read-only; current authority remains 00–34.</x:v>
      </x:c>
      <x:c r="N689" s="36" t="str">
        <x:v>33 risk/continuity context</x:v>
      </x:c>
      <x:c r="O689" s="36" t="str">
        <x:v>10_Development_Records/Sprint_15/Governance/Sprint_15_Current_Status.md</x:v>
      </x:c>
    </x:row>
    <x:row r="690">
      <x:c r="A690" s="27" t="str">
        <x:v>HIST-0686</x:v>
      </x:c>
      <x:c r="B690" s="27" t="str">
        <x:v>10_Development_Records</x:v>
      </x:c>
      <x:c r="C690" s="27" t="str"/>
      <x:c r="D690" s="27" t="str">
        <x:v>Sprint 15</x:v>
      </x:c>
      <x:c r="E690" s="36" t="str">
        <x:v>S15_Acceptance_Matrix.md</x:v>
      </x:c>
      <x:c r="F690" s="36" t="str">
        <x:v>MD</x:v>
      </x:c>
      <x:c r="G690" s="54" t="n">
        <x:v>744</x:v>
      </x:c>
      <x:c r="H690" s="36" t="str">
        <x:v>ef5c3d5a5d788d7a52965e858620ca76d260711f96e5132bb7938c765b6762da</x:v>
      </x:c>
      <x:c r="I690" s="36" t="n">
        <x:v>1</x:v>
      </x:c>
      <x:c r="J690" s="36" t="str">
        <x:v>Development evidence</x:v>
      </x:c>
      <x:c r="K690" s="36" t="str">
        <x:v>DIRECT</x:v>
      </x:c>
      <x:c r="L690" s="36" t="str">
        <x:v>acceptance, build, qa, recovery, save, sprint</x:v>
      </x:c>
      <x:c r="M690" s="36" t="str">
        <x:v>Retain read-only; current authority remains 00–34.</x:v>
      </x:c>
      <x:c r="N690" s="36" t="str">
        <x:v>33 risk/continuity context</x:v>
      </x:c>
      <x:c r="O690" s="36" t="str">
        <x:v>10_Development_Records/Sprint_15/QA/S15_Acceptance_Matrix.md</x:v>
      </x:c>
    </x:row>
    <x:row r="691">
      <x:c r="A691" s="27" t="str">
        <x:v>HIST-0687</x:v>
      </x:c>
      <x:c r="B691" s="27" t="str">
        <x:v>10_Development_Records</x:v>
      </x:c>
      <x:c r="C691" s="27" t="str"/>
      <x:c r="D691" s="27" t="str">
        <x:v>Sprint 15</x:v>
      </x:c>
      <x:c r="E691" s="36" t="str">
        <x:v>S15_Build_Execution_Record.md</x:v>
      </x:c>
      <x:c r="F691" s="36" t="str">
        <x:v>MD</x:v>
      </x:c>
      <x:c r="G691" s="54" t="n">
        <x:v>359</x:v>
      </x:c>
      <x:c r="H691" s="36" t="str">
        <x:v>cb74c7605f9918b31b4f49ebbe0f63004b03886d5468bd258a3eb6f83ea9b61a</x:v>
      </x:c>
      <x:c r="I691" s="36" t="n">
        <x:v>1</x:v>
      </x:c>
      <x:c r="J691" s="36" t="str">
        <x:v>Development evidence</x:v>
      </x:c>
      <x:c r="K691" s="36" t="str">
        <x:v>SUPPORTING</x:v>
      </x:c>
      <x:c r="L691" s="36" t="str">
        <x:v>build, qa, save, sprint</x:v>
      </x:c>
      <x:c r="M691" s="36" t="str">
        <x:v>Retain read-only; current authority remains 00–34.</x:v>
      </x:c>
      <x:c r="N691" s="36" t="str">
        <x:v>33 risk/continuity context</x:v>
      </x:c>
      <x:c r="O691" s="36" t="str">
        <x:v>10_Development_Records/Sprint_15/QA/S15_Build_Execution_Record.md</x:v>
      </x:c>
    </x:row>
    <x:row r="692">
      <x:c r="A692" s="27" t="str">
        <x:v>HIST-0688</x:v>
      </x:c>
      <x:c r="B692" s="27" t="str">
        <x:v>10_Development_Records</x:v>
      </x:c>
      <x:c r="C692" s="27" t="str"/>
      <x:c r="D692" s="27" t="str">
        <x:v>Sprint 15</x:v>
      </x:c>
      <x:c r="E692" s="36" t="str">
        <x:v>S15_Manual_Validation_Record.md</x:v>
      </x:c>
      <x:c r="F692" s="36" t="str">
        <x:v>MD</x:v>
      </x:c>
      <x:c r="G692" s="54" t="n">
        <x:v>531</x:v>
      </x:c>
      <x:c r="H692" s="36" t="str">
        <x:v>cf0bf9e50007e2211b0404ef541a9ba1b23c97b6eb7909403c16e601f77b655a</x:v>
      </x:c>
      <x:c r="I692" s="36" t="n">
        <x:v>1</x:v>
      </x:c>
      <x:c r="J692" s="36" t="str">
        <x:v>Development evidence</x:v>
      </x:c>
      <x:c r="K692" s="36" t="str">
        <x:v>DIRECT</x:v>
      </x:c>
      <x:c r="L692" s="36" t="str">
        <x:v>dependencia, qa, save, sprint, validation</x:v>
      </x:c>
      <x:c r="M692" s="36" t="str">
        <x:v>Retain read-only; current authority remains 00–34.</x:v>
      </x:c>
      <x:c r="N692" s="36" t="str">
        <x:v>33 risk/continuity context</x:v>
      </x:c>
      <x:c r="O692" s="36" t="str">
        <x:v>10_Development_Records/Sprint_15/QA/S15_Manual_Validation_Record.md</x:v>
      </x:c>
    </x:row>
    <x:row r="693">
      <x:c r="A693" s="27" t="str">
        <x:v>HIST-0689</x:v>
      </x:c>
      <x:c r="B693" s="27" t="str">
        <x:v>10_Development_Records</x:v>
      </x:c>
      <x:c r="C693" s="27" t="str"/>
      <x:c r="D693" s="27" t="str">
        <x:v>Sprint 15</x:v>
      </x:c>
      <x:c r="E693" s="36" t="str">
        <x:v>S15_QA_Execution_Record.md</x:v>
      </x:c>
      <x:c r="F693" s="36" t="str">
        <x:v>MD</x:v>
      </x:c>
      <x:c r="G693" s="54" t="n">
        <x:v>373</x:v>
      </x:c>
      <x:c r="H693" s="36" t="str">
        <x:v>317dd72193364df1dd104ef8be879fa22dbd4f8374e3e0bd454fef8f0881277d</x:v>
      </x:c>
      <x:c r="I693" s="36" t="n">
        <x:v>1</x:v>
      </x:c>
      <x:c r="J693" s="36" t="str">
        <x:v>Development evidence</x:v>
      </x:c>
      <x:c r="K693" s="36" t="str">
        <x:v>SUPPORTING</x:v>
      </x:c>
      <x:c r="L693" s="36" t="str">
        <x:v>build, qa, sprint</x:v>
      </x:c>
      <x:c r="M693" s="36" t="str">
        <x:v>Retain read-only; current authority remains 00–34.</x:v>
      </x:c>
      <x:c r="N693" s="36" t="str">
        <x:v>33 risk/continuity context</x:v>
      </x:c>
      <x:c r="O693" s="36" t="str">
        <x:v>10_Development_Records/Sprint_15/QA/S15_QA_Execution_Record.md</x:v>
      </x:c>
    </x:row>
    <x:row r="694">
      <x:c r="A694" s="27" t="str">
        <x:v>HIST-0690</x:v>
      </x:c>
      <x:c r="B694" s="27" t="str">
        <x:v>10_Development_Records</x:v>
      </x:c>
      <x:c r="C694" s="27" t="str"/>
      <x:c r="D694" s="27" t="str">
        <x:v>Sprint 15</x:v>
      </x:c>
      <x:c r="E694" s="36" t="str">
        <x:v>S15_Test_Plan.md</x:v>
      </x:c>
      <x:c r="F694" s="36" t="str">
        <x:v>MD</x:v>
      </x:c>
      <x:c r="G694" s="54" t="n">
        <x:v>562</x:v>
      </x:c>
      <x:c r="H694" s="36" t="str">
        <x:v>d0d52d54433180bf3c4995a933def70b47ce5712a538d3abed7823f8a2dbc983</x:v>
      </x:c>
      <x:c r="I694" s="36" t="n">
        <x:v>1</x:v>
      </x:c>
      <x:c r="J694" s="36" t="str">
        <x:v>Development evidence</x:v>
      </x:c>
      <x:c r="K694" s="36" t="str">
        <x:v>DIRECT</x:v>
      </x:c>
      <x:c r="L694" s="36" t="str">
        <x:v>backup, qa, save, sprint, test</x:v>
      </x:c>
      <x:c r="M694" s="36" t="str">
        <x:v>Retain read-only; current authority remains 00–34.</x:v>
      </x:c>
      <x:c r="N694" s="36" t="str">
        <x:v>33 risk/continuity context</x:v>
      </x:c>
      <x:c r="O694" s="36" t="str">
        <x:v>10_Development_Records/Sprint_15/QA/S15_Test_Plan.md</x:v>
      </x:c>
    </x:row>
    <x:row r="695">
      <x:c r="A695" s="27" t="str">
        <x:v>HIST-0691</x:v>
      </x:c>
      <x:c r="B695" s="27" t="str">
        <x:v>10_Development_Records</x:v>
      </x:c>
      <x:c r="C695" s="27" t="str"/>
      <x:c r="D695" s="27" t="str">
        <x:v>Sprint 15</x:v>
      </x:c>
      <x:c r="E695" s="36" t="str">
        <x:v>S15_Validation_Checklist.md</x:v>
      </x:c>
      <x:c r="F695" s="36" t="str">
        <x:v>MD</x:v>
      </x:c>
      <x:c r="G695" s="54" t="n">
        <x:v>485</x:v>
      </x:c>
      <x:c r="H695" s="36" t="str">
        <x:v>8af2c23ba1b2ae2eba5aa79c54c4c1af474773eae4814e2a1fb124f3611eaaff</x:v>
      </x:c>
      <x:c r="I695" s="36" t="n">
        <x:v>1</x:v>
      </x:c>
      <x:c r="J695" s="36" t="str">
        <x:v>Development evidence</x:v>
      </x:c>
      <x:c r="K695" s="36" t="str">
        <x:v>DIRECT</x:v>
      </x:c>
      <x:c r="L695" s="36" t="str">
        <x:v>build, qa, save, sprint, validation</x:v>
      </x:c>
      <x:c r="M695" s="36" t="str">
        <x:v>Retain read-only; current authority remains 00–34.</x:v>
      </x:c>
      <x:c r="N695" s="36" t="str">
        <x:v>33 risk/continuity context</x:v>
      </x:c>
      <x:c r="O695" s="36" t="str">
        <x:v>10_Development_Records/Sprint_15/QA/S15_Validation_Checklist.md</x:v>
      </x:c>
    </x:row>
    <x:row r="696">
      <x:c r="A696" s="27" t="str">
        <x:v>HIST-0692</x:v>
      </x:c>
      <x:c r="B696" s="27" t="str">
        <x:v>10_Development_Records</x:v>
      </x:c>
      <x:c r="C696" s="27" t="str"/>
      <x:c r="D696" s="27" t="str">
        <x:v>Sprint 15</x:v>
      </x:c>
      <x:c r="E696" s="36" t="str">
        <x:v>Sprint_15_Closure_Report.md</x:v>
      </x:c>
      <x:c r="F696" s="36" t="str">
        <x:v>MD</x:v>
      </x:c>
      <x:c r="G696" s="54" t="n">
        <x:v>1205</x:v>
      </x:c>
      <x:c r="H696" s="36" t="str">
        <x:v>343d252b625e600cebccec2fc9a37c825228dc7eab7052ace8ce353b5f4c859f</x:v>
      </x:c>
      <x:c r="I696" s="36" t="n">
        <x:v>1</x:v>
      </x:c>
      <x:c r="J696" s="36" t="str">
        <x:v>Development evidence</x:v>
      </x:c>
      <x:c r="K696" s="36" t="str">
        <x:v>DIRECT</x:v>
      </x:c>
      <x:c r="L696" s="36" t="str">
        <x:v>build, closure, save, sprint, test</x:v>
      </x:c>
      <x:c r="M696" s="36" t="str">
        <x:v>Retain read-only; current authority remains 00–34.</x:v>
      </x:c>
      <x:c r="N696" s="36" t="str">
        <x:v>33 risk/continuity context</x:v>
      </x:c>
      <x:c r="O696" s="36" t="str">
        <x:v>10_Development_Records/Sprint_15/Sprint_15_Closure_Report.md</x:v>
      </x:c>
    </x:row>
    <x:row r="697">
      <x:c r="A697" s="27" t="str">
        <x:v>HIST-0693</x:v>
      </x:c>
      <x:c r="B697" s="27" t="str">
        <x:v>10_Development_Records</x:v>
      </x:c>
      <x:c r="C697" s="27" t="str"/>
      <x:c r="D697" s="27" t="str">
        <x:v>Sprint 15</x:v>
      </x:c>
      <x:c r="E697" s="36" t="str">
        <x:v>S15_Document_Impact_Working_Matrix.md</x:v>
      </x:c>
      <x:c r="F697" s="36" t="str">
        <x:v>MD</x:v>
      </x:c>
      <x:c r="G697" s="54" t="n">
        <x:v>502</x:v>
      </x:c>
      <x:c r="H697" s="36" t="str">
        <x:v>d258d4b5bbc97e64f4041e47a3d3b6f1c873392bde6a4c5d737b11b875ace999</x:v>
      </x:c>
      <x:c r="I697" s="36" t="n">
        <x:v>1</x:v>
      </x:c>
      <x:c r="J697" s="36" t="str">
        <x:v>Development evidence</x:v>
      </x:c>
      <x:c r="K697" s="36" t="str">
        <x:v>DIRECT</x:v>
      </x:c>
      <x:c r="L697" s="36" t="str">
        <x:v>handoff, qa, roadmap, save, sprint</x:v>
      </x:c>
      <x:c r="M697" s="36" t="str">
        <x:v>Retain read-only; current authority remains 00–34.</x:v>
      </x:c>
      <x:c r="N697" s="36" t="str">
        <x:v>33 risk/continuity context</x:v>
      </x:c>
      <x:c r="O697" s="36" t="str">
        <x:v>10_Development_Records/Sprint_15/Traceability/S15_Document_Impact_Working_Matrix.md</x:v>
      </x:c>
    </x:row>
    <x:row r="698">
      <x:c r="A698" s="27" t="str">
        <x:v>HIST-0694</x:v>
      </x:c>
      <x:c r="B698" s="27" t="str">
        <x:v>10_Development_Records</x:v>
      </x:c>
      <x:c r="C698" s="27" t="str"/>
      <x:c r="D698" s="27" t="str">
        <x:v>Sprint 15</x:v>
      </x:c>
      <x:c r="E698" s="36" t="str">
        <x:v>S15_Traceability_Entries.csv</x:v>
      </x:c>
      <x:c r="F698" s="36" t="str">
        <x:v>CSV</x:v>
      </x:c>
      <x:c r="G698" s="54" t="n">
        <x:v>947</x:v>
      </x:c>
      <x:c r="H698" s="36" t="str">
        <x:v>934092d196b053572b578837ef4090a1f14d41dafc9558e66f5134a56ea9065f</x:v>
      </x:c>
      <x:c r="I698" s="36" t="n">
        <x:v>1</x:v>
      </x:c>
      <x:c r="J698" s="36" t="str">
        <x:v>Development evidence</x:v>
      </x:c>
      <x:c r="K698" s="36" t="str">
        <x:v>SUPPORTING</x:v>
      </x:c>
      <x:c r="L698" s="36" t="str">
        <x:v>build, save, sprint, test</x:v>
      </x:c>
      <x:c r="M698" s="36" t="str">
        <x:v>Retain read-only; current authority remains 00–34.</x:v>
      </x:c>
      <x:c r="N698" s="36" t="str">
        <x:v>33 risk/continuity context</x:v>
      </x:c>
      <x:c r="O698" s="36" t="str">
        <x:v>10_Development_Records/Sprint_15/Traceability/S15_Traceability_Entries.csv</x:v>
      </x:c>
    </x:row>
    <x:row r="699">
      <x:c r="A699" s="27" t="str">
        <x:v>HIST-0695</x:v>
      </x:c>
      <x:c r="B699" s="27" t="str">
        <x:v>10_Development_Records</x:v>
      </x:c>
      <x:c r="C699" s="27" t="str"/>
      <x:c r="D699" s="27" t="str">
        <x:v>Sprint 16</x:v>
      </x:c>
      <x:c r="E699" s="36" t="str">
        <x:v>Sprint_16_Two_Phase_Charter.md</x:v>
      </x:c>
      <x:c r="F699" s="36" t="str">
        <x:v>MD</x:v>
      </x:c>
      <x:c r="G699" s="54" t="n">
        <x:v>640</x:v>
      </x:c>
      <x:c r="H699" s="36" t="str">
        <x:v>b191b8b5d47654141df7860d6a79430552cc68e1bcdc786d1d4fef55583dc605</x:v>
      </x:c>
      <x:c r="I699" s="36" t="n">
        <x:v>1</x:v>
      </x:c>
      <x:c r="J699" s="36" t="str">
        <x:v>Development evidence</x:v>
      </x:c>
      <x:c r="K699" s="36" t="str">
        <x:v>SUPPORTING</x:v>
      </x:c>
      <x:c r="L699" s="36" t="str">
        <x:v>build, qa, sprint</x:v>
      </x:c>
      <x:c r="M699" s="36" t="str">
        <x:v>Retain read-only; current authority remains 00–34.</x:v>
      </x:c>
      <x:c r="N699" s="36" t="str">
        <x:v>33 risk/continuity context</x:v>
      </x:c>
      <x:c r="O699" s="36" t="str">
        <x:v>10_Development_Records/Sprint_16/Governance/Sprint_16_Two_Phase_Charter.md</x:v>
      </x:c>
    </x:row>
    <x:row r="700">
      <x:c r="A700" s="27" t="str">
        <x:v>HIST-0696</x:v>
      </x:c>
      <x:c r="B700" s="27" t="str">
        <x:v>10_Development_Records</x:v>
      </x:c>
      <x:c r="C700" s="27" t="str"/>
      <x:c r="D700" s="27" t="str">
        <x:v>Sprint 16</x:v>
      </x:c>
      <x:c r="E700" s="36" t="str">
        <x:v>ADR-0067-Sprint16TwoPhaseDelivery.md</x:v>
      </x:c>
      <x:c r="F700" s="36" t="str">
        <x:v>MD</x:v>
      </x:c>
      <x:c r="G700" s="54" t="n">
        <x:v>214</x:v>
      </x:c>
      <x:c r="H700" s="36" t="str">
        <x:v>59f759e966b057f091473d52cf205d1a089a0917d2f8fff80342ca8ce2ca0a75</x:v>
      </x:c>
      <x:c r="I700" s="36" t="n">
        <x:v>1</x:v>
      </x:c>
      <x:c r="J700" s="36" t="str">
        <x:v>Development evidence</x:v>
      </x:c>
      <x:c r="K700" s="36" t="str">
        <x:v>SUPPORTING</x:v>
      </x:c>
      <x:c r="L700" s="36" t="str">
        <x:v>adr, sprint</x:v>
      </x:c>
      <x:c r="M700" s="36" t="str">
        <x:v>Retain read-only; current authority remains 00–34.</x:v>
      </x:c>
      <x:c r="N700" s="36" t="str">
        <x:v>33 risk/continuity context</x:v>
      </x:c>
      <x:c r="O700" s="36" t="str">
        <x:v>10_Development_Records/Sprint_16/Phase_1/Architecture/ADR-0067-Sprint16TwoPhaseDelivery.md</x:v>
      </x:c>
    </x:row>
    <x:row r="701">
      <x:c r="A701" s="27" t="str">
        <x:v>HIST-0697</x:v>
      </x:c>
      <x:c r="B701" s="27" t="str">
        <x:v>10_Development_Records</x:v>
      </x:c>
      <x:c r="C701" s="27" t="str"/>
      <x:c r="D701" s="27" t="str">
        <x:v>Sprint 16</x:v>
      </x:c>
      <x:c r="E701" s="36" t="str">
        <x:v>ADR-0068-PurePhase1Sidecar.md</x:v>
      </x:c>
      <x:c r="F701" s="36" t="str">
        <x:v>MD</x:v>
      </x:c>
      <x:c r="G701" s="54" t="n">
        <x:v>232</x:v>
      </x:c>
      <x:c r="H701" s="36" t="str">
        <x:v>5a4b767d6daf552a48dc2b4d256b38c698da130b41314243902c4b5fbab68459</x:v>
      </x:c>
      <x:c r="I701" s="36" t="n">
        <x:v>1</x:v>
      </x:c>
      <x:c r="J701" s="36" t="str">
        <x:v>Development evidence</x:v>
      </x:c>
      <x:c r="K701" s="36" t="str">
        <x:v>SUPPORTING</x:v>
      </x:c>
      <x:c r="L701" s="36" t="str">
        <x:v>adr, sprint</x:v>
      </x:c>
      <x:c r="M701" s="36" t="str">
        <x:v>Retain read-only; current authority remains 00–34.</x:v>
      </x:c>
      <x:c r="N701" s="36" t="str">
        <x:v>33 risk/continuity context</x:v>
      </x:c>
      <x:c r="O701" s="36" t="str">
        <x:v>10_Development_Records/Sprint_16/Phase_1/Architecture/ADR-0068-PurePhase1Sidecar.md</x:v>
      </x:c>
    </x:row>
    <x:row r="702">
      <x:c r="A702" s="27" t="str">
        <x:v>HIST-0698</x:v>
      </x:c>
      <x:c r="B702" s="27" t="str">
        <x:v>10_Development_Records</x:v>
      </x:c>
      <x:c r="C702" s="27" t="str"/>
      <x:c r="D702" s="27" t="str">
        <x:v>Sprint 16</x:v>
      </x:c>
      <x:c r="E702" s="36" t="str">
        <x:v>ADR-0069-AutosaveCoordinatedCheckpoint.md</x:v>
      </x:c>
      <x:c r="F702" s="36" t="str">
        <x:v>MD</x:v>
      </x:c>
      <x:c r="G702" s="54" t="n">
        <x:v>250</x:v>
      </x:c>
      <x:c r="H702" s="36" t="str">
        <x:v>c4aaad9ce98b604d52894350668f7e59cc8c9d893ec3e96658a467bff0dbd44a</x:v>
      </x:c>
      <x:c r="I702" s="36" t="n">
        <x:v>1</x:v>
      </x:c>
      <x:c r="J702" s="36" t="str">
        <x:v>Development evidence</x:v>
      </x:c>
      <x:c r="K702" s="36" t="str">
        <x:v>SUPPORTING</x:v>
      </x:c>
      <x:c r="L702" s="36" t="str">
        <x:v>adr, save, sprint</x:v>
      </x:c>
      <x:c r="M702" s="36" t="str">
        <x:v>Retain read-only; current authority remains 00–34.</x:v>
      </x:c>
      <x:c r="N702" s="36" t="str">
        <x:v>33 risk/continuity context</x:v>
      </x:c>
      <x:c r="O702" s="36" t="str">
        <x:v>10_Development_Records/Sprint_16/Phase_1/Architecture/ADR-0069-AutosaveCoordinatedCheckpoint.md</x:v>
      </x:c>
    </x:row>
    <x:row r="703">
      <x:c r="A703" s="27" t="str">
        <x:v>HIST-0699</x:v>
      </x:c>
      <x:c r="B703" s="27" t="str">
        <x:v>10_Development_Records</x:v>
      </x:c>
      <x:c r="C703" s="27" t="str"/>
      <x:c r="D703" s="27" t="str">
        <x:v>Sprint 16</x:v>
      </x:c>
      <x:c r="E703" s="36" t="str">
        <x:v>ADR-0070-PlacementCompatibilityBridge.md</x:v>
      </x:c>
      <x:c r="F703" s="36" t="str">
        <x:v>MD</x:v>
      </x:c>
      <x:c r="G703" s="54" t="n">
        <x:v>353</x:v>
      </x:c>
      <x:c r="H703" s="36" t="str">
        <x:v>66a5b5172267c6984edd5474ba03dc2fb0da28de72c310ced74feba060f6df17</x:v>
      </x:c>
      <x:c r="I703" s="36" t="n">
        <x:v>1</x:v>
      </x:c>
      <x:c r="J703" s="36" t="str">
        <x:v>Development evidence</x:v>
      </x:c>
      <x:c r="K703" s="36" t="str">
        <x:v>SUPPORTING</x:v>
      </x:c>
      <x:c r="L703" s="36" t="str">
        <x:v>adr, restore, sprint</x:v>
      </x:c>
      <x:c r="M703" s="36" t="str">
        <x:v>Retain read-only; current authority remains 00–34.</x:v>
      </x:c>
      <x:c r="N703" s="36" t="str">
        <x:v>33 risk/continuity context</x:v>
      </x:c>
      <x:c r="O703" s="36" t="str">
        <x:v>10_Development_Records/Sprint_16/Phase_1/Architecture/ADR-0070-PlacementCompatibilityBridge.md</x:v>
      </x:c>
    </x:row>
    <x:row r="704">
      <x:c r="A704" s="27" t="str">
        <x:v>HIST-0700</x:v>
      </x:c>
      <x:c r="B704" s="27" t="str">
        <x:v>10_Development_Records</x:v>
      </x:c>
      <x:c r="C704" s="27" t="str"/>
      <x:c r="D704" s="27" t="str">
        <x:v>Sprint 16</x:v>
      </x:c>
      <x:c r="E704" s="36" t="str">
        <x:v>ADR-0071-DecoupledPresentationFallbacks.md</x:v>
      </x:c>
      <x:c r="F704" s="36" t="str">
        <x:v>MD</x:v>
      </x:c>
      <x:c r="G704" s="54" t="n">
        <x:v>223</x:v>
      </x:c>
      <x:c r="H704" s="36" t="str">
        <x:v>f2e025be2f68b6de2388bd63a6b25549d4e6d111012bc685b034fa120ff9616c</x:v>
      </x:c>
      <x:c r="I704" s="36" t="n">
        <x:v>1</x:v>
      </x:c>
      <x:c r="J704" s="36" t="str">
        <x:v>Development evidence</x:v>
      </x:c>
      <x:c r="K704" s="36" t="str">
        <x:v>SUPPORTING</x:v>
      </x:c>
      <x:c r="L704" s="36" t="str">
        <x:v>adr, sprint</x:v>
      </x:c>
      <x:c r="M704" s="36" t="str">
        <x:v>Retain read-only; current authority remains 00–34.</x:v>
      </x:c>
      <x:c r="N704" s="36" t="str">
        <x:v>33 risk/continuity context</x:v>
      </x:c>
      <x:c r="O704" s="36" t="str">
        <x:v>10_Development_Records/Sprint_16/Phase_1/Architecture/ADR-0071-DecoupledPresentationFallbacks.md</x:v>
      </x:c>
    </x:row>
    <x:row r="705">
      <x:c r="A705" s="27" t="str">
        <x:v>HIST-0701</x:v>
      </x:c>
      <x:c r="B705" s="27" t="str">
        <x:v>10_Development_Records</x:v>
      </x:c>
      <x:c r="C705" s="27" t="str"/>
      <x:c r="D705" s="27" t="str">
        <x:v>Sprint 16</x:v>
      </x:c>
      <x:c r="E705" s="36" t="str">
        <x:v>ADR-0072-SharedMaterialAndPrefabIds.md</x:v>
      </x:c>
      <x:c r="F705" s="36" t="str">
        <x:v>MD</x:v>
      </x:c>
      <x:c r="G705" s="54" t="n">
        <x:v>223</x:v>
      </x:c>
      <x:c r="H705" s="36" t="str">
        <x:v>f32e2b4b274522d03df3c1c08084d86114a19dbe15fa2b3008c217943e2ff11a</x:v>
      </x:c>
      <x:c r="I705" s="36" t="n">
        <x:v>1</x:v>
      </x:c>
      <x:c r="J705" s="36" t="str">
        <x:v>Development evidence</x:v>
      </x:c>
      <x:c r="K705" s="36" t="str">
        <x:v>SUPPORTING</x:v>
      </x:c>
      <x:c r="L705" s="36" t="str">
        <x:v>adr, sprint</x:v>
      </x:c>
      <x:c r="M705" s="36" t="str">
        <x:v>Retain read-only; current authority remains 00–34.</x:v>
      </x:c>
      <x:c r="N705" s="36" t="str">
        <x:v>33 risk/continuity context</x:v>
      </x:c>
      <x:c r="O705" s="36" t="str">
        <x:v>10_Development_Records/Sprint_16/Phase_1/Architecture/ADR-0072-SharedMaterialAndPrefabIds.md</x:v>
      </x:c>
    </x:row>
    <x:row r="706">
      <x:c r="A706" s="27" t="str">
        <x:v>HIST-0702</x:v>
      </x:c>
      <x:c r="B706" s="27" t="str">
        <x:v>10_Development_Records</x:v>
      </x:c>
      <x:c r="C706" s="27" t="str"/>
      <x:c r="D706" s="27" t="str">
        <x:v>Sprint 16</x:v>
      </x:c>
      <x:c r="E706" s="36" t="str">
        <x:v>ADR-0073-CompletedCheckoutSnapshotRecords.md</x:v>
      </x:c>
      <x:c r="F706" s="36" t="str">
        <x:v>MD</x:v>
      </x:c>
      <x:c r="G706" s="54" t="n">
        <x:v>377</x:v>
      </x:c>
      <x:c r="H706" s="36" t="str">
        <x:v>7d401e745e557c63167dae48cd0f4b05b1d08f5c58a2e652b4321925fc35caa7</x:v>
      </x:c>
      <x:c r="I706" s="36" t="n">
        <x:v>1</x:v>
      </x:c>
      <x:c r="J706" s="36" t="str">
        <x:v>Development evidence</x:v>
      </x:c>
      <x:c r="K706" s="36" t="str">
        <x:v>SUPPORTING</x:v>
      </x:c>
      <x:c r="L706" s="36" t="str">
        <x:v>adr, sprint, validation</x:v>
      </x:c>
      <x:c r="M706" s="36" t="str">
        <x:v>Retain read-only; current authority remains 00–34.</x:v>
      </x:c>
      <x:c r="N706" s="36" t="str">
        <x:v>33 risk/continuity context</x:v>
      </x:c>
      <x:c r="O706" s="36" t="str">
        <x:v>10_Development_Records/Sprint_16/Phase_1/Architecture/ADR-0073-CompletedCheckoutSnapshotRecords.md</x:v>
      </x:c>
    </x:row>
    <x:row r="707">
      <x:c r="A707" s="27" t="str">
        <x:v>HIST-0703</x:v>
      </x:c>
      <x:c r="B707" s="27" t="str">
        <x:v>10_Development_Records</x:v>
      </x:c>
      <x:c r="C707" s="27" t="str"/>
      <x:c r="D707" s="27" t="str">
        <x:v>Sprint 16</x:v>
      </x:c>
      <x:c r="E707" s="36" t="str">
        <x:v>S16_P1_Implementation_Record.md</x:v>
      </x:c>
      <x:c r="F707" s="36" t="str">
        <x:v>MD</x:v>
      </x:c>
      <x:c r="G707" s="54" t="n">
        <x:v>819</x:v>
      </x:c>
      <x:c r="H707" s="36" t="str">
        <x:v>3538c025e899624c8dfb10c740bcbc06387f5be41a78a3396a8f5937a5cfc147</x:v>
      </x:c>
      <x:c r="I707" s="36" t="n">
        <x:v>1</x:v>
      </x:c>
      <x:c r="J707" s="36" t="str">
        <x:v>Development evidence</x:v>
      </x:c>
      <x:c r="K707" s="36" t="str">
        <x:v>SUPPORTING</x:v>
      </x:c>
      <x:c r="L707" s="36" t="str">
        <x:v>save, sprint, test, validation</x:v>
      </x:c>
      <x:c r="M707" s="36" t="str">
        <x:v>Retain read-only; current authority remains 00–34.</x:v>
      </x:c>
      <x:c r="N707" s="36" t="str">
        <x:v>33 risk/continuity context</x:v>
      </x:c>
      <x:c r="O707" s="36" t="str">
        <x:v>10_Development_Records/Sprint_16/Phase_1/Documentation/S16_P1_Implementation_Record.md</x:v>
      </x:c>
    </x:row>
    <x:row r="708">
      <x:c r="A708" s="27" t="str">
        <x:v>HIST-0704</x:v>
      </x:c>
      <x:c r="B708" s="27" t="str">
        <x:v>10_Development_Records</x:v>
      </x:c>
      <x:c r="C708" s="27" t="str"/>
      <x:c r="D708" s="27" t="str">
        <x:v>Sprint 16</x:v>
      </x:c>
      <x:c r="E708" s="36" t="str">
        <x:v>S16_P1_PreImplementation_Record.md</x:v>
      </x:c>
      <x:c r="F708" s="36" t="str">
        <x:v>MD</x:v>
      </x:c>
      <x:c r="G708" s="54" t="n">
        <x:v>496</x:v>
      </x:c>
      <x:c r="H708" s="36" t="str">
        <x:v>0d6915434ed6282040553f42f849399d6a8e3380eb4e38a6082ea3d13fba0e9c</x:v>
      </x:c>
      <x:c r="I708" s="36" t="n">
        <x:v>1</x:v>
      </x:c>
      <x:c r="J708" s="36" t="str">
        <x:v>Development evidence</x:v>
      </x:c>
      <x:c r="K708" s="36" t="str">
        <x:v>CONTEXT / PRESERVED</x:v>
      </x:c>
      <x:c r="L708" s="36" t="str">
        <x:v>sprint</x:v>
      </x:c>
      <x:c r="M708" s="36" t="str">
        <x:v>Retain read-only; current authority remains 00–34.</x:v>
      </x:c>
      <x:c r="N708" s="36" t="str">
        <x:v>Preserved context; not mined as normative authority.</x:v>
      </x:c>
      <x:c r="O708" s="36" t="str">
        <x:v>10_Development_Records/Sprint_16/Phase_1/Documentation/S16_P1_PreImplementation_Record.md</x:v>
      </x:c>
    </x:row>
    <x:row r="709">
      <x:c r="A709" s="27" t="str">
        <x:v>HIST-0705</x:v>
      </x:c>
      <x:c r="B709" s="27" t="str">
        <x:v>10_Development_Records</x:v>
      </x:c>
      <x:c r="C709" s="27" t="str"/>
      <x:c r="D709" s="27" t="str">
        <x:v>Sprint 16</x:v>
      </x:c>
      <x:c r="E709" s="36" t="str">
        <x:v>S16_P1_Charter.md</x:v>
      </x:c>
      <x:c r="F709" s="36" t="str">
        <x:v>MD</x:v>
      </x:c>
      <x:c r="G709" s="54" t="n">
        <x:v>874</x:v>
      </x:c>
      <x:c r="H709" s="36" t="str">
        <x:v>4b5190df961a1180ce9fed6ced5fe194e88998f5f65df176bea9104c7bc825dc</x:v>
      </x:c>
      <x:c r="I709" s="36" t="n">
        <x:v>1</x:v>
      </x:c>
      <x:c r="J709" s="36" t="str">
        <x:v>Development evidence</x:v>
      </x:c>
      <x:c r="K709" s="36" t="str">
        <x:v>SUPPORTING</x:v>
      </x:c>
      <x:c r="L709" s="36" t="str">
        <x:v>sprint, validation</x:v>
      </x:c>
      <x:c r="M709" s="36" t="str">
        <x:v>Retain read-only; current authority remains 00–34.</x:v>
      </x:c>
      <x:c r="N709" s="36" t="str">
        <x:v>33 risk/continuity context</x:v>
      </x:c>
      <x:c r="O709" s="36" t="str">
        <x:v>10_Development_Records/Sprint_16/Phase_1/Governance/S16_P1_Charter.md</x:v>
      </x:c>
    </x:row>
    <x:row r="710">
      <x:c r="A710" s="27" t="str">
        <x:v>HIST-0706</x:v>
      </x:c>
      <x:c r="B710" s="27" t="str">
        <x:v>10_Development_Records</x:v>
      </x:c>
      <x:c r="C710" s="27" t="str"/>
      <x:c r="D710" s="27" t="str">
        <x:v>Sprint 16</x:v>
      </x:c>
      <x:c r="E710" s="36" t="str">
        <x:v>S16_P1_Current_Status.md</x:v>
      </x:c>
      <x:c r="F710" s="36" t="str">
        <x:v>MD</x:v>
      </x:c>
      <x:c r="G710" s="54" t="n">
        <x:v>569</x:v>
      </x:c>
      <x:c r="H710" s="36" t="str">
        <x:v>6494de60296d252da3368dab5a5850938c4a5c219d414f80bde328379f1c7f3b</x:v>
      </x:c>
      <x:c r="I710" s="36" t="n">
        <x:v>1</x:v>
      </x:c>
      <x:c r="J710" s="36" t="str">
        <x:v>Development evidence</x:v>
      </x:c>
      <x:c r="K710" s="36" t="str">
        <x:v>DIRECT</x:v>
      </x:c>
      <x:c r="L710" s="36" t="str">
        <x:v>build, current_status, sprint, test, validation</x:v>
      </x:c>
      <x:c r="M710" s="36" t="str">
        <x:v>Retain read-only; current authority remains 00–34.</x:v>
      </x:c>
      <x:c r="N710" s="36" t="str">
        <x:v>33 risk/continuity context</x:v>
      </x:c>
      <x:c r="O710" s="36" t="str">
        <x:v>10_Development_Records/Sprint_16/Phase_1/Governance/S16_P1_Current_Status.md</x:v>
      </x:c>
    </x:row>
    <x:row r="711">
      <x:c r="A711" s="27" t="str">
        <x:v>HIST-0707</x:v>
      </x:c>
      <x:c r="B711" s="27" t="str">
        <x:v>10_Development_Records</x:v>
      </x:c>
      <x:c r="C711" s="27" t="str"/>
      <x:c r="D711" s="27" t="str">
        <x:v>Sprint 16</x:v>
      </x:c>
      <x:c r="E711" s="36" t="str">
        <x:v>S16_P1_Acceptance_Matrix.md</x:v>
      </x:c>
      <x:c r="F711" s="36" t="str">
        <x:v>MD</x:v>
      </x:c>
      <x:c r="G711" s="54" t="n">
        <x:v>1130</x:v>
      </x:c>
      <x:c r="H711" s="36" t="str">
        <x:v>d6d2ca42287be0fced9c3d9da09df5db9729442157035a9a711e0ddbb9d91337</x:v>
      </x:c>
      <x:c r="I711" s="36" t="n">
        <x:v>1</x:v>
      </x:c>
      <x:c r="J711" s="36" t="str">
        <x:v>Development evidence</x:v>
      </x:c>
      <x:c r="K711" s="36" t="str">
        <x:v>DIRECT</x:v>
      </x:c>
      <x:c r="L711" s="36" t="str">
        <x:v>acceptance, build, qa, restore, save, sprint</x:v>
      </x:c>
      <x:c r="M711" s="36" t="str">
        <x:v>Retain read-only; current authority remains 00–34.</x:v>
      </x:c>
      <x:c r="N711" s="36" t="str">
        <x:v>33 risk/continuity context</x:v>
      </x:c>
      <x:c r="O711" s="36" t="str">
        <x:v>10_Development_Records/Sprint_16/Phase_1/QA/S16_P1_Acceptance_Matrix.md</x:v>
      </x:c>
    </x:row>
    <x:row r="712">
      <x:c r="A712" s="27" t="str">
        <x:v>HIST-0708</x:v>
      </x:c>
      <x:c r="B712" s="27" t="str">
        <x:v>10_Development_Records</x:v>
      </x:c>
      <x:c r="C712" s="27" t="str"/>
      <x:c r="D712" s="27" t="str">
        <x:v>Sprint 16</x:v>
      </x:c>
      <x:c r="E712" s="36" t="str">
        <x:v>S16_P1_QA_Execution_Record.md</x:v>
      </x:c>
      <x:c r="F712" s="36" t="str">
        <x:v>MD</x:v>
      </x:c>
      <x:c r="G712" s="54" t="n">
        <x:v>443</x:v>
      </x:c>
      <x:c r="H712" s="36" t="str">
        <x:v>a044ba4e7ebb4af622c74397e2a8f0ff6e59ad7e9c1bf89ddb62f5b06bcacec7</x:v>
      </x:c>
      <x:c r="I712" s="36" t="n">
        <x:v>1</x:v>
      </x:c>
      <x:c r="J712" s="36" t="str">
        <x:v>Development evidence</x:v>
      </x:c>
      <x:c r="K712" s="36" t="str">
        <x:v>SUPPORTING</x:v>
      </x:c>
      <x:c r="L712" s="36" t="str">
        <x:v>build, qa, sprint</x:v>
      </x:c>
      <x:c r="M712" s="36" t="str">
        <x:v>Retain read-only; current authority remains 00–34.</x:v>
      </x:c>
      <x:c r="N712" s="36" t="str">
        <x:v>33 risk/continuity context</x:v>
      </x:c>
      <x:c r="O712" s="36" t="str">
        <x:v>10_Development_Records/Sprint_16/Phase_1/QA/S16_P1_QA_Execution_Record.md</x:v>
      </x:c>
    </x:row>
    <x:row r="713">
      <x:c r="A713" s="27" t="str">
        <x:v>HIST-0709</x:v>
      </x:c>
      <x:c r="B713" s="27" t="str">
        <x:v>10_Development_Records</x:v>
      </x:c>
      <x:c r="C713" s="27" t="str"/>
      <x:c r="D713" s="27" t="str">
        <x:v>Sprint 16</x:v>
      </x:c>
      <x:c r="E713" s="36" t="str">
        <x:v>S16_P1_Test_Plan.md</x:v>
      </x:c>
      <x:c r="F713" s="36" t="str">
        <x:v>MD</x:v>
      </x:c>
      <x:c r="G713" s="54" t="n">
        <x:v>836</x:v>
      </x:c>
      <x:c r="H713" s="36" t="str">
        <x:v>ff35438f414f45a152e04532664e348d0fed9bae380c9dc70bf520af5c7c04c8</x:v>
      </x:c>
      <x:c r="I713" s="36" t="n">
        <x:v>1</x:v>
      </x:c>
      <x:c r="J713" s="36" t="str">
        <x:v>Development evidence</x:v>
      </x:c>
      <x:c r="K713" s="36" t="str">
        <x:v>DIRECT</x:v>
      </x:c>
      <x:c r="L713" s="36" t="str">
        <x:v>backup, build, qa, sprint, test</x:v>
      </x:c>
      <x:c r="M713" s="36" t="str">
        <x:v>Retain read-only; current authority remains 00–34.</x:v>
      </x:c>
      <x:c r="N713" s="36" t="str">
        <x:v>33 risk/continuity context</x:v>
      </x:c>
      <x:c r="O713" s="36" t="str">
        <x:v>10_Development_Records/Sprint_16/Phase_1/QA/S16_P1_Test_Plan.md</x:v>
      </x:c>
    </x:row>
    <x:row r="714">
      <x:c r="A714" s="27" t="str">
        <x:v>HIST-0710</x:v>
      </x:c>
      <x:c r="B714" s="27" t="str">
        <x:v>10_Development_Records</x:v>
      </x:c>
      <x:c r="C714" s="27" t="str"/>
      <x:c r="D714" s="27" t="str">
        <x:v>Sprint 16</x:v>
      </x:c>
      <x:c r="E714" s="36" t="str">
        <x:v>S16_P1_Validation_Checklist.md</x:v>
      </x:c>
      <x:c r="F714" s="36" t="str">
        <x:v>MD</x:v>
      </x:c>
      <x:c r="G714" s="54" t="n">
        <x:v>646</x:v>
      </x:c>
      <x:c r="H714" s="36" t="str">
        <x:v>ac85fc7fe9c1e905ca5ea2eb245aa016acf8c611b2a3fe1a10fb3d0740e0198b</x:v>
      </x:c>
      <x:c r="I714" s="36" t="n">
        <x:v>1</x:v>
      </x:c>
      <x:c r="J714" s="36" t="str">
        <x:v>Development evidence</x:v>
      </x:c>
      <x:c r="K714" s="36" t="str">
        <x:v>DIRECT</x:v>
      </x:c>
      <x:c r="L714" s="36" t="str">
        <x:v>build, qa, save, sprint, validation</x:v>
      </x:c>
      <x:c r="M714" s="36" t="str">
        <x:v>Retain read-only; current authority remains 00–34.</x:v>
      </x:c>
      <x:c r="N714" s="36" t="str">
        <x:v>33 risk/continuity context</x:v>
      </x:c>
      <x:c r="O714" s="36" t="str">
        <x:v>10_Development_Records/Sprint_16/Phase_1/QA/S16_P1_Validation_Checklist.md</x:v>
      </x:c>
    </x:row>
    <x:row r="715">
      <x:c r="A715" s="27" t="str">
        <x:v>HIST-0711</x:v>
      </x:c>
      <x:c r="B715" s="27" t="str">
        <x:v>10_Development_Records</x:v>
      </x:c>
      <x:c r="C715" s="27" t="str"/>
      <x:c r="D715" s="27" t="str">
        <x:v>Sprint 16</x:v>
      </x:c>
      <x:c r="E715" s="36" t="str">
        <x:v>S16_P1_Asset_Inventory.csv</x:v>
      </x:c>
      <x:c r="F715" s="36" t="str">
        <x:v>CSV</x:v>
      </x:c>
      <x:c r="G715" s="54" t="n">
        <x:v>6002</x:v>
      </x:c>
      <x:c r="H715" s="36" t="str">
        <x:v>c91f4676f6c8b07c075fda4bf3563530380a5e35770d9f68b5497b77cf99641b</x:v>
      </x:c>
      <x:c r="I715" s="36" t="n">
        <x:v>1</x:v>
      </x:c>
      <x:c r="J715" s="36" t="str">
        <x:v>Development evidence</x:v>
      </x:c>
      <x:c r="K715" s="36" t="str">
        <x:v>CONTEXT / PRESERVED</x:v>
      </x:c>
      <x:c r="L715" s="36" t="str">
        <x:v>sprint</x:v>
      </x:c>
      <x:c r="M715" s="36" t="str">
        <x:v>Retain read-only; current authority remains 00–34.</x:v>
      </x:c>
      <x:c r="N715" s="36" t="str">
        <x:v>Preserved context; not mined as normative authority.</x:v>
      </x:c>
      <x:c r="O715" s="36" t="str">
        <x:v>10_Development_Records/Sprint_16/Phase_1/Traceability/S16_P1_Asset_Inventory.csv</x:v>
      </x:c>
    </x:row>
    <x:row r="716">
      <x:c r="A716" s="27" t="str">
        <x:v>HIST-0712</x:v>
      </x:c>
      <x:c r="B716" s="27" t="str">
        <x:v>10_Development_Records</x:v>
      </x:c>
      <x:c r="C716" s="27" t="str"/>
      <x:c r="D716" s="27" t="str">
        <x:v>Sprint 16</x:v>
      </x:c>
      <x:c r="E716" s="36" t="str">
        <x:v>S16_P1_Traceability.csv</x:v>
      </x:c>
      <x:c r="F716" s="36" t="str">
        <x:v>CSV</x:v>
      </x:c>
      <x:c r="G716" s="54" t="n">
        <x:v>1635</x:v>
      </x:c>
      <x:c r="H716" s="36" t="str">
        <x:v>d1e5ada71ed4d81b6a067aa05ea35626d5156967a1f8b212da829be32a4d318d</x:v>
      </x:c>
      <x:c r="I716" s="36" t="n">
        <x:v>1</x:v>
      </x:c>
      <x:c r="J716" s="36" t="str">
        <x:v>Development evidence</x:v>
      </x:c>
      <x:c r="K716" s="36" t="str">
        <x:v>SUPPORTING</x:v>
      </x:c>
      <x:c r="L716" s="36" t="str">
        <x:v>build, qa, sprint</x:v>
      </x:c>
      <x:c r="M716" s="36" t="str">
        <x:v>Retain read-only; current authority remains 00–34.</x:v>
      </x:c>
      <x:c r="N716" s="36" t="str">
        <x:v>33 risk/continuity context</x:v>
      </x:c>
      <x:c r="O716" s="36" t="str">
        <x:v>10_Development_Records/Sprint_16/Phase_1/Traceability/S16_P1_Traceability.csv</x:v>
      </x:c>
    </x:row>
    <x:row r="717">
      <x:c r="A717" s="27" t="str">
        <x:v>HIST-0713</x:v>
      </x:c>
      <x:c r="B717" s="27" t="str">
        <x:v>10_Development_Records</x:v>
      </x:c>
      <x:c r="C717" s="27" t="str"/>
      <x:c r="D717" s="27" t="str">
        <x:v>Sprint 00</x:v>
      </x:c>
      <x:c r="E717" s="36" t="str">
        <x:v>01_S0.1_Instalacion_Toolchain.md</x:v>
      </x:c>
      <x:c r="F717" s="36" t="str">
        <x:v>MD</x:v>
      </x:c>
      <x:c r="G717" s="54" t="n">
        <x:v>3994</x:v>
      </x:c>
      <x:c r="H717" s="36" t="str">
        <x:v>c549c91573a9064d823f8352c05d9651b3cc17c438e64dce1ebaf3159f7eb68c</x:v>
      </x:c>
      <x:c r="I717" s="36" t="n">
        <x:v>1</x:v>
      </x:c>
      <x:c r="J717" s="36" t="str">
        <x:v>Development evidence</x:v>
      </x:c>
      <x:c r="K717" s="36" t="str">
        <x:v>SUPPORTING</x:v>
      </x:c>
      <x:c r="L717" s="36" t="str">
        <x:v>build, license, sprint</x:v>
      </x:c>
      <x:c r="M717" s="36" t="str">
        <x:v>Retain read-only; current authority remains 00–34.</x:v>
      </x:c>
      <x:c r="N717" s="36" t="str">
        <x:v>33 risk/continuity context</x:v>
      </x:c>
      <x:c r="O717" s="36" t="str">
        <x:v>10_Development_Records/Sprints/Sprint_00/01_S0.1_Instalacion_Toolchain.md</x:v>
      </x:c>
    </x:row>
    <x:row r="718">
      <x:c r="A718" s="27" t="str">
        <x:v>HIST-0714</x:v>
      </x:c>
      <x:c r="B718" s="27" t="str">
        <x:v>10_Development_Records</x:v>
      </x:c>
      <x:c r="C718" s="27" t="str"/>
      <x:c r="D718" s="27" t="str">
        <x:v>Sprint 00</x:v>
      </x:c>
      <x:c r="E718" s="36" t="str">
        <x:v>02_S0.2_Creacion_Proyecto_Unity.md</x:v>
      </x:c>
      <x:c r="F718" s="36" t="str">
        <x:v>MD</x:v>
      </x:c>
      <x:c r="G718" s="54" t="n">
        <x:v>4815</x:v>
      </x:c>
      <x:c r="H718" s="36" t="str">
        <x:v>03e800f7e619b54c70f2802ce7cd72e317cd6a3dad08286dcaf82bed5c485cfa</x:v>
      </x:c>
      <x:c r="I718" s="36" t="n">
        <x:v>1</x:v>
      </x:c>
      <x:c r="J718" s="36" t="str">
        <x:v>Development evidence</x:v>
      </x:c>
      <x:c r="K718" s="36" t="str">
        <x:v>SUPPORTING</x:v>
      </x:c>
      <x:c r="L718" s="36" t="str">
        <x:v>save, sprint</x:v>
      </x:c>
      <x:c r="M718" s="36" t="str">
        <x:v>Retain read-only; current authority remains 00–34.</x:v>
      </x:c>
      <x:c r="N718" s="36" t="str">
        <x:v>33 risk/continuity context</x:v>
      </x:c>
      <x:c r="O718" s="36" t="str">
        <x:v>10_Development_Records/Sprints/Sprint_00/02_S0.2_Creacion_Proyecto_Unity.md</x:v>
      </x:c>
    </x:row>
    <x:row r="719">
      <x:c r="A719" s="27" t="str">
        <x:v>HIST-0715</x:v>
      </x:c>
      <x:c r="B719" s="27" t="str">
        <x:v>10_Development_Records</x:v>
      </x:c>
      <x:c r="C719" s="27" t="str"/>
      <x:c r="D719" s="27" t="str">
        <x:v>Sprint 00</x:v>
      </x:c>
      <x:c r="E719" s="36" t="str">
        <x:v>03_S0.3_Linea_Base_Paquetes.md</x:v>
      </x:c>
      <x:c r="F719" s="36" t="str">
        <x:v>MD</x:v>
      </x:c>
      <x:c r="G719" s="54" t="n">
        <x:v>5607</x:v>
      </x:c>
      <x:c r="H719" s="36" t="str">
        <x:v>1b6b60735014253bc255a02fa21a137ea9c38d8c48c3940ce42b38056f7cec16</x:v>
      </x:c>
      <x:c r="I719" s="36" t="n">
        <x:v>1</x:v>
      </x:c>
      <x:c r="J719" s="36" t="str">
        <x:v>Development evidence</x:v>
      </x:c>
      <x:c r="K719" s="36" t="str">
        <x:v>DIRECT</x:v>
      </x:c>
      <x:c r="L719" s="36" t="str">
        <x:v>audit, build, dependencia, manifest, release, save, sprint, steam, test</x:v>
      </x:c>
      <x:c r="M719" s="36" t="str">
        <x:v>Retain read-only; current authority remains 00–34.</x:v>
      </x:c>
      <x:c r="N719" s="36" t="str">
        <x:v>33 risk/continuity context</x:v>
      </x:c>
      <x:c r="O719" s="36" t="str">
        <x:v>10_Development_Records/Sprints/Sprint_00/03_S0.3_Linea_Base_Paquetes.md</x:v>
      </x:c>
    </x:row>
    <x:row r="720">
      <x:c r="A720" s="27" t="str">
        <x:v>HIST-0716</x:v>
      </x:c>
      <x:c r="B720" s="27" t="str">
        <x:v>10_Development_Records</x:v>
      </x:c>
      <x:c r="C720" s="27" t="str"/>
      <x:c r="D720" s="27" t="str">
        <x:v>Sprint 00</x:v>
      </x:c>
      <x:c r="E720" s="36" t="str">
        <x:v>04_S0.1-S0.3_Procedimiento_Validacion.md</x:v>
      </x:c>
      <x:c r="F720" s="36" t="str">
        <x:v>MD</x:v>
      </x:c>
      <x:c r="G720" s="54" t="n">
        <x:v>2391</x:v>
      </x:c>
      <x:c r="H720" s="36" t="str">
        <x:v>a1770e7d761bba19596ebc4f4ada5b91df3dc2aaa29118a74dece52f3b88ee1d</x:v>
      </x:c>
      <x:c r="I720" s="36" t="n">
        <x:v>1</x:v>
      </x:c>
      <x:c r="J720" s="36" t="str">
        <x:v>Development evidence</x:v>
      </x:c>
      <x:c r="K720" s="36" t="str">
        <x:v>DIRECT</x:v>
      </x:c>
      <x:c r="L720" s="36" t="str">
        <x:v>build, manifest, sprint, test, validation</x:v>
      </x:c>
      <x:c r="M720" s="36" t="str">
        <x:v>Retain read-only; current authority remains 00–34.</x:v>
      </x:c>
      <x:c r="N720" s="36" t="str">
        <x:v>33 risk/continuity context</x:v>
      </x:c>
      <x:c r="O720" s="36" t="str">
        <x:v>10_Development_Records/Sprints/Sprint_00/04_S0.1-S0.3_Procedimiento_Validacion.md</x:v>
      </x:c>
    </x:row>
    <x:row r="721">
      <x:c r="A721" s="27" t="str">
        <x:v>HIST-0717</x:v>
      </x:c>
      <x:c r="B721" s="27" t="str">
        <x:v>10_Development_Records</x:v>
      </x:c>
      <x:c r="C721" s="27" t="str"/>
      <x:c r="D721" s="27" t="str">
        <x:v>Sprint 00</x:v>
      </x:c>
      <x:c r="E721" s="36" t="str">
        <x:v>05_Fuentes_Oficiales.md</x:v>
      </x:c>
      <x:c r="F721" s="36" t="str">
        <x:v>MD</x:v>
      </x:c>
      <x:c r="G721" s="54" t="n">
        <x:v>1292</x:v>
      </x:c>
      <x:c r="H721" s="36" t="str">
        <x:v>06e96070a5a3c395b3ec5fa59e61ccc6982035214e274c5079baab3831960c66</x:v>
      </x:c>
      <x:c r="I721" s="36" t="n">
        <x:v>1</x:v>
      </x:c>
      <x:c r="J721" s="36" t="str">
        <x:v>Development evidence</x:v>
      </x:c>
      <x:c r="K721" s="36" t="str">
        <x:v>SUPPORTING</x:v>
      </x:c>
      <x:c r="L721" s="36" t="str">
        <x:v>release, sprint, test</x:v>
      </x:c>
      <x:c r="M721" s="36" t="str">
        <x:v>Retain read-only; current authority remains 00–34.</x:v>
      </x:c>
      <x:c r="N721" s="36" t="str">
        <x:v>33 risk/continuity context</x:v>
      </x:c>
      <x:c r="O721" s="36" t="str">
        <x:v>10_Development_Records/Sprints/Sprint_00/05_Fuentes_Oficiales.md</x:v>
      </x:c>
    </x:row>
    <x:row r="722">
      <x:c r="A722" s="27" t="str">
        <x:v>HIST-0718</x:v>
      </x:c>
      <x:c r="B722" s="27" t="str">
        <x:v>10_Development_Records</x:v>
      </x:c>
      <x:c r="C722" s="27" t="str"/>
      <x:c r="D722" s="27" t="str">
        <x:v>Sprint 00</x:v>
      </x:c>
      <x:c r="E722" s="36" t="str">
        <x:v>DevelopmentEnvironment_Record.md</x:v>
      </x:c>
      <x:c r="F722" s="36" t="str">
        <x:v>MD</x:v>
      </x:c>
      <x:c r="G722" s="54" t="n">
        <x:v>1088</x:v>
      </x:c>
      <x:c r="H722" s="36" t="str">
        <x:v>812e5b57d55ba0e6d2b644be4a3bc20354dfdacb9df576bd94916142eeec3432</x:v>
      </x:c>
      <x:c r="I722" s="36" t="n">
        <x:v>1</x:v>
      </x:c>
      <x:c r="J722" s="36" t="str">
        <x:v>Development evidence</x:v>
      </x:c>
      <x:c r="K722" s="36" t="str">
        <x:v>SUPPORTING</x:v>
      </x:c>
      <x:c r="L722" s="36" t="str">
        <x:v>adr, build, sprint</x:v>
      </x:c>
      <x:c r="M722" s="36" t="str">
        <x:v>Retain read-only; current authority remains 00–34.</x:v>
      </x:c>
      <x:c r="N722" s="36" t="str">
        <x:v>33 risk/continuity context</x:v>
      </x:c>
      <x:c r="O722" s="36" t="str">
        <x:v>10_Development_Records/Sprints/Sprint_00/DevelopmentEnvironment_Record.md</x:v>
      </x:c>
    </x:row>
    <x:row r="723">
      <x:c r="A723" s="27" t="str">
        <x:v>HIST-0719</x:v>
      </x:c>
      <x:c r="B723" s="27" t="str">
        <x:v>10_Development_Records</x:v>
      </x:c>
      <x:c r="C723" s="27" t="str"/>
      <x:c r="D723" s="27" t="str">
        <x:v>Sprint 00</x:v>
      </x:c>
      <x:c r="E723" s="36" t="str">
        <x:v>S0.1-S0.3_BaselinePolicy.json</x:v>
      </x:c>
      <x:c r="F723" s="36" t="str">
        <x:v>JSON</x:v>
      </x:c>
      <x:c r="G723" s="54" t="n">
        <x:v>692</x:v>
      </x:c>
      <x:c r="H723" s="36" t="str">
        <x:v>7a9276b289431e1037e6bbda597af0925143f420bdac80e4de7952952c201c0c</x:v>
      </x:c>
      <x:c r="I723" s="36" t="n">
        <x:v>1</x:v>
      </x:c>
      <x:c r="J723" s="36" t="str">
        <x:v>Development evidence</x:v>
      </x:c>
      <x:c r="K723" s="36" t="str">
        <x:v>CONTEXT / PRESERVED</x:v>
      </x:c>
      <x:c r="L723" s="36" t="str">
        <x:v>sprint</x:v>
      </x:c>
      <x:c r="M723" s="36" t="str">
        <x:v>Retain read-only; current authority remains 00–34.</x:v>
      </x:c>
      <x:c r="N723" s="36" t="str">
        <x:v>Preserved context; not mined as normative authority.</x:v>
      </x:c>
      <x:c r="O723" s="36" t="str">
        <x:v>10_Development_Records/Sprints/Sprint_00/S0.1-S0.3_BaselinePolicy.json</x:v>
      </x:c>
    </x:row>
    <x:row r="724">
      <x:c r="A724" s="27" t="str">
        <x:v>HIST-0720</x:v>
      </x:c>
      <x:c r="B724" s="27" t="str">
        <x:v>10_Development_Records</x:v>
      </x:c>
      <x:c r="C724" s="27" t="str"/>
      <x:c r="D724" s="27" t="str">
        <x:v>Sprint 00</x:v>
      </x:c>
      <x:c r="E724" s="36" t="str">
        <x:v>S0.1-S0.4_Closure_Record.md</x:v>
      </x:c>
      <x:c r="F724" s="36" t="str">
        <x:v>MD</x:v>
      </x:c>
      <x:c r="G724" s="54" t="n">
        <x:v>1536</x:v>
      </x:c>
      <x:c r="H724" s="36" t="str">
        <x:v>0a89dac0e8a1b802ff1224ba09d7bebdc436a03864de5ba6dca45e8ce989db78</x:v>
      </x:c>
      <x:c r="I724" s="36" t="n">
        <x:v>1</x:v>
      </x:c>
      <x:c r="J724" s="36" t="str">
        <x:v>Development evidence</x:v>
      </x:c>
      <x:c r="K724" s="36" t="str">
        <x:v>DIRECT</x:v>
      </x:c>
      <x:c r="L724" s="36" t="str">
        <x:v>build, closure, manifest, sprint, steam, test</x:v>
      </x:c>
      <x:c r="M724" s="36" t="str">
        <x:v>Retain read-only; current authority remains 00–34.</x:v>
      </x:c>
      <x:c r="N724" s="36" t="str">
        <x:v>33 risk/continuity context</x:v>
      </x:c>
      <x:c r="O724" s="36" t="str">
        <x:v>10_Development_Records/Sprints/Sprint_00/S0.1-S0.4_Closure_Record.md</x:v>
      </x:c>
    </x:row>
    <x:row r="725">
      <x:c r="A725" s="27" t="str">
        <x:v>HIST-0721</x:v>
      </x:c>
      <x:c r="B725" s="27" t="str">
        <x:v>10_Development_Records</x:v>
      </x:c>
      <x:c r="C725" s="27" t="str"/>
      <x:c r="D725" s="27" t="str">
        <x:v>Sprint 00</x:v>
      </x:c>
      <x:c r="E725" s="36" t="str">
        <x:v>S0.10_Applied_Changes_Report.md</x:v>
      </x:c>
      <x:c r="F725" s="36" t="str">
        <x:v>MD</x:v>
      </x:c>
      <x:c r="G725" s="54" t="n">
        <x:v>1346</x:v>
      </x:c>
      <x:c r="H725" s="36" t="str">
        <x:v>45526d23c8ff676a2f472d3422f97cc9a9cf51893d2cdb6c7b9fe0d29e8cd717</x:v>
      </x:c>
      <x:c r="I725" s="36" t="n">
        <x:v>2</x:v>
      </x:c>
      <x:c r="J725" s="36" t="str">
        <x:v>Development evidence</x:v>
      </x:c>
      <x:c r="K725" s="36" t="str">
        <x:v>SUPPORTING</x:v>
      </x:c>
      <x:c r="L725" s="36" t="str">
        <x:v>backup, build, sprint, test</x:v>
      </x:c>
      <x:c r="M725" s="36" t="str">
        <x:v>Retain read-only; current authority remains 00–34.</x:v>
      </x:c>
      <x:c r="N725" s="36" t="str">
        <x:v>33 risk/continuity context</x:v>
      </x:c>
      <x:c r="O725" s="36" t="str">
        <x:v>10_Development_Records/Sprints/Sprint_00/S0.10_Applied_Changes_Report.md</x:v>
      </x:c>
    </x:row>
    <x:row r="726">
      <x:c r="A726" s="27" t="str">
        <x:v>HIST-0722</x:v>
      </x:c>
      <x:c r="B726" s="27" t="str">
        <x:v>10_Development_Records</x:v>
      </x:c>
      <x:c r="C726" s="27" t="str"/>
      <x:c r="D726" s="27" t="str">
        <x:v>Sprint 00</x:v>
      </x:c>
      <x:c r="E726" s="36" t="str">
        <x:v>S0.10_Sprint_Closure.md</x:v>
      </x:c>
      <x:c r="F726" s="36" t="str">
        <x:v>MD</x:v>
      </x:c>
      <x:c r="G726" s="54" t="n">
        <x:v>1233</x:v>
      </x:c>
      <x:c r="H726" s="36" t="str">
        <x:v>9f9d70fae2a2197c724f273e1279b1589c19641519e2795bda3ad32e954b5556</x:v>
      </x:c>
      <x:c r="I726" s="36" t="n">
        <x:v>2</x:v>
      </x:c>
      <x:c r="J726" s="36" t="str">
        <x:v>Development evidence</x:v>
      </x:c>
      <x:c r="K726" s="36" t="str">
        <x:v>DIRECT</x:v>
      </x:c>
      <x:c r="L726" s="36" t="str">
        <x:v>adr, audit, build, closure, sprint, test</x:v>
      </x:c>
      <x:c r="M726" s="36" t="str">
        <x:v>Retain read-only; current authority remains 00–34.</x:v>
      </x:c>
      <x:c r="N726" s="36" t="str">
        <x:v>33 risk/continuity context</x:v>
      </x:c>
      <x:c r="O726" s="36" t="str">
        <x:v>10_Development_Records/Sprints/Sprint_00/S0.10_Sprint_Closure.md</x:v>
      </x:c>
    </x:row>
    <x:row r="727">
      <x:c r="A727" s="27" t="str">
        <x:v>HIST-0723</x:v>
      </x:c>
      <x:c r="B727" s="27" t="str">
        <x:v>10_Development_Records</x:v>
      </x:c>
      <x:c r="C727" s="27" t="str"/>
      <x:c r="D727" s="27" t="str">
        <x:v>Sprint 00</x:v>
      </x:c>
      <x:c r="E727" s="36" t="str">
        <x:v>S0.10_Validation_Checklist.md</x:v>
      </x:c>
      <x:c r="F727" s="36" t="str">
        <x:v>MD</x:v>
      </x:c>
      <x:c r="G727" s="54" t="n">
        <x:v>1121</x:v>
      </x:c>
      <x:c r="H727" s="36" t="str">
        <x:v>292c90a2509bf4000f78d77cba56b38740a72e8bc5c3b99c53a4de14e6fb1279</x:v>
      </x:c>
      <x:c r="I727" s="36" t="n">
        <x:v>2</x:v>
      </x:c>
      <x:c r="J727" s="36" t="str">
        <x:v>Development evidence</x:v>
      </x:c>
      <x:c r="K727" s="36" t="str">
        <x:v>SUPPORTING</x:v>
      </x:c>
      <x:c r="L727" s="36" t="str">
        <x:v>build, sprint, validation</x:v>
      </x:c>
      <x:c r="M727" s="36" t="str">
        <x:v>Retain read-only; current authority remains 00–34.</x:v>
      </x:c>
      <x:c r="N727" s="36" t="str">
        <x:v>33 risk/continuity context</x:v>
      </x:c>
      <x:c r="O727" s="36" t="str">
        <x:v>10_Development_Records/Sprints/Sprint_00/S0.10_Validation_Checklist.md</x:v>
      </x:c>
    </x:row>
    <x:row r="728">
      <x:c r="A728" s="27" t="str">
        <x:v>HIST-0724</x:v>
      </x:c>
      <x:c r="B728" s="27" t="str">
        <x:v>10_Development_Records</x:v>
      </x:c>
      <x:c r="C728" s="27" t="str"/>
      <x:c r="D728" s="27" t="str">
        <x:v>Sprint 00</x:v>
      </x:c>
      <x:c r="E728" s="36" t="str">
        <x:v>S0.5_Project_and_Documentation_Structure.md</x:v>
      </x:c>
      <x:c r="F728" s="36" t="str">
        <x:v>MD</x:v>
      </x:c>
      <x:c r="G728" s="54" t="n">
        <x:v>1845</x:v>
      </x:c>
      <x:c r="H728" s="36" t="str">
        <x:v>97940a234cc4e0a3fca3ed5b9ba593fd75e2abdb050fc88ca2992c2068a43f6d</x:v>
      </x:c>
      <x:c r="I728" s="36" t="n">
        <x:v>1</x:v>
      </x:c>
      <x:c r="J728" s="36" t="str">
        <x:v>Development evidence</x:v>
      </x:c>
      <x:c r="K728" s="36" t="str">
        <x:v>SUPPORTING</x:v>
      </x:c>
      <x:c r="L728" s="36" t="str">
        <x:v>sprint, test</x:v>
      </x:c>
      <x:c r="M728" s="36" t="str">
        <x:v>Retain read-only; current authority remains 00–34.</x:v>
      </x:c>
      <x:c r="N728" s="36" t="str">
        <x:v>33 risk/continuity context</x:v>
      </x:c>
      <x:c r="O728" s="36" t="str">
        <x:v>10_Development_Records/Sprints/Sprint_00/S0.5_Project_and_Documentation_Structure.md</x:v>
      </x:c>
    </x:row>
    <x:row r="729">
      <x:c r="A729" s="27" t="str">
        <x:v>HIST-0725</x:v>
      </x:c>
      <x:c r="B729" s="27" t="str">
        <x:v>10_Development_Records</x:v>
      </x:c>
      <x:c r="C729" s="27" t="str"/>
      <x:c r="D729" s="27" t="str">
        <x:v>Sprint 00</x:v>
      </x:c>
      <x:c r="E729" s="36" t="str">
        <x:v>S0.6_Assembly_Definitions.md</x:v>
      </x:c>
      <x:c r="F729" s="36" t="str">
        <x:v>MD</x:v>
      </x:c>
      <x:c r="G729" s="54" t="n">
        <x:v>1847</x:v>
      </x:c>
      <x:c r="H729" s="36" t="str">
        <x:v>8d82f56f02a46b23f1033f7f7f4a7ab3c66e5e37c196cc4dbcc1d6fcf34a92c4</x:v>
      </x:c>
      <x:c r="I729" s="36" t="n">
        <x:v>1</x:v>
      </x:c>
      <x:c r="J729" s="36" t="str">
        <x:v>Development evidence</x:v>
      </x:c>
      <x:c r="K729" s="36" t="str">
        <x:v>SUPPORTING</x:v>
      </x:c>
      <x:c r="L729" s="36" t="str">
        <x:v>dependencia, sprint, test</x:v>
      </x:c>
      <x:c r="M729" s="36" t="str">
        <x:v>Retain read-only; current authority remains 00–34.</x:v>
      </x:c>
      <x:c r="N729" s="36" t="str">
        <x:v>33 risk/continuity context</x:v>
      </x:c>
      <x:c r="O729" s="36" t="str">
        <x:v>10_Development_Records/Sprints/Sprint_00/S0.6_Assembly_Definitions.md</x:v>
      </x:c>
    </x:row>
    <x:row r="730">
      <x:c r="A730" s="27" t="str">
        <x:v>HIST-0726</x:v>
      </x:c>
      <x:c r="B730" s="27" t="str">
        <x:v>10_Development_Records</x:v>
      </x:c>
      <x:c r="C730" s="27" t="str"/>
      <x:c r="D730" s="27" t="str">
        <x:v>Sprint 00</x:v>
      </x:c>
      <x:c r="E730" s="36" t="str">
        <x:v>S0.6_Validation_Checklist.md</x:v>
      </x:c>
      <x:c r="F730" s="36" t="str">
        <x:v>MD</x:v>
      </x:c>
      <x:c r="G730" s="54" t="n">
        <x:v>1317</x:v>
      </x:c>
      <x:c r="H730" s="36" t="str">
        <x:v>440f314d65f488357e83bc0d0811c25c54a58dde7905289feb791382f81c1907</x:v>
      </x:c>
      <x:c r="I730" s="36" t="n">
        <x:v>1</x:v>
      </x:c>
      <x:c r="J730" s="36" t="str">
        <x:v>Development evidence</x:v>
      </x:c>
      <x:c r="K730" s="36" t="str">
        <x:v>SUPPORTING</x:v>
      </x:c>
      <x:c r="L730" s="36" t="str">
        <x:v>sprint, test, validation</x:v>
      </x:c>
      <x:c r="M730" s="36" t="str">
        <x:v>Retain read-only; current authority remains 00–34.</x:v>
      </x:c>
      <x:c r="N730" s="36" t="str">
        <x:v>33 risk/continuity context</x:v>
      </x:c>
      <x:c r="O730" s="36" t="str">
        <x:v>10_Development_Records/Sprints/Sprint_00/S0.6_Validation_Checklist.md</x:v>
      </x:c>
    </x:row>
    <x:row r="731">
      <x:c r="A731" s="27" t="str">
        <x:v>HIST-0727</x:v>
      </x:c>
      <x:c r="B731" s="27" t="str">
        <x:v>10_Development_Records</x:v>
      </x:c>
      <x:c r="C731" s="27" t="str"/>
      <x:c r="D731" s="27" t="str">
        <x:v>Sprint 00</x:v>
      </x:c>
      <x:c r="E731" s="36" t="str">
        <x:v>S0.6D_Definition.md</x:v>
      </x:c>
      <x:c r="F731" s="36" t="str">
        <x:v>MD</x:v>
      </x:c>
      <x:c r="G731" s="54" t="n">
        <x:v>4142</x:v>
      </x:c>
      <x:c r="H731" s="36" t="str">
        <x:v>c1d3aaedc8f9cb6907d4e83f4249dbcf7742de4b1e80ae36b3b9403f911545c6</x:v>
      </x:c>
      <x:c r="I731" s="36" t="n">
        <x:v>1</x:v>
      </x:c>
      <x:c r="J731" s="36" t="str">
        <x:v>Development evidence</x:v>
      </x:c>
      <x:c r="K731" s="36" t="str">
        <x:v>DIRECT</x:v>
      </x:c>
      <x:c r="L731" s="36" t="str">
        <x:v>adr, audit, build, dependencia, manifest, qa, riesgo, sprint, test</x:v>
      </x:c>
      <x:c r="M731" s="36" t="str">
        <x:v>Retain read-only; current authority remains 00–34.</x:v>
      </x:c>
      <x:c r="N731" s="36" t="str">
        <x:v>33 risk/continuity context</x:v>
      </x:c>
      <x:c r="O731" s="36" t="str">
        <x:v>10_Development_Records/Sprints/Sprint_00/S0.6D_Definition.md</x:v>
      </x:c>
    </x:row>
    <x:row r="732">
      <x:c r="A732" s="27" t="str">
        <x:v>HIST-0728</x:v>
      </x:c>
      <x:c r="B732" s="27" t="str">
        <x:v>10_Development_Records</x:v>
      </x:c>
      <x:c r="C732" s="27" t="str"/>
      <x:c r="D732" s="27" t="str">
        <x:v>Sprint 00</x:v>
      </x:c>
      <x:c r="E732" s="36" t="str">
        <x:v>S0.6D_File_Manifest.md</x:v>
      </x:c>
      <x:c r="F732" s="36" t="str">
        <x:v>MD</x:v>
      </x:c>
      <x:c r="G732" s="54" t="n">
        <x:v>1279</x:v>
      </x:c>
      <x:c r="H732" s="36" t="str">
        <x:v>7b5ba9f35abb2ef65445b66a6dd857b6ff8c9200a6c75fb083459272bf4accd7</x:v>
      </x:c>
      <x:c r="I732" s="36" t="n">
        <x:v>1</x:v>
      </x:c>
      <x:c r="J732" s="36" t="str">
        <x:v>Development evidence</x:v>
      </x:c>
      <x:c r="K732" s="36" t="str">
        <x:v>DIRECT</x:v>
      </x:c>
      <x:c r="L732" s="36" t="str">
        <x:v>adr, audit, closure, current_status, dependency, manifest, qa, sprint, validation</x:v>
      </x:c>
      <x:c r="M732" s="36" t="str">
        <x:v>Retain read-only; current authority remains 00–34.</x:v>
      </x:c>
      <x:c r="N732" s="36" t="str">
        <x:v>33 risk/continuity context</x:v>
      </x:c>
      <x:c r="O732" s="36" t="str">
        <x:v>10_Development_Records/Sprints/Sprint_00/S0.6D_File_Manifest.md</x:v>
      </x:c>
    </x:row>
    <x:row r="733">
      <x:c r="A733" s="27" t="str">
        <x:v>HIST-0729</x:v>
      </x:c>
      <x:c r="B733" s="27" t="str">
        <x:v>10_Development_Records</x:v>
      </x:c>
      <x:c r="C733" s="27" t="str"/>
      <x:c r="D733" s="27" t="str">
        <x:v>Sprint 00</x:v>
      </x:c>
      <x:c r="E733" s="36" t="str">
        <x:v>S0.6D_Validation_Checklist.md</x:v>
      </x:c>
      <x:c r="F733" s="36" t="str">
        <x:v>MD</x:v>
      </x:c>
      <x:c r="G733" s="54" t="n">
        <x:v>1603</x:v>
      </x:c>
      <x:c r="H733" s="36" t="str">
        <x:v>bdb9ff0dfe507e433ccc6ea636e6c076849a04043fbca9d8579177acc96a16da</x:v>
      </x:c>
      <x:c r="I733" s="36" t="n">
        <x:v>1</x:v>
      </x:c>
      <x:c r="J733" s="36" t="str">
        <x:v>Development evidence</x:v>
      </x:c>
      <x:c r="K733" s="36" t="str">
        <x:v>DIRECT</x:v>
      </x:c>
      <x:c r="L733" s="36" t="str">
        <x:v>adr, qa, sprint, test, validation</x:v>
      </x:c>
      <x:c r="M733" s="36" t="str">
        <x:v>Retain read-only; current authority remains 00–34.</x:v>
      </x:c>
      <x:c r="N733" s="36" t="str">
        <x:v>33 risk/continuity context</x:v>
      </x:c>
      <x:c r="O733" s="36" t="str">
        <x:v>10_Development_Records/Sprints/Sprint_00/S0.6D_Validation_Checklist.md</x:v>
      </x:c>
    </x:row>
    <x:row r="734">
      <x:c r="A734" s="27" t="str">
        <x:v>HIST-0730</x:v>
      </x:c>
      <x:c r="B734" s="27" t="str">
        <x:v>10_Development_Records</x:v>
      </x:c>
      <x:c r="C734" s="27" t="str"/>
      <x:c r="D734" s="27" t="str">
        <x:v>Sprint 00</x:v>
      </x:c>
      <x:c r="E734" s="36" t="str">
        <x:v>S0.7_Closure_Record.md</x:v>
      </x:c>
      <x:c r="F734" s="36" t="str">
        <x:v>MD</x:v>
      </x:c>
      <x:c r="G734" s="54" t="n">
        <x:v>1263</x:v>
      </x:c>
      <x:c r="H734" s="36" t="str">
        <x:v>ada09fbc408488357fac2bf062e940c82eec7f02184e7bab467cd312f99efd1d</x:v>
      </x:c>
      <x:c r="I734" s="36" t="n">
        <x:v>1</x:v>
      </x:c>
      <x:c r="J734" s="36" t="str">
        <x:v>Development evidence</x:v>
      </x:c>
      <x:c r="K734" s="36" t="str">
        <x:v>DIRECT</x:v>
      </x:c>
      <x:c r="L734" s="36" t="str">
        <x:v>adr, build, closure, sprint, test</x:v>
      </x:c>
      <x:c r="M734" s="36" t="str">
        <x:v>Retain read-only; current authority remains 00–34.</x:v>
      </x:c>
      <x:c r="N734" s="36" t="str">
        <x:v>33 risk/continuity context</x:v>
      </x:c>
      <x:c r="O734" s="36" t="str">
        <x:v>10_Development_Records/Sprints/Sprint_00/S0.7_Closure_Record.md</x:v>
      </x:c>
    </x:row>
    <x:row r="735">
      <x:c r="A735" s="27" t="str">
        <x:v>HIST-0731</x:v>
      </x:c>
      <x:c r="B735" s="27" t="str">
        <x:v>10_Development_Records</x:v>
      </x:c>
      <x:c r="C735" s="27" t="str"/>
      <x:c r="D735" s="27" t="str">
        <x:v>Sprint 00</x:v>
      </x:c>
      <x:c r="E735" s="36" t="str">
        <x:v>S0.7_Scene_Baseline.md</x:v>
      </x:c>
      <x:c r="F735" s="36" t="str">
        <x:v>MD</x:v>
      </x:c>
      <x:c r="G735" s="54" t="n">
        <x:v>7145</x:v>
      </x:c>
      <x:c r="H735" s="36" t="str">
        <x:v>12a41f35ac4f8ebd73fca6f84acf416ecefcfbda677e71c8c6578ecccadff4a4</x:v>
      </x:c>
      <x:c r="I735" s="36" t="n">
        <x:v>1</x:v>
      </x:c>
      <x:c r="J735" s="36" t="str">
        <x:v>Development evidence</x:v>
      </x:c>
      <x:c r="K735" s="36" t="str">
        <x:v>DIRECT</x:v>
      </x:c>
      <x:c r="L735" s="36" t="str">
        <x:v>adr, build, qa, save, sprint, test, validation</x:v>
      </x:c>
      <x:c r="M735" s="36" t="str">
        <x:v>Retain read-only; current authority remains 00–34.</x:v>
      </x:c>
      <x:c r="N735" s="36" t="str">
        <x:v>33 risk/continuity context</x:v>
      </x:c>
      <x:c r="O735" s="36" t="str">
        <x:v>10_Development_Records/Sprints/Sprint_00/S0.7_Scene_Baseline.md</x:v>
      </x:c>
    </x:row>
    <x:row r="736">
      <x:c r="A736" s="27" t="str">
        <x:v>HIST-0732</x:v>
      </x:c>
      <x:c r="B736" s="27" t="str">
        <x:v>10_Development_Records</x:v>
      </x:c>
      <x:c r="C736" s="27" t="str"/>
      <x:c r="D736" s="27" t="str">
        <x:v>Sprint 00</x:v>
      </x:c>
      <x:c r="E736" s="36" t="str">
        <x:v>S0.7_Validation_Checklist.md</x:v>
      </x:c>
      <x:c r="F736" s="36" t="str">
        <x:v>MD</x:v>
      </x:c>
      <x:c r="G736" s="54" t="n">
        <x:v>3145</x:v>
      </x:c>
      <x:c r="H736" s="36" t="str">
        <x:v>00a408289196f0e6a093400cdd6e8858d43cbf908cdfff94581b0f7dd774cf05</x:v>
      </x:c>
      <x:c r="I736" s="36" t="n">
        <x:v>1</x:v>
      </x:c>
      <x:c r="J736" s="36" t="str">
        <x:v>Development evidence</x:v>
      </x:c>
      <x:c r="K736" s="36" t="str">
        <x:v>DIRECT</x:v>
      </x:c>
      <x:c r="L736" s="36" t="str">
        <x:v>adr, audit, build, qa, sprint, test, validation</x:v>
      </x:c>
      <x:c r="M736" s="36" t="str">
        <x:v>Retain read-only; current authority remains 00–34.</x:v>
      </x:c>
      <x:c r="N736" s="36" t="str">
        <x:v>33 risk/continuity context</x:v>
      </x:c>
      <x:c r="O736" s="36" t="str">
        <x:v>10_Development_Records/Sprints/Sprint_00/S0.7_Validation_Checklist.md</x:v>
      </x:c>
    </x:row>
    <x:row r="737">
      <x:c r="A737" s="27" t="str">
        <x:v>HIST-0733</x:v>
      </x:c>
      <x:c r="B737" s="27" t="str">
        <x:v>10_Development_Records</x:v>
      </x:c>
      <x:c r="C737" s="27" t="str"/>
      <x:c r="D737" s="27" t="str">
        <x:v>Sprint 00</x:v>
      </x:c>
      <x:c r="E737" s="36" t="str">
        <x:v>S0.8_Closure_Record.md</x:v>
      </x:c>
      <x:c r="F737" s="36" t="str">
        <x:v>MD</x:v>
      </x:c>
      <x:c r="G737" s="54" t="n">
        <x:v>629</x:v>
      </x:c>
      <x:c r="H737" s="36" t="str">
        <x:v>a3990b9f15e0d2fb29c6c23983ff236e9753ffec20c291bbec2c72625730d1bf</x:v>
      </x:c>
      <x:c r="I737" s="36" t="n">
        <x:v>1</x:v>
      </x:c>
      <x:c r="J737" s="36" t="str">
        <x:v>Development evidence</x:v>
      </x:c>
      <x:c r="K737" s="36" t="str">
        <x:v>SUPPORTING</x:v>
      </x:c>
      <x:c r="L737" s="36" t="str">
        <x:v>adr, closure, sprint, test</x:v>
      </x:c>
      <x:c r="M737" s="36" t="str">
        <x:v>Retain read-only; current authority remains 00–34.</x:v>
      </x:c>
      <x:c r="N737" s="36" t="str">
        <x:v>33 risk/continuity context</x:v>
      </x:c>
      <x:c r="O737" s="36" t="str">
        <x:v>10_Development_Records/Sprints/Sprint_00/S0.8_Closure_Record.md</x:v>
      </x:c>
    </x:row>
    <x:row r="738">
      <x:c r="A738" s="27" t="str">
        <x:v>HIST-0734</x:v>
      </x:c>
      <x:c r="B738" s="27" t="str">
        <x:v>10_Development_Records</x:v>
      </x:c>
      <x:c r="C738" s="27" t="str"/>
      <x:c r="D738" s="27" t="str">
        <x:v>Sprint 00</x:v>
      </x:c>
      <x:c r="E738" s="36" t="str">
        <x:v>S0.8_Smoke_Tests.md</x:v>
      </x:c>
      <x:c r="F738" s="36" t="str">
        <x:v>MD</x:v>
      </x:c>
      <x:c r="G738" s="54" t="n">
        <x:v>1205</x:v>
      </x:c>
      <x:c r="H738" s="36" t="str">
        <x:v>22d4513b1221557a513a4fc0be9365ae25bc6ebaa15969cf7c536c6b3c4e9f7c</x:v>
      </x:c>
      <x:c r="I738" s="36" t="n">
        <x:v>1</x:v>
      </x:c>
      <x:c r="J738" s="36" t="str">
        <x:v>Development evidence</x:v>
      </x:c>
      <x:c r="K738" s="36" t="str">
        <x:v>DIRECT</x:v>
      </x:c>
      <x:c r="L738" s="36" t="str">
        <x:v>adr, build, dependencia, sprint, test</x:v>
      </x:c>
      <x:c r="M738" s="36" t="str">
        <x:v>Retain read-only; current authority remains 00–34.</x:v>
      </x:c>
      <x:c r="N738" s="36" t="str">
        <x:v>33 risk/continuity context</x:v>
      </x:c>
      <x:c r="O738" s="36" t="str">
        <x:v>10_Development_Records/Sprints/Sprint_00/S0.8_Smoke_Tests.md</x:v>
      </x:c>
    </x:row>
    <x:row r="739">
      <x:c r="A739" s="27" t="str">
        <x:v>HIST-0735</x:v>
      </x:c>
      <x:c r="B739" s="27" t="str">
        <x:v>10_Development_Records</x:v>
      </x:c>
      <x:c r="C739" s="27" t="str"/>
      <x:c r="D739" s="27" t="str">
        <x:v>Sprint 00</x:v>
      </x:c>
      <x:c r="E739" s="36" t="str">
        <x:v>S0.8_Validation_Checklist.md</x:v>
      </x:c>
      <x:c r="F739" s="36" t="str">
        <x:v>MD</x:v>
      </x:c>
      <x:c r="G739" s="54" t="n">
        <x:v>1304</x:v>
      </x:c>
      <x:c r="H739" s="36" t="str">
        <x:v>43754526f229576e39d61898d644cdf8d7122f7ae6b1d4891fd1fb465d0cb174</x:v>
      </x:c>
      <x:c r="I739" s="36" t="n">
        <x:v>1</x:v>
      </x:c>
      <x:c r="J739" s="36" t="str">
        <x:v>Development evidence</x:v>
      </x:c>
      <x:c r="K739" s="36" t="str">
        <x:v>SUPPORTING</x:v>
      </x:c>
      <x:c r="L739" s="36" t="str">
        <x:v>adr, sprint, test, validation</x:v>
      </x:c>
      <x:c r="M739" s="36" t="str">
        <x:v>Retain read-only; current authority remains 00–34.</x:v>
      </x:c>
      <x:c r="N739" s="36" t="str">
        <x:v>33 risk/continuity context</x:v>
      </x:c>
      <x:c r="O739" s="36" t="str">
        <x:v>10_Development_Records/Sprints/Sprint_00/S0.8_Validation_Checklist.md</x:v>
      </x:c>
    </x:row>
    <x:row r="740">
      <x:c r="A740" s="27" t="str">
        <x:v>HIST-0736</x:v>
      </x:c>
      <x:c r="B740" s="27" t="str">
        <x:v>10_Development_Records</x:v>
      </x:c>
      <x:c r="C740" s="27" t="str"/>
      <x:c r="D740" s="27" t="str">
        <x:v>Sprint 00</x:v>
      </x:c>
      <x:c r="E740" s="36" t="str">
        <x:v>S0.9_Closure_Record.md</x:v>
      </x:c>
      <x:c r="F740" s="36" t="str">
        <x:v>MD</x:v>
      </x:c>
      <x:c r="G740" s="54" t="n">
        <x:v>1165</x:v>
      </x:c>
      <x:c r="H740" s="36" t="str">
        <x:v>6042b8da9b246e5905d6835ad256beab1f7ec4ca4b4c82aaef4fa4dc3ffe25e5</x:v>
      </x:c>
      <x:c r="I740" s="36" t="n">
        <x:v>1</x:v>
      </x:c>
      <x:c r="J740" s="36" t="str">
        <x:v>Development evidence</x:v>
      </x:c>
      <x:c r="K740" s="36" t="str">
        <x:v>SUPPORTING</x:v>
      </x:c>
      <x:c r="L740" s="36" t="str">
        <x:v>build, closure, sprint, test</x:v>
      </x:c>
      <x:c r="M740" s="36" t="str">
        <x:v>Retain read-only; current authority remains 00–34.</x:v>
      </x:c>
      <x:c r="N740" s="36" t="str">
        <x:v>33 risk/continuity context</x:v>
      </x:c>
      <x:c r="O740" s="36" t="str">
        <x:v>10_Development_Records/Sprints/Sprint_00/S0.9_Closure_Record.md</x:v>
      </x:c>
    </x:row>
    <x:row r="741">
      <x:c r="A741" s="27" t="str">
        <x:v>HIST-0737</x:v>
      </x:c>
      <x:c r="B741" s="27" t="str">
        <x:v>10_Development_Records</x:v>
      </x:c>
      <x:c r="C741" s="27" t="str"/>
      <x:c r="D741" s="27" t="str">
        <x:v>Sprint 00</x:v>
      </x:c>
      <x:c r="E741" s="36" t="str">
        <x:v>S0.9_Validation_Checklist.md</x:v>
      </x:c>
      <x:c r="F741" s="36" t="str">
        <x:v>MD</x:v>
      </x:c>
      <x:c r="G741" s="54" t="n">
        <x:v>3752</x:v>
      </x:c>
      <x:c r="H741" s="36" t="str">
        <x:v>5f7bd2e73d22816dc586e781cc1e563408c68d363e080fa88c46989702e268cd</x:v>
      </x:c>
      <x:c r="I741" s="36" t="n">
        <x:v>1</x:v>
      </x:c>
      <x:c r="J741" s="36" t="str">
        <x:v>Development evidence</x:v>
      </x:c>
      <x:c r="K741" s="36" t="str">
        <x:v>SUPPORTING</x:v>
      </x:c>
      <x:c r="L741" s="36" t="str">
        <x:v>build, sprint, test, validation</x:v>
      </x:c>
      <x:c r="M741" s="36" t="str">
        <x:v>Retain read-only; current authority remains 00–34.</x:v>
      </x:c>
      <x:c r="N741" s="36" t="str">
        <x:v>33 risk/continuity context</x:v>
      </x:c>
      <x:c r="O741" s="36" t="str">
        <x:v>10_Development_Records/Sprints/Sprint_00/S0.9_Validation_Checklist.md</x:v>
      </x:c>
    </x:row>
    <x:row r="742">
      <x:c r="A742" s="27" t="str">
        <x:v>HIST-0738</x:v>
      </x:c>
      <x:c r="B742" s="27" t="str">
        <x:v>10_Development_Records</x:v>
      </x:c>
      <x:c r="C742" s="27" t="str"/>
      <x:c r="D742" s="27" t="str">
        <x:v>Sprint 00</x:v>
      </x:c>
      <x:c r="E742" s="36" t="str">
        <x:v>S0.9_Windows_Development_Build.md</x:v>
      </x:c>
      <x:c r="F742" s="36" t="str">
        <x:v>MD</x:v>
      </x:c>
      <x:c r="G742" s="54" t="n">
        <x:v>1232</x:v>
      </x:c>
      <x:c r="H742" s="36" t="str">
        <x:v>c45ac6b443ea4fac5d7c3d90cbf6d67012afa11b079091c9023d0481027b355b</x:v>
      </x:c>
      <x:c r="I742" s="36" t="n">
        <x:v>1</x:v>
      </x:c>
      <x:c r="J742" s="36" t="str">
        <x:v>Development evidence</x:v>
      </x:c>
      <x:c r="K742" s="36" t="str">
        <x:v>DIRECT</x:v>
      </x:c>
      <x:c r="L742" s="36" t="str">
        <x:v>adr, build, closure, sprint, test</x:v>
      </x:c>
      <x:c r="M742" s="36" t="str">
        <x:v>Retain read-only; current authority remains 00–34.</x:v>
      </x:c>
      <x:c r="N742" s="36" t="str">
        <x:v>33 risk/continuity context</x:v>
      </x:c>
      <x:c r="O742" s="36" t="str">
        <x:v>10_Development_Records/Sprints/Sprint_00/S0.9_Windows_Development_Build.md</x:v>
      </x:c>
    </x:row>
    <x:row r="743">
      <x:c r="A743" s="27" t="str">
        <x:v>HIST-0739</x:v>
      </x:c>
      <x:c r="B743" s="27" t="str">
        <x:v>10_Development_Records</x:v>
      </x:c>
      <x:c r="C743" s="27" t="str"/>
      <x:c r="D743" s="27" t="str">
        <x:v>Sprint 00</x:v>
      </x:c>
      <x:c r="E743" s="36" t="str">
        <x:v>.gitkeep</x:v>
      </x:c>
      <x:c r="F743" s="36" t="str">
        <x:v>NO EXT</x:v>
      </x:c>
      <x:c r="G743" s="54" t="n">
        <x:v>0</x:v>
      </x:c>
      <x:c r="H743" s="36" t="str">
        <x:v>e3b0c44298fc1c149afbf4c8996fb92427ae41e4649b934ca495991b7852b855</x:v>
      </x:c>
      <x:c r="I743" s="36" t="n">
        <x:v>6</x:v>
      </x:c>
      <x:c r="J743" s="36" t="str">
        <x:v>Development evidence</x:v>
      </x:c>
      <x:c r="K743" s="36" t="str">
        <x:v>CONTEXT / PRESERVED</x:v>
      </x:c>
      <x:c r="L743" s="36" t="str">
        <x:v>sprint</x:v>
      </x:c>
      <x:c r="M743" s="36" t="str">
        <x:v>Retain read-only; current authority remains 00–34.</x:v>
      </x:c>
      <x:c r="N743" s="36" t="str">
        <x:v>Preserved context; not mined as normative authority.</x:v>
      </x:c>
      <x:c r="O743" s="36" t="str">
        <x:v>10_Development_Records/Sprints/Sprint_00/Setup/.gitkeep</x:v>
      </x:c>
    </x:row>
    <x:row r="744">
      <x:c r="A744" s="27" t="str">
        <x:v>HIST-0740</x:v>
      </x:c>
      <x:c r="B744" s="27" t="str">
        <x:v>10_Development_Records</x:v>
      </x:c>
      <x:c r="C744" s="27" t="str"/>
      <x:c r="D744" s="27" t="str">
        <x:v>Sprint 00</x:v>
      </x:c>
      <x:c r="E744" s="36" t="str">
        <x:v>Sprint_00_Closure_Record.md</x:v>
      </x:c>
      <x:c r="F744" s="36" t="str">
        <x:v>MD</x:v>
      </x:c>
      <x:c r="G744" s="54" t="n">
        <x:v>856</x:v>
      </x:c>
      <x:c r="H744" s="36" t="str">
        <x:v>40304282ce444aae9a485d1f9cbb27b6157460aef53ebee86d2c1e8c5aa7999a</x:v>
      </x:c>
      <x:c r="I744" s="36" t="n">
        <x:v>2</x:v>
      </x:c>
      <x:c r="J744" s="36" t="str">
        <x:v>Development evidence</x:v>
      </x:c>
      <x:c r="K744" s="36" t="str">
        <x:v>DIRECT</x:v>
      </x:c>
      <x:c r="L744" s="36" t="str">
        <x:v>audit, build, closure, sprint, test</x:v>
      </x:c>
      <x:c r="M744" s="36" t="str">
        <x:v>Retain read-only; current authority remains 00–34.</x:v>
      </x:c>
      <x:c r="N744" s="36" t="str">
        <x:v>33 risk/continuity context</x:v>
      </x:c>
      <x:c r="O744" s="36" t="str">
        <x:v>10_Development_Records/Sprints/Sprint_00/Sprint_00_Closure_Record.md</x:v>
      </x:c>
    </x:row>
    <x:row r="745">
      <x:c r="A745" s="27" t="str">
        <x:v>HIST-0741</x:v>
      </x:c>
      <x:c r="B745" s="27" t="str">
        <x:v>10_Development_Records</x:v>
      </x:c>
      <x:c r="C745" s="27" t="str"/>
      <x:c r="D745" s="27" t="str">
        <x:v>Sprint 00</x:v>
      </x:c>
      <x:c r="E745" s="36" t="str">
        <x:v>Sprint_00_Current_Status.md</x:v>
      </x:c>
      <x:c r="F745" s="36" t="str">
        <x:v>MD</x:v>
      </x:c>
      <x:c r="G745" s="54" t="n">
        <x:v>758</x:v>
      </x:c>
      <x:c r="H745" s="36" t="str">
        <x:v>89e8091242b513ea0e04589d73cf525f6a6f17b3c4d4d7da2b820737197083f8</x:v>
      </x:c>
      <x:c r="I745" s="36" t="n">
        <x:v>2</x:v>
      </x:c>
      <x:c r="J745" s="36" t="str">
        <x:v>Development evidence</x:v>
      </x:c>
      <x:c r="K745" s="36" t="str">
        <x:v>DIRECT</x:v>
      </x:c>
      <x:c r="L745" s="36" t="str">
        <x:v>build, closure, current_status, sprint, test</x:v>
      </x:c>
      <x:c r="M745" s="36" t="str">
        <x:v>Retain read-only; current authority remains 00–34.</x:v>
      </x:c>
      <x:c r="N745" s="36" t="str">
        <x:v>33 risk/continuity context</x:v>
      </x:c>
      <x:c r="O745" s="36" t="str">
        <x:v>10_Development_Records/Sprints/Sprint_00/Sprint_00_Current_Status.md</x:v>
      </x:c>
    </x:row>
    <x:row r="746">
      <x:c r="A746" s="27" t="str">
        <x:v>HIST-0742</x:v>
      </x:c>
      <x:c r="B746" s="27" t="str">
        <x:v>10_Development_Records</x:v>
      </x:c>
      <x:c r="C746" s="27" t="str"/>
      <x:c r="D746" s="27" t="str">
        <x:v>Sprint 00</x:v>
      </x:c>
      <x:c r="E746" s="36" t="str">
        <x:v>Sprint_00_Foundation_Baseline.md</x:v>
      </x:c>
      <x:c r="F746" s="36" t="str">
        <x:v>MD</x:v>
      </x:c>
      <x:c r="G746" s="54" t="n">
        <x:v>1238</x:v>
      </x:c>
      <x:c r="H746" s="36" t="str">
        <x:v>0fed73bbd55bee471c7c2858bd09fcf946b308aab364d00455595c10a2b2e877</x:v>
      </x:c>
      <x:c r="I746" s="36" t="n">
        <x:v>2</x:v>
      </x:c>
      <x:c r="J746" s="36" t="str">
        <x:v>Development evidence</x:v>
      </x:c>
      <x:c r="K746" s="36" t="str">
        <x:v>SUPPORTING</x:v>
      </x:c>
      <x:c r="L746" s="36" t="str">
        <x:v>build, qa, sprint, test</x:v>
      </x:c>
      <x:c r="M746" s="36" t="str">
        <x:v>Retain read-only; current authority remains 00–34.</x:v>
      </x:c>
      <x:c r="N746" s="36" t="str">
        <x:v>33 risk/continuity context</x:v>
      </x:c>
      <x:c r="O746" s="36" t="str">
        <x:v>10_Development_Records/Sprints/Sprint_00/Sprint_00_Foundation_Baseline.md</x:v>
      </x:c>
    </x:row>
    <x:row r="747">
      <x:c r="A747" s="27" t="str">
        <x:v>HIST-0743</x:v>
      </x:c>
      <x:c r="B747" s="27" t="str">
        <x:v>20_Working_Drafts</x:v>
      </x:c>
      <x:c r="C747" s="27" t="str"/>
      <x:c r="D747" s="27" t="str"/>
      <x:c r="E747" s="36" t="str">
        <x:v>.gitkeep</x:v>
      </x:c>
      <x:c r="F747" s="36" t="str">
        <x:v>NO EXT</x:v>
      </x:c>
      <x:c r="G747" s="54" t="n">
        <x:v>0</x:v>
      </x:c>
      <x:c r="H747" s="36" t="str">
        <x:v>e3b0c44298fc1c149afbf4c8996fb92427ae41e4649b934ca495991b7852b855</x:v>
      </x:c>
      <x:c r="I747" s="36" t="n">
        <x:v>6</x:v>
      </x:c>
      <x:c r="J747" s="36" t="str">
        <x:v>Working/draft/archive context</x:v>
      </x:c>
      <x:c r="K747" s="36" t="str">
        <x:v>CONTEXT / PRESERVED</x:v>
      </x:c>
      <x:c r="L747" s="36" t="str"/>
      <x:c r="M747" s="36" t="str">
        <x:v>Retain read-only; current authority remains 00–34.</x:v>
      </x:c>
      <x:c r="N747" s="36" t="str">
        <x:v>Preserved context; not mined as normative authority.</x:v>
      </x:c>
      <x:c r="O747" s="36" t="str">
        <x:v>20_Working_Drafts/.gitkeep</x:v>
      </x:c>
    </x:row>
    <x:row r="748">
      <x:c r="A748" s="27" t="str">
        <x:v>HIST-0744</x:v>
      </x:c>
      <x:c r="B748" s="27" t="str">
        <x:v>90_Archive</x:v>
      </x:c>
      <x:c r="C748" s="27" t="str"/>
      <x:c r="D748" s="27" t="str"/>
      <x:c r="E748" s="36" t="str">
        <x:v>.gitkeep</x:v>
      </x:c>
      <x:c r="F748" s="36" t="str">
        <x:v>NO EXT</x:v>
      </x:c>
      <x:c r="G748" s="54" t="n">
        <x:v>0</x:v>
      </x:c>
      <x:c r="H748" s="36" t="str">
        <x:v>e3b0c44298fc1c149afbf4c8996fb92427ae41e4649b934ca495991b7852b855</x:v>
      </x:c>
      <x:c r="I748" s="36" t="n">
        <x:v>6</x:v>
      </x:c>
      <x:c r="J748" s="36" t="str">
        <x:v>Working/draft/archive context</x:v>
      </x:c>
      <x:c r="K748" s="36" t="str">
        <x:v>CONTEXT / PRESERVED</x:v>
      </x:c>
      <x:c r="L748" s="36" t="str"/>
      <x:c r="M748" s="36" t="str">
        <x:v>Retain read-only; current authority remains 00–34.</x:v>
      </x:c>
      <x:c r="N748" s="36" t="str">
        <x:v>Preserved context; not mined as normative authority.</x:v>
      </x:c>
      <x:c r="O748" s="36" t="str">
        <x:v>90_Archive/.gitkeep</x:v>
      </x:c>
    </x:row>
    <x:row r="749">
      <x:c r="A749" s="27" t="str">
        <x:v>HIST-0745</x:v>
      </x:c>
      <x:c r="B749" s="27" t="str">
        <x:v>Documentation Root</x:v>
      </x:c>
      <x:c r="C749" s="27" t="str"/>
      <x:c r="D749" s="27" t="str"/>
      <x:c r="E749" s="36" t="str">
        <x:v>README_Documentation_Structure.md</x:v>
      </x:c>
      <x:c r="F749" s="36" t="str">
        <x:v>MD</x:v>
      </x:c>
      <x:c r="G749" s="54" t="n">
        <x:v>1882</x:v>
      </x:c>
      <x:c r="H749" s="36" t="str">
        <x:v>0b9951b7b274022526f4536d2d3da2aa7503251263a5cc2f1d162f130481ec35</x:v>
      </x:c>
      <x:c r="I749" s="36" t="n">
        <x:v>1</x:v>
      </x:c>
      <x:c r="J749" s="36" t="str">
        <x:v>Working/draft/archive context</x:v>
      </x:c>
      <x:c r="K749" s="36" t="str">
        <x:v>SUPPORTING</x:v>
      </x:c>
      <x:c r="L749" s="36" t="str">
        <x:v>adr, sprint</x:v>
      </x:c>
      <x:c r="M749" s="36" t="str">
        <x:v>Retain read-only; current authority remains 00–34.</x:v>
      </x:c>
      <x:c r="N749" s="36" t="str">
        <x:v>33 risk/continuity context</x:v>
      </x:c>
      <x:c r="O749" s="36" t="str">
        <x:v>README_Documentation_Structure.md</x:v>
      </x:c>
    </x:row>
  </x:sheetData>
  <x:mergeCells>
    <x:mergeCell ref="A1:O1"/>
    <x:mergeCell ref="A2:O2"/>
  </x:mergeCells>
  <x:conditionalFormatting sqref="K5:K749">
    <x:cfRule type="expression" dxfId="28" priority="1">
      <x:formula>K5="DIRECT"</x:formula>
    </x:cfRule>
  </x:conditionalFormatting>
  <x:conditionalFormatting sqref="I5:I749">
    <x:cfRule type="dataBar" priority="2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{36CA1B26-3E09-C956-209D-AB6961B96945}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8c1eb1abf504f3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6CA1B26-3E09-C956-209D-AB6961B96945}">
            <x14:dataBar gradient="0">
              <x14:cfvo type="min"/>
              <x14:cfvo type="max"/>
              <x14:fillColor rgb="FF7C3AED"/>
            </x14:dataBar>
          </x14:cfRule>
          <xm:sqref>I5:I749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30" hidden="0" customWidth="1"/>
    <x:col min="5" max="5" width="14" hidden="0" customWidth="1"/>
    <x:col min="6" max="6" width="42" hidden="0" customWidth="1"/>
    <x:col min="7" max="7" width="58" hidden="0" customWidth="1"/>
    <x:col min="8" max="8" width="62" hidden="0" customWidth="1"/>
    <x:col min="9" max="9" width="62" hidden="0" customWidth="1"/>
    <x:col min="10" max="10" width="12" hidden="0" customWidth="1"/>
    <x:col min="11" max="11" width="14" hidden="0" customWidth="1"/>
  </x:cols>
  <x:sheetData>
    <x:row r="1" ht="36" customHeight="1">
      <x:c r="A1" s="5" t="str">
        <x:v>16 — Risk Taxonomy and Source Genealogy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2" customHeight="1">
      <x:c r="A2" s="13" t="str">
        <x:v>Category-level rules used to normalize risks that were historically distributed across multiple plans and records.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1" t="str">
        <x:v>Code</x:v>
      </x:c>
      <x:c r="B4" s="21" t="str">
        <x:v>Risk Category</x:v>
      </x:c>
      <x:c r="C4" s="21" t="str">
        <x:v>Initialized Risks</x:v>
      </x:c>
      <x:c r="D4" s="21" t="str">
        <x:v>Default Owner</x:v>
      </x:c>
      <x:c r="E4" s="21" t="str">
        <x:v>Appetite</x:v>
      </x:c>
      <x:c r="F4" s="21" t="str">
        <x:v>Current Sources</x:v>
      </x:c>
      <x:c r="G4" s="21" t="str">
        <x:v>Historical Roots</x:v>
      </x:c>
      <x:c r="H4" s="21" t="str">
        <x:v>Control Baseline</x:v>
      </x:c>
      <x:c r="I4" s="21" t="str">
        <x:v>Treatment Principle</x:v>
      </x:c>
      <x:c r="J4" s="21" t="str">
        <x:v>BIA</x:v>
      </x:c>
      <x:c r="K4" s="21" t="str">
        <x:v>Playbook</x:v>
      </x:c>
    </x:row>
    <x:row r="5">
      <x:c r="A5" s="27" t="str">
        <x:v>GOV</x:v>
      </x:c>
      <x:c r="B5" s="36" t="str">
        <x:v>Governance &amp; Scope</x:v>
      </x:c>
      <x:c r="C5" s="36" t="n">
        <x:v>10</x:v>
      </x:c>
      <x:c r="D5" s="36" t="str">
        <x:v>Project Owner / Production</x:v>
      </x:c>
      <x:c r="E5" s="36" t="str">
        <x:v>LOW</x:v>
      </x:c>
      <x:c r="F5" s="36" t="str">
        <x:v>00, 01, 02, 06, 12, 13, 14, 15, 16, 31, 32</x:v>
      </x:c>
      <x:c r="G5" s="36" t="str">
        <x:v>Enfoque, GDD, Roadmap, Binder, Guía y auditorías v0.3–v0.6</x:v>
      </x:c>
      <x:c r="H5" s="36" t="str">
        <x:v>Alcance constitucional, VSS contractual, gates, backlog y control de cambios.</x:v>
      </x:c>
      <x:c r="I5" s="36" t="str">
        <x:v>Aplicar change control; cuantificar coste, valor y riesgo; diferir fuera de H6 o rechazar.</x:v>
      </x:c>
      <x:c r="J5" s="36" t="str">
        <x:v>BIA-01</x:v>
      </x:c>
      <x:c r="K5" s="36" t="str">
        <x:v>PB-01</x:v>
      </x:c>
    </x:row>
    <x:row r="6">
      <x:c r="A6" s="27" t="str">
        <x:v>PEO</x:v>
      </x:c>
      <x:c r="B6" s="36" t="str">
        <x:v>People &amp; Capacity</x:v>
      </x:c>
      <x:c r="C6" s="36" t="n">
        <x:v>10</x:v>
      </x:c>
      <x:c r="D6" s="36" t="str">
        <x:v>Project Owner / Production</x:v>
      </x:c>
      <x:c r="E6" s="36" t="str">
        <x:v>LOW</x:v>
      </x:c>
      <x:c r="F6" s="36" t="str">
        <x:v>06, 09, 13, 15, 25, 27, 31, 34</x:v>
      </x:c>
      <x:c r="G6" s="36" t="str">
        <x:v>Roadmaps, sprint closures, handoffs y estados actuales</x:v>
      </x:c>
      <x:c r="H6" s="36" t="str">
        <x:v>Documentación viva, commits frecuentes, handoffs y desglose por work packages.</x:v>
      </x:c>
      <x:c r="I6" s="36" t="str">
        <x:v>Reducir WIP, documentar conocimiento, preparar sustitución y priorizar ruta crítica.</x:v>
      </x:c>
      <x:c r="J6" s="36" t="str">
        <x:v>BIA-02</x:v>
      </x:c>
      <x:c r="K6" s="36" t="str">
        <x:v>PB-02</x:v>
      </x:c>
    </x:row>
    <x:row r="7">
      <x:c r="A7" s="27" t="str">
        <x:v>PRD</x:v>
      </x:c>
      <x:c r="B7" s="36" t="str">
        <x:v>Production &amp; Schedule</x:v>
      </x:c>
      <x:c r="C7" s="36" t="n">
        <x:v>10</x:v>
      </x:c>
      <x:c r="D7" s="36" t="str">
        <x:v>Production</x:v>
      </x:c>
      <x:c r="E7" s="36" t="str">
        <x:v>MODERATE</x:v>
      </x:c>
      <x:c r="F7" s="36" t="str">
        <x:v>02, 06, 07, 08, 12, 13, 16, 31</x:v>
      </x:c>
      <x:c r="G7" s="36" t="str">
        <x:v>Roadmap/Sprint Plan, tracking y acceptance matrices v0.3–v0.6</x:v>
      </x:c>
      <x:c r="H7" s="36" t="str">
        <x:v>Sprints cerrados, gates, Definition of Done, dependencias y criterios de aborto.</x:v>
      </x:c>
      <x:c r="I7" s="36" t="str">
        <x:v>Re-secuenciar por dependencias, reducir alcance no contractual y proteger H6.</x:v>
      </x:c>
      <x:c r="J7" s="36" t="str">
        <x:v>BIA-03</x:v>
      </x:c>
      <x:c r="K7" s="36" t="str">
        <x:v>PB-03</x:v>
      </x:c>
    </x:row>
    <x:row r="8">
      <x:c r="A8" s="27" t="str">
        <x:v>TEC</x:v>
      </x:c>
      <x:c r="B8" s="36" t="str">
        <x:v>Architecture &amp; Toolchain</x:v>
      </x:c>
      <x:c r="C8" s="36" t="n">
        <x:v>12</x:v>
      </x:c>
      <x:c r="D8" s="36" t="str">
        <x:v>Engineering</x:v>
      </x:c>
      <x:c r="E8" s="36" t="str">
        <x:v>LOW</x:v>
      </x:c>
      <x:c r="F8" s="36" t="str">
        <x:v>03, 09, 10, 11, 13, 27, 30, 31</x:v>
      </x:c>
      <x:c r="G8" s="36" t="str">
        <x:v>TDD, setup, coding/build guides, ADR y build records</x:v>
      </x:c>
      <x:c r="H8" s="36" t="str">
        <x:v>Arquitectura por servicios, ADR, lock de paquetes, setup reproducible y CI/build records.</x:v>
      </x:c>
      <x:c r="I8" s="36" t="str">
        <x:v>Aislar cambio, reproducir en entorno limpio, fijar versión y revertir si rompe gate.</x:v>
      </x:c>
      <x:c r="J8" s="36" t="str">
        <x:v>BIA-04</x:v>
      </x:c>
      <x:c r="K8" s="36" t="str">
        <x:v>PB-04</x:v>
      </x:c>
    </x:row>
    <x:row r="9">
      <x:c r="A9" s="27" t="str">
        <x:v>DAT</x:v>
      </x:c>
      <x:c r="B9" s="36" t="str">
        <x:v>Data, Save &amp; Integrity</x:v>
      </x:c>
      <x:c r="C9" s="36" t="n">
        <x:v>10</x:v>
      </x:c>
      <x:c r="D9" s="36" t="str">
        <x:v>Engineering / Data</x:v>
      </x:c>
      <x:c r="E9" s="36" t="str">
        <x:v>ZERO</x:v>
      </x:c>
      <x:c r="F9" s="36" t="str">
        <x:v>03, 04, 07, 08, 11, 25, 27, 31</x:v>
      </x:c>
      <x:c r="G9" s="36" t="str">
        <x:v>Modelo de Datos, TDD, QA y Sprint 14 save/recovery</x:v>
      </x:c>
      <x:c r="H9" s="36" t="str">
        <x:v>Escritura temporal, checksum, promoción atómica, backup, schema y pruebas destructivas.</x:v>
      </x:c>
      <x:c r="I9" s="36" t="str">
        <x:v>Añadir validación, migración, backup independiente y recovery probado.</x:v>
      </x:c>
      <x:c r="J9" s="36" t="str">
        <x:v>BIA-05</x:v>
      </x:c>
      <x:c r="K9" s="36" t="str">
        <x:v>PB-05</x:v>
      </x:c>
    </x:row>
    <x:row r="10">
      <x:c r="A10" s="27" t="str">
        <x:v>QUA</x:v>
      </x:c>
      <x:c r="B10" s="36" t="str">
        <x:v>Quality &amp; Acceptance</x:v>
      </x:c>
      <x:c r="C10" s="36" t="n">
        <x:v>10</x:v>
      </x:c>
      <x:c r="D10" s="36" t="str">
        <x:v>QA</x:v>
      </x:c>
      <x:c r="E10" s="36" t="str">
        <x:v>LOW</x:v>
      </x:c>
      <x:c r="F10" s="36" t="str">
        <x:v>02, 07, 08, 11, 16, 29, 30, 31</x:v>
      </x:c>
      <x:c r="G10" s="36" t="str">
        <x:v>QA Plan/Matrix, validation checklists y execution records v0.3–v0.6</x:v>
      </x:c>
      <x:c r="H10" s="36" t="str">
        <x:v>Severidades, coverage por riesgo, Golden Path, builds externas y evidencia.</x:v>
      </x:c>
      <x:c r="I10" s="36" t="str">
        <x:v>Aumentar cobertura, reproducir, fijar owner y bloquear gate según severidad.</x:v>
      </x:c>
      <x:c r="J10" s="36" t="str">
        <x:v>BIA-06</x:v>
      </x:c>
      <x:c r="K10" s="36" t="str">
        <x:v>PB-06</x:v>
      </x:c>
    </x:row>
    <x:row r="11">
      <x:c r="A11" s="27" t="str">
        <x:v>PER</x:v>
      </x:c>
      <x:c r="B11" s="36" t="str">
        <x:v>Performance &amp; Stability</x:v>
      </x:c>
      <x:c r="C11" s="36" t="n">
        <x:v>8</x:v>
      </x:c>
      <x:c r="D11" s="36" t="str">
        <x:v>Engineering / QA</x:v>
      </x:c>
      <x:c r="E11" s="36" t="str">
        <x:v>LOW</x:v>
      </x:c>
      <x:c r="F11" s="36" t="str">
        <x:v>02, 03, 07, 10, 11, 17, 18, 19, 20, 30, 31</x:v>
      </x:c>
      <x:c r="G11" s="36" t="str">
        <x:v>Targets históricos de VSS/TDD y pruebas de build v0.3–v0.6</x:v>
      </x:c>
      <x:c r="H11" s="36" t="str">
        <x:v>Budgets, escenarios de profiling, Player builds y gates de rendimiento.</x:v>
      </x:c>
      <x:c r="I11" s="36" t="str">
        <x:v>Medir antes de optimizar, priorizar hotspots y ajustar presets sin comprometer integridad.</x:v>
      </x:c>
      <x:c r="J11" s="36" t="str">
        <x:v>BIA-07</x:v>
      </x:c>
      <x:c r="K11" s="36" t="str">
        <x:v>PB-07</x:v>
      </x:c>
    </x:row>
    <x:row r="12">
      <x:c r="A12" s="27" t="str">
        <x:v>SEC</x:v>
      </x:c>
      <x:c r="B12" s="36" t="str">
        <x:v>Security &amp; Secrets</x:v>
      </x:c>
      <x:c r="C12" s="36" t="n">
        <x:v>12</x:v>
      </x:c>
      <x:c r="D12" s="36" t="str">
        <x:v>Security / Engineering</x:v>
      </x:c>
      <x:c r="E12" s="36" t="str">
        <x:v>ZERO</x:v>
      </x:c>
      <x:c r="F12" s="36" t="str">
        <x:v>11, 23, 24, 25, 26, 27, 31, 32</x:v>
      </x:c>
      <x:c r="G12" s="36" t="str">
        <x:v>Build records, legal registers, package manifests y registros técnicos</x:v>
      </x:c>
      <x:c r="H12" s="36" t="str">
        <x:v>MFA, mínimo privilegio, password manager, secret scanning, hashes y respuesta a incidentes.</x:v>
      </x:c>
      <x:c r="I12" s="36" t="str">
        <x:v>Eliminar exposición, rotar credenciales, parchear, preservar evidencia y notificar según impacto.</x:v>
      </x:c>
      <x:c r="J12" s="36" t="str">
        <x:v>BIA-08</x:v>
      </x:c>
      <x:c r="K12" s="36" t="str">
        <x:v>PB-08</x:v>
      </x:c>
    </x:row>
    <x:row r="13">
      <x:c r="A13" s="27" t="str">
        <x:v>PRI</x:v>
      </x:c>
      <x:c r="B13" s="36" t="str">
        <x:v>Privacy &amp; Telemetry</x:v>
      </x:c>
      <x:c r="C13" s="36" t="n">
        <x:v>6</x:v>
      </x:c>
      <x:c r="D13" s="36" t="str">
        <x:v>Privacy / Engineering</x:v>
      </x:c>
      <x:c r="E13" s="36" t="str">
        <x:v>ZERO</x:v>
      </x:c>
      <x:c r="F13" s="36" t="str">
        <x:v>23, 24, 25, 26, 27, 28, 31</x:v>
      </x:c>
      <x:c r="G13" s="36" t="str">
        <x:v>Requisitos distribuidos en TDD, Steam, legal, QA y marketing</x:v>
      </x:c>
      <x:c r="H13" s="36" t="str">
        <x:v>Minimización, consentimiento, propósito, retención, acceso y borrado.</x:v>
      </x:c>
      <x:c r="I13" s="36" t="str">
        <x:v>No recopilar hasta justificar; reducir campos, retención y terceros.</x:v>
      </x:c>
      <x:c r="J13" s="36" t="str">
        <x:v>BIA-09</x:v>
      </x:c>
      <x:c r="K13" s="36" t="str">
        <x:v>PB-09</x:v>
      </x:c>
    </x:row>
    <x:row r="14">
      <x:c r="A14" s="27" t="str">
        <x:v>LEG</x:v>
      </x:c>
      <x:c r="B14" s="36" t="str">
        <x:v>Legal, IP &amp; Compliance</x:v>
      </x:c>
      <x:c r="C14" s="36" t="n">
        <x:v>8</x:v>
      </x:c>
      <x:c r="D14" s="36" t="str">
        <x:v>Legal / Project Owner</x:v>
      </x:c>
      <x:c r="E14" s="36" t="str">
        <x:v>ZERO</x:v>
      </x:c>
      <x:c r="F14" s="36" t="str">
        <x:v>17, 18, 19, 21, 22, 23, 24, 26, 28, 29, 31</x:v>
      </x:c>
      <x:c r="G14" s="36" t="str">
        <x:v>Legal/Credits/Licenses v0.3–v0.6 y provenance de assets</x:v>
      </x:c>
      <x:c r="H14" s="36" t="str">
        <x:v>Registro de licencias, provenance, clearance y claims condicionados a evidencia.</x:v>
      </x:c>
      <x:c r="I14" s="36" t="str">
        <x:v>Obtener permiso, sustituir asset/copy, limitar claim o retirar distribución.</x:v>
      </x:c>
      <x:c r="J14" s="36" t="str">
        <x:v>BIA-10</x:v>
      </x:c>
      <x:c r="K14" s="36" t="str">
        <x:v>PB-10</x:v>
      </x:c>
    </x:row>
    <x:row r="15">
      <x:c r="A15" s="27" t="str">
        <x:v>PUB</x:v>
      </x:c>
      <x:c r="B15" s="36" t="str">
        <x:v>Publishing, Marketing &amp; Reputation</x:v>
      </x:c>
      <x:c r="C15" s="36" t="n">
        <x:v>8</x:v>
      </x:c>
      <x:c r="D15" s="36" t="str">
        <x:v>Publishing / Marketing</x:v>
      </x:c>
      <x:c r="E15" s="36" t="str">
        <x:v>MODERATE</x:v>
      </x:c>
      <x:c r="F15" s="36" t="str">
        <x:v>23, 24, 25, 27, 28, 29, 30, 31</x:v>
      </x:c>
      <x:c r="G15" s="36" t="str">
        <x:v>Steam/Marketing Plans v0.3–v0.6 y requisitos de publicación</x:v>
      </x:c>
      <x:c r="H15" s="36" t="str">
        <x:v>Gates de claims, asset review, calendario, moderación y aprobación de Store.</x:v>
      </x:c>
      <x:c r="I15" s="36" t="str">
        <x:v>Alinear mensaje con build, corregir expectativas y preparar respuesta pública.</x:v>
      </x:c>
      <x:c r="J15" s="36" t="str">
        <x:v>BIA-11</x:v>
      </x:c>
      <x:c r="K15" s="36" t="str">
        <x:v>PB-11</x:v>
      </x:c>
    </x:row>
    <x:row r="16">
      <x:c r="A16" s="27" t="str">
        <x:v>ACC</x:v>
      </x:c>
      <x:c r="B16" s="36" t="str">
        <x:v>Accessibility &amp; Inclusion</x:v>
      </x:c>
      <x:c r="C16" s="36" t="n">
        <x:v>8</x:v>
      </x:c>
      <x:c r="D16" s="36" t="str">
        <x:v>Accessibility / UX / QA</x:v>
      </x:c>
      <x:c r="E16" s="36" t="str">
        <x:v>LOW</x:v>
      </x:c>
      <x:c r="F16" s="36" t="str">
        <x:v>05, 07, 08, 17, 18, 19, 22, 24, 28, 29, 31</x:v>
      </x:c>
      <x:c r="G16" s="36" t="str">
        <x:v>UX/UI/GDD/QA/localización/arte/audio distribuidos en v0.3–v0.6</x:v>
      </x:c>
      <x:c r="H16" s="36" t="str">
        <x:v>Diseño multimodal, escalado, navegación, criterios de aceptación y claims por evidencia.</x:v>
      </x:c>
      <x:c r="I16" s="36" t="str">
        <x:v>Eliminar barrera, añadir alternativa y probar Golden Path por modalidad.</x:v>
      </x:c>
      <x:c r="J16" s="36" t="str">
        <x:v>BIA-12</x:v>
      </x:c>
      <x:c r="K16" s="36" t="str">
        <x:v>PB-12</x:v>
      </x:c>
    </x:row>
    <x:row r="17">
      <x:c r="A17" s="27" t="str">
        <x:v>CNT</x:v>
      </x:c>
      <x:c r="B17" s="36" t="str">
        <x:v>Art, Audio &amp; Content</x:v>
      </x:c>
      <x:c r="C17" s="36" t="n">
        <x:v>8</x:v>
      </x:c>
      <x:c r="D17" s="36" t="str">
        <x:v>Art / Audio / Content</x:v>
      </x:c>
      <x:c r="E17" s="36" t="str">
        <x:v>MODERATE</x:v>
      </x:c>
      <x:c r="F17" s="36" t="str">
        <x:v>17, 18, 19, 21, 22, 23, 28, 30, 31</x:v>
      </x:c>
      <x:c r="G17" s="36" t="str">
        <x:v>Art/Audio/UI/Content/Localization baselines y Sprint 16</x:v>
      </x:c>
      <x:c r="H17" s="36" t="str">
        <x:v>Bibles, naming, provenance, budgets, revisión representativa y catálogo.</x:v>
      </x:c>
      <x:c r="I17" s="36" t="str">
        <x:v>Sustituir placeholder, optimizar asset, documentar licencia y validar integración.</x:v>
      </x:c>
      <x:c r="J17" s="36" t="str">
        <x:v>BIA-13</x:v>
      </x:c>
      <x:c r="K17" s="36" t="str">
        <x:v>PB-13</x:v>
      </x:c>
    </x:row>
    <x:row r="18">
      <x:c r="A18" s="27" t="str">
        <x:v>FIN</x:v>
      </x:c>
      <x:c r="B18" s="36" t="str">
        <x:v>Financial &amp; Commercial</x:v>
      </x:c>
      <x:c r="C18" s="36" t="n">
        <x:v>6</x:v>
      </x:c>
      <x:c r="D18" s="36" t="str">
        <x:v>Project Owner / Production</x:v>
      </x:c>
      <x:c r="E18" s="36" t="str">
        <x:v>MODERATE</x:v>
      </x:c>
      <x:c r="F18" s="36" t="str">
        <x:v>00, 06, 20, 24, 25, 28, 33</x:v>
      </x:c>
      <x:c r="G18" s="36" t="str">
        <x:v>Roadmaps, Economy/Balance y Marketing Plans históricos</x:v>
      </x:c>
      <x:c r="H18" s="36" t="str">
        <x:v>Presupuesto por fases, gasto condicionado a gates y registro de proveedores.</x:v>
      </x:c>
      <x:c r="I18" s="36" t="str">
        <x:v>Reducir burn, renegociar, diferir gasto y mantener reserva de continuidad.</x:v>
      </x:c>
      <x:c r="J18" s="36" t="str">
        <x:v>BIA-14</x:v>
      </x:c>
      <x:c r="K18" s="36" t="str">
        <x:v>PB-14</x:v>
      </x:c>
    </x:row>
    <x:row r="19">
      <x:c r="A19" s="27" t="str">
        <x:v>EXT</x:v>
      </x:c>
      <x:c r="B19" s="36" t="str">
        <x:v>External Services &amp; Vendors</x:v>
      </x:c>
      <x:c r="C19" s="36" t="n">
        <x:v>8</x:v>
      </x:c>
      <x:c r="D19" s="36" t="str">
        <x:v>Production / Engineering</x:v>
      </x:c>
      <x:c r="E19" s="36" t="str">
        <x:v>LOW</x:v>
      </x:c>
      <x:c r="F19" s="36" t="str">
        <x:v>10, 11, 23, 24, 25, 27, 28, 31</x:v>
      </x:c>
      <x:c r="G19" s="36" t="str">
        <x:v>Setup/build/Steam/legal y registros de herramientas</x:v>
      </x:c>
      <x:c r="H19" s="36" t="str">
        <x:v>Inventario de dependencias, alternativas, exportación local y acceso mínimo.</x:v>
      </x:c>
      <x:c r="I19" s="36" t="str">
        <x:v>Eliminar dependencia innecesaria, preparar sustituto y exportar datos.</x:v>
      </x:c>
      <x:c r="J19" s="36" t="str">
        <x:v>BIA-15</x:v>
      </x:c>
      <x:c r="K19" s="36" t="str">
        <x:v>PB-15</x:v>
      </x:c>
    </x:row>
    <x:row r="20">
      <x:c r="A20" s="27" t="str">
        <x:v>ENV</x:v>
      </x:c>
      <x:c r="B20" s="36" t="str">
        <x:v>Hardware, Facilities &amp; Environment</x:v>
      </x:c>
      <x:c r="C20" s="36" t="n">
        <x:v>8</x:v>
      </x:c>
      <x:c r="D20" s="36" t="str">
        <x:v>Project Owner / IT</x:v>
      </x:c>
      <x:c r="E20" s="36" t="str">
        <x:v>LOW</x:v>
      </x:c>
      <x:c r="F20" s="36" t="str">
        <x:v>10, 11, 25, 27, 30, 31, 34</x:v>
      </x:c>
      <x:c r="G20" s="36" t="str">
        <x:v>Environment records, setup guides, handoffs y build records</x:v>
      </x:c>
      <x:c r="H20" s="36" t="str">
        <x:v>Backups, cifrado, inventario, protección eléctrica y entorno reproducible.</x:v>
      </x:c>
      <x:c r="I20" s="36" t="str">
        <x:v>Mantener equipo alternativo, copias externas y procedimiento de rebuild.</x:v>
      </x:c>
      <x:c r="J20" s="36" t="str">
        <x:v>BIA-16</x:v>
      </x:c>
      <x:c r="K20" s="36" t="str">
        <x:v>PB-16</x:v>
      </x:c>
    </x:row>
    <x:row r="21">
      <x:c r="A21" s="27" t="str">
        <x:v>DOC</x:v>
      </x:c>
      <x:c r="B21" s="36" t="str">
        <x:v>Documentation &amp; Knowledge</x:v>
      </x:c>
      <x:c r="C21" s="36" t="n">
        <x:v>8</x:v>
      </x:c>
      <x:c r="D21" s="36" t="str">
        <x:v>Documentation / Production</x:v>
      </x:c>
      <x:c r="E21" s="36" t="str">
        <x:v>LOW</x:v>
      </x:c>
      <x:c r="F21" s="36" t="str">
        <x:v>12, 13, 14, 15, 16, 31, 32, 33, 34</x:v>
      </x:c>
      <x:c r="G21" s="36" t="str">
        <x:v>Baselines v0.3–v0.6, README, manifests, checksums, ADR y handoffs</x:v>
      </x:c>
      <x:c r="H21" s="36" t="str">
        <x:v>Baseline numerada, hashes, trazabilidad, Binder, Guía y auditoría.</x:v>
      </x:c>
      <x:c r="I21" s="36" t="str">
        <x:v>Regenerar documentos afectados, preservar historia y cerrar referencias.</x:v>
      </x:c>
      <x:c r="J21" s="36" t="str">
        <x:v>BIA-17</x:v>
      </x:c>
      <x:c r="K21" s="36" t="str">
        <x:v>PB-17</x:v>
      </x:c>
    </x:row>
    <x:row r="22">
      <x:c r="A22" s="27" t="str">
        <x:v>BCP</x:v>
      </x:c>
      <x:c r="B22" s="36" t="str">
        <x:v>Business Continuity</x:v>
      </x:c>
      <x:c r="C22" s="36" t="n">
        <x:v>30</x:v>
      </x:c>
      <x:c r="D22" s="36" t="str">
        <x:v>Project Owner / asset owner</x:v>
      </x:c>
      <x:c r="E22" s="36" t="str">
        <x:v>LOW</x:v>
      </x:c>
      <x:c r="F22" s="36" t="str">
        <x:v>11, 13, 25, 27, 31, 32, 33</x:v>
      </x:c>
      <x:c r="G22" s="36" t="str">
        <x:v>Manifests, checksums, handoffs, build/evidence records</x:v>
      </x:c>
      <x:c r="H22" s="36" t="str">
        <x:v>3-2-1 copies, RTO/RPO and restore tests</x:v>
      </x:c>
      <x:c r="I22" s="36" t="str">
        <x:v>Redundant copy, alternate operator and clean-room recovery</x:v>
      </x:c>
      <x:c r="J22" s="36" t="str">
        <x:v>BIA-18</x:v>
      </x:c>
      <x:c r="K22" s="36" t="str">
        <x:v>PB-18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2f22c7515fd490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48" hidden="0" customWidth="1"/>
    <x:col min="5" max="5" width="55" hidden="0" customWidth="1"/>
    <x:col min="6" max="6" width="20" hidden="0" customWidth="1"/>
    <x:col min="7" max="7" width="58" hidden="0" customWidth="1"/>
    <x:col min="8" max="8" width="35" hidden="0" customWidth="1"/>
    <x:col min="9" max="9" width="28" hidden="0" customWidth="1"/>
    <x:col min="10" max="10" width="28" hidden="0" customWidth="1"/>
    <x:col min="11" max="11" width="18" hidden="0" customWidth="1"/>
    <x:col min="12" max="12" width="65" hidden="0" customWidth="1"/>
  </x:cols>
  <x:sheetData>
    <x:row r="1" ht="36" customHeight="1">
      <x:c r="A1" s="5" t="str">
        <x:v>17 — Risk and Continuity Change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3" t="str">
        <x:v>Append-only record of material changes to risks, controls, BIA, RTO/RPO, acceptance, playbooks and evidence.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t="str">
        <x:v>Change ID</x:v>
      </x:c>
      <x:c r="B4" t="str">
        <x:v>Date</x:v>
      </x:c>
      <x:c r="C4" t="str">
        <x:v>Object</x:v>
      </x:c>
      <x:c r="D4" t="str">
        <x:v>Previous State</x:v>
      </x:c>
      <x:c r="E4" t="str">
        <x:v>New State</x:v>
      </x:c>
      <x:c r="F4" t="str">
        <x:v>Change Type</x:v>
      </x:c>
      <x:c r="G4" t="str">
        <x:v>Reason</x:v>
      </x:c>
      <x:c r="H4" t="str">
        <x:v>Affected IDs</x:v>
      </x:c>
      <x:c r="I4" t="str">
        <x:v>Owner</x:v>
      </x:c>
      <x:c r="J4" t="str">
        <x:v>Reviewer</x:v>
      </x:c>
      <x:c r="K4" t="str">
        <x:v>Decision / Status</x:v>
      </x:c>
      <x:c r="L4" t="str">
        <x:v>Evidence / Notes</x:v>
      </x:c>
    </x:row>
    <x:row r="5">
      <x:c r="A5" s="27" t="str">
        <x:v>RC-0001</x:v>
      </x:c>
      <x:c r="B5" s="40" t="str">
        <x:v>2026-07-01</x:v>
      </x:c>
      <x:c r="C5" s="36" t="str">
        <x:v>33_Project_Risk_Register_and_Business_Continuity_Plan.xlsx</x:v>
      </x:c>
      <x:c r="D5" s="36" t="str">
        <x:v>Not generated</x:v>
      </x:c>
      <x:c r="E5" s="36" t="str">
        <x:v>Generated; external SHA pending</x:v>
      </x:c>
      <x:c r="F5" s="36" t="str">
        <x:v>CREATE</x:v>
      </x:c>
      <x:c r="G5" s="36" t="str">
        <x:v>Consolidate project-wide risk and continuity requirements</x:v>
      </x:c>
      <x:c r="H5" s="36" t="str">
        <x:v>All</x:v>
      </x:c>
      <x:c r="I5" s="36" t="str">
        <x:v>Project Owner / Production</x:v>
      </x:c>
      <x:c r="J5" s="36" t="str">
        <x:v>QA / Documentation</x:v>
      </x:c>
      <x:c r="K5" s="36" t="str">
        <x:v>RECORDED</x:v>
      </x:c>
      <x:c r="L5" s="36" t="str">
        <x:v>This workbook</x:v>
      </x:c>
    </x:row>
    <x:row r="6">
      <x:c r="A6" s="27" t="str">
        <x:v>RC-0002</x:v>
      </x:c>
      <x:c r="B6" s="40" t="str">
        <x:v>2026-07-01</x:v>
      </x:c>
      <x:c r="C6" s="36" t="str">
        <x:v>Historical risk sources</x:v>
      </x:c>
      <x:c r="D6" s="36" t="str">
        <x:v>Distributed across 745 files</x:v>
      </x:c>
      <x:c r="E6" s="36" t="str">
        <x:v>Inventoried and classified without deleting history</x:v>
      </x:c>
      <x:c r="F6" s="36" t="str">
        <x:v>CONSOLIDATE</x:v>
      </x:c>
      <x:c r="G6" s="36" t="str">
        <x:v>Preserve genealogy and centralize operational use</x:v>
      </x:c>
      <x:c r="H6" s="36" t="str">
        <x:v>HIST-0001 onward</x:v>
      </x:c>
      <x:c r="I6" s="36" t="str">
        <x:v>Documentation</x:v>
      </x:c>
      <x:c r="J6" s="36" t="str">
        <x:v>Project Owner</x:v>
      </x:c>
      <x:c r="K6" s="36" t="str">
        <x:v>RECORDED</x:v>
      </x:c>
      <x:c r="L6" s="36" t="str">
        <x:v>15_Historical_Traceability</x:v>
      </x:c>
    </x:row>
    <x:row r="7">
      <x:c r="A7" s="27" t="str">
        <x:v>RC-0003</x:v>
      </x:c>
      <x:c r="B7" s="40" t="str">
        <x:v>2026-07-01</x:v>
      </x:c>
      <x:c r="C7" s="36" t="str">
        <x:v>Continuity capability</x:v>
      </x:c>
      <x:c r="D7" s="36" t="str">
        <x:v>Backups/recovery not demonstrated end-to-end</x:v>
      </x:c>
      <x:c r="E7" s="36" t="str">
        <x:v>Initial BIA, backup register and exercise plan</x:v>
      </x:c>
      <x:c r="F7" s="36" t="str">
        <x:v>PLAN</x:v>
      </x:c>
      <x:c r="G7" s="36" t="str">
        <x:v>Prevent unsupported claims of resilience</x:v>
      </x:c>
      <x:c r="H7" s="36" t="str">
        <x:v>BIA-01–18, BK-01–16, EX-01–16</x:v>
      </x:c>
      <x:c r="I7" s="36" t="str">
        <x:v>Continuity Coordinator</x:v>
      </x:c>
      <x:c r="J7" s="36" t="str">
        <x:v>Project Owner</x:v>
      </x:c>
      <x:c r="K7" s="36" t="str">
        <x:v>OPEN</x:v>
      </x:c>
      <x:c r="L7" s="36" t="str">
        <x:v>Tests remain NOT RUN / UNVERIFIED</x:v>
      </x:c>
    </x:row>
    <x:row r="8">
      <x:c r="A8" s="27" t="str">
        <x:v>RC-0004</x:v>
      </x:c>
      <x:c r="B8" s="40" t="str">
        <x:v>2026-07-01</x:v>
      </x:c>
      <x:c r="C8" s="36" t="str">
        <x:v>Current documentation traceability</x:v>
      </x:c>
      <x:c r="D8" s="36" t="str">
        <x:v>RC1 hashes; 34 marked missing; 12–15/21/23/31 stale</x:v>
      </x:c>
      <x:c r="E8" s="36" t="str">
        <x:v>Current regenerated inputs recorded; 34 marked present/pending update</x:v>
      </x:c>
      <x:c r="F8" s="36" t="str">
        <x:v>UPDATE</x:v>
      </x:c>
      <x:c r="G8" s="36" t="str">
        <x:v>Align sources and physical states with consolidation sequence</x:v>
      </x:c>
      <x:c r="H8" s="36" t="str">
        <x:v>00–34</x:v>
      </x:c>
      <x:c r="I8" s="36" t="str">
        <x:v>Documentation</x:v>
      </x:c>
      <x:c r="J8" s="36" t="str">
        <x:v>Project Owner</x:v>
      </x:c>
      <x:c r="K8" s="36" t="str">
        <x:v>RECORDED</x:v>
      </x:c>
      <x:c r="L8" s="36" t="str">
        <x:v>14_Current_Traceability</x:v>
      </x:c>
    </x:row>
    <x:row r="9">
      <x:c r="A9" s="27" t="str">
        <x:v>RC-0005</x:v>
      </x:c>
      <x:c r="B9" s="40" t="str">
        <x:v>2026-07-01</x:v>
      </x:c>
      <x:c r="C9" s="36" t="str">
        <x:v>Risk population</x:v>
      </x:c>
      <x:c r="D9" s="36" t="str">
        <x:v>180 initialized risks</x:v>
      </x:c>
      <x:c r="E9" s="36" t="str">
        <x:v>192 risks including package, audit, handoff and restore threats</x:v>
      </x:c>
      <x:c r="F9" s="36" t="str">
        <x:v>EXPAND</x:v>
      </x:c>
      <x:c r="G9" s="36" t="str">
        <x:v>Capture risks discovered during RC1 consolidation</x:v>
      </x:c>
      <x:c r="H9" s="36" t="str">
        <x:v>R-DOC-009–012; R-BCP-031–032; R-GOV-011; R-PRD-011; R-SEC-013; R-LEG-009; R-PUB-009; R-EXT-009</x:v>
      </x:c>
      <x:c r="I9" s="36" t="str">
        <x:v>Continuity Coordinator</x:v>
      </x:c>
      <x:c r="J9" s="36" t="str">
        <x:v>QA / Documentation</x:v>
      </x:c>
      <x:c r="K9" s="36" t="str">
        <x:v>OPEN</x:v>
      </x:c>
      <x:c r="L9" s="36" t="str">
        <x:v>02_Risk_Register / 03_Treatment_Actions</x:v>
      </x:c>
    </x:row>
    <x:row r="10">
      <x:c r="A10" s="27" t="str">
        <x:v>RC-0006</x:v>
      </x:c>
      <x:c r="B10" s="40" t="str">
        <x:v>2026-07-01</x:v>
      </x:c>
      <x:c r="C10" s="36" t="str">
        <x:v>BIA and continuity controls</x:v>
      </x:c>
      <x:c r="D10" s="36" t="str">
        <x:v>18 capabilities; 84 strategies</x:v>
      </x:c>
      <x:c r="E10" s="36" t="str">
        <x:v>20 capabilities; 94 strategies</x:v>
      </x:c>
      <x:c r="F10" s="36" t="str">
        <x:v>EXPAND</x:v>
      </x:c>
      <x:c r="G10" s="36" t="str">
        <x:v>Add immutable package verification and independent handoff</x:v>
      </x:c>
      <x:c r="H10" s="36" t="str">
        <x:v>BIA-19–20; CS-085–094</x:v>
      </x:c>
      <x:c r="I10" s="36" t="str">
        <x:v>Continuity</x:v>
      </x:c>
      <x:c r="J10" s="36" t="str">
        <x:v>Project Owner</x:v>
      </x:c>
      <x:c r="K10" s="36" t="str">
        <x:v>OPEN</x:v>
      </x:c>
      <x:c r="L10" s="36" t="str">
        <x:v>04_BIA / 05_Continuity_Strategies</x:v>
      </x:c>
    </x:row>
    <x:row r="11">
      <x:c r="A11" s="27" t="str">
        <x:v>RC-0007</x:v>
      </x:c>
      <x:c r="B11" s="40" t="str">
        <x:v>2026-07-01</x:v>
      </x:c>
      <x:c r="C11" s="36" t="str">
        <x:v>Backup and dependencies</x:v>
      </x:c>
      <x:c r="D11" s="36" t="str">
        <x:v>16 backup assets; 25 dependencies</x:v>
      </x:c>
      <x:c r="E11" s="36" t="str">
        <x:v>19 backup assets; 30 dependencies</x:v>
      </x:c>
      <x:c r="F11" s="36" t="str">
        <x:v>EXPAND</x:v>
      </x:c>
      <x:c r="G11" s="36" t="str">
        <x:v>Add final package, checksum, commit/tag, evidence and alternate-operator dependencies</x:v>
      </x:c>
      <x:c r="H11" s="36" t="str">
        <x:v>BK-17–19; DEP-026–030</x:v>
      </x:c>
      <x:c r="I11" s="36" t="str">
        <x:v>Continuity / Engineering</x:v>
      </x:c>
      <x:c r="J11" s="36" t="str">
        <x:v>Security / QA</x:v>
      </x:c>
      <x:c r="K11" s="36" t="str">
        <x:v>OPEN</x:v>
      </x:c>
      <x:c r="L11" s="36" t="str">
        <x:v>06_Backup_Restore / 07_Critical_Dependencies</x:v>
      </x:c>
    </x:row>
    <x:row r="12">
      <x:c r="A12" s="27" t="str">
        <x:v>RC-0008</x:v>
      </x:c>
      <x:c r="B12" s="40" t="str">
        <x:v>2026-07-01</x:v>
      </x:c>
      <x:c r="C12" s="36" t="str">
        <x:v>Recovery validation</x:v>
      </x:c>
      <x:c r="D12" s="36" t="str">
        <x:v>No dedicated final-package/handoff runbooks</x:v>
      </x:c>
      <x:c r="E12" s="36" t="str">
        <x:v>RB-16/RB-17 and EX-17/EX-18 added</x:v>
      </x:c>
      <x:c r="F12" s="36" t="str">
        <x:v>EXPAND</x:v>
      </x:c>
      <x:c r="G12" s="36" t="str">
        <x:v>Require clean-room restore and independent resumption evidence</x:v>
      </x:c>
      <x:c r="H12" s="36" t="str">
        <x:v>RB-16–17; EX-17–18</x:v>
      </x:c>
      <x:c r="I12" s="36" t="str">
        <x:v>Continuity</x:v>
      </x:c>
      <x:c r="J12" s="36" t="str">
        <x:v>Independent Reviewer</x:v>
      </x:c>
      <x:c r="K12" s="36" t="str">
        <x:v>PLANNED</x:v>
      </x:c>
      <x:c r="L12" s="36" t="str">
        <x:v>09_Recovery_Runbooks / 10_Exercises_Tests</x:v>
      </x:c>
    </x:row>
    <x:row r="13">
      <x:c r="A13" s="27" t="str">
        <x:v>RC-0009</x:v>
      </x:c>
      <x:c r="B13" s="40" t="str">
        <x:v>2026-07-01</x:v>
      </x:c>
      <x:c r="C13" s="36" t="str">
        <x:v>Consolidation sequence</x:v>
      </x:c>
      <x:c r="D13" s="36" t="str">
        <x:v>Next document described as missing 34</x:v>
      </x:c>
      <x:c r="E13" s="36" t="str">
        <x:v>34 exists; directed update is next, then 32 candidate and 16 candidate</x:v>
      </x:c>
      <x:c r="F13" s="36" t="str">
        <x:v>CORRECT</x:v>
      </x:c>
      <x:c r="G13" s="36" t="str">
        <x:v>Remove obsolete future-document assumptions</x:v>
      </x:c>
      <x:c r="H13" s="36" t="str">
        <x:v>Dashboard, instructions, PB-02/PB-17/PB-18</x:v>
      </x:c>
      <x:c r="I13" s="36" t="str">
        <x:v>Documentation</x:v>
      </x:c>
      <x:c r="J13" s="36" t="str">
        <x:v>Project Owner</x:v>
      </x:c>
      <x:c r="K13" s="36" t="str">
        <x:v>RECORDED</x:v>
      </x:c>
      <x:c r="L13" s="36" t="str">
        <x:v>01_Dashboard / 00_Instrucciones</x:v>
      </x:c>
    </x:row>
    <x:row r="14">
      <x:c r="A14" s="27"/>
      <x:c r="B14" s="40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27"/>
      <x:c r="B15" s="40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6">
      <x:c r="A16" s="27"/>
      <x:c r="B16" s="40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>
      <x:c r="A17" s="27"/>
      <x:c r="B17" s="40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>
      <x:c r="A18" s="27"/>
      <x:c r="B18" s="40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>
      <x:c r="A19" s="27"/>
      <x:c r="B19" s="40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>
      <x:c r="A20" s="27"/>
      <x:c r="B20" s="40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>
      <x:c r="A21" s="27"/>
      <x:c r="B21" s="40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>
      <x:c r="A22" s="27"/>
      <x:c r="B22" s="40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>
      <x:c r="A23" s="27"/>
      <x:c r="B23" s="40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>
      <x:c r="A24" s="27"/>
      <x:c r="B24" s="40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>
      <x:c r="A25" s="27"/>
      <x:c r="B25" s="40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>
      <x:c r="A26" s="27"/>
      <x:c r="B26" s="40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>
      <x:c r="A27" s="27"/>
      <x:c r="B27" s="40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>
      <x:c r="A28" s="27"/>
      <x:c r="B28" s="40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>
      <x:c r="A29" s="27"/>
      <x:c r="B29" s="40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>
      <x:c r="A30" s="27"/>
      <x:c r="B30" s="40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>
      <x:c r="A31" s="27"/>
      <x:c r="B31" s="40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>
      <x:c r="A32" s="27"/>
      <x:c r="B32" s="40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>
      <x:c r="A33" s="27"/>
      <x:c r="B33" s="40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>
      <x:c r="A34" s="27"/>
      <x:c r="B34" s="40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>
      <x:c r="A35" s="27"/>
      <x:c r="B35" s="40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>
      <x:c r="A36" s="27"/>
      <x:c r="B36" s="40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>
      <x:c r="A37" s="27"/>
      <x:c r="B37" s="40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>
      <x:c r="A38" s="27"/>
      <x:c r="B38" s="40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>
      <x:c r="A39" s="27"/>
      <x:c r="B39" s="40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>
      <x:c r="A40" s="27"/>
      <x:c r="B40" s="40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>
      <x:c r="A41" s="27"/>
      <x:c r="B41" s="40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>
      <x:c r="A42" s="27"/>
      <x:c r="B42" s="40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27"/>
      <x:c r="B43" s="40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>
      <x:c r="A44" s="27"/>
      <x:c r="B44" s="40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>
      <x:c r="A45" s="27"/>
      <x:c r="B45" s="40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>
      <x:c r="A46" s="27"/>
      <x:c r="B46" s="40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>
      <x:c r="A47" s="27"/>
      <x:c r="B47" s="40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>
      <x:c r="A48" s="27"/>
      <x:c r="B48" s="40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>
      <x:c r="A49" s="27"/>
      <x:c r="B49" s="40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>
      <x:c r="A50" s="27"/>
      <x:c r="B50" s="40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>
      <x:c r="A51" s="27"/>
      <x:c r="B51" s="40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>
      <x:c r="A52" s="27"/>
      <x:c r="B52" s="40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>
      <x:c r="A53" s="27"/>
      <x:c r="B53" s="40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>
      <x:c r="A54" s="27"/>
      <x:c r="B54" s="40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>
      <x:c r="A55" s="27"/>
      <x:c r="B55" s="40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>
      <x:c r="A56" s="27"/>
      <x:c r="B56" s="40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>
      <x:c r="A57" s="27"/>
      <x:c r="B57" s="40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>
      <x:c r="A58" s="27"/>
      <x:c r="B58" s="40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>
      <x:c r="A59" s="27"/>
      <x:c r="B59" s="40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>
      <x:c r="A60" s="27"/>
      <x:c r="B60" s="40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>
      <x:c r="A61" s="27"/>
      <x:c r="B61" s="40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>
      <x:c r="A62" s="27"/>
      <x:c r="B62" s="40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  <x:row r="63">
      <x:c r="A63" s="27"/>
      <x:c r="B63" s="40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</x:row>
    <x:row r="64">
      <x:c r="A64" s="27"/>
      <x:c r="B64" s="40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</x:row>
    <x:row r="65">
      <x:c r="A65" s="27"/>
      <x:c r="B65" s="40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</x:row>
    <x:row r="66">
      <x:c r="A66" s="27"/>
      <x:c r="B66" s="40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</x:row>
    <x:row r="67">
      <x:c r="A67" s="27"/>
      <x:c r="B67" s="40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</x:row>
    <x:row r="68">
      <x:c r="A68" s="27"/>
      <x:c r="B68" s="40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</x:row>
    <x:row r="69">
      <x:c r="A69" s="27"/>
      <x:c r="B69" s="40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</x:row>
    <x:row r="70">
      <x:c r="A70" s="27"/>
      <x:c r="B70" s="40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</x:row>
    <x:row r="71">
      <x:c r="A71" s="27"/>
      <x:c r="B71" s="40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</x:row>
    <x:row r="72">
      <x:c r="A72" s="27"/>
      <x:c r="B72" s="40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</x:row>
    <x:row r="73">
      <x:c r="A73" s="27"/>
      <x:c r="B73" s="40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</x:row>
    <x:row r="74">
      <x:c r="A74" s="27"/>
      <x:c r="B74" s="40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</x:row>
    <x:row r="75">
      <x:c r="A75" s="27"/>
      <x:c r="B75" s="40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</x:row>
    <x:row r="76">
      <x:c r="A76" s="27"/>
      <x:c r="B76" s="40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</x:row>
    <x:row r="77">
      <x:c r="A77" s="27"/>
      <x:c r="B77" s="40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</x:row>
    <x:row r="78">
      <x:c r="A78" s="27"/>
      <x:c r="B78" s="40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</x:row>
    <x:row r="79">
      <x:c r="A79" s="27"/>
      <x:c r="B79" s="40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</x:row>
    <x:row r="80">
      <x:c r="A80" s="27"/>
      <x:c r="B80" s="40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</x:row>
    <x:row r="81">
      <x:c r="A81" s="27"/>
      <x:c r="B81" s="40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</x:row>
    <x:row r="82">
      <x:c r="A82" s="27"/>
      <x:c r="B82" s="40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</x:row>
    <x:row r="83">
      <x:c r="A83" s="27"/>
      <x:c r="B83" s="40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</x:row>
    <x:row r="84">
      <x:c r="A84" s="27"/>
      <x:c r="B84" s="40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</x:row>
    <x:row r="85">
      <x:c r="A85" s="27"/>
      <x:c r="B85" s="40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</x:row>
    <x:row r="86">
      <x:c r="A86" s="27"/>
      <x:c r="B86" s="40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</x:row>
    <x:row r="87">
      <x:c r="A87" s="27"/>
      <x:c r="B87" s="40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</x:row>
    <x:row r="88">
      <x:c r="A88" s="27"/>
      <x:c r="B88" s="40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</x:row>
    <x:row r="89">
      <x:c r="A89" s="27"/>
      <x:c r="B89" s="40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</x:row>
    <x:row r="90">
      <x:c r="A90" s="27"/>
      <x:c r="B90" s="40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</x:row>
    <x:row r="91">
      <x:c r="A91" s="27"/>
      <x:c r="B91" s="40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</x:row>
    <x:row r="92">
      <x:c r="A92" s="27"/>
      <x:c r="B92" s="40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</x:row>
    <x:row r="93">
      <x:c r="A93" s="27"/>
      <x:c r="B93" s="40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</x:row>
    <x:row r="94">
      <x:c r="A94" s="27"/>
      <x:c r="B94" s="40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</x:row>
    <x:row r="95">
      <x:c r="A95" s="27"/>
      <x:c r="B95" s="40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</x:row>
    <x:row r="96">
      <x:c r="A96" s="27"/>
      <x:c r="B96" s="40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</x:row>
    <x:row r="97">
      <x:c r="A97" s="27"/>
      <x:c r="B97" s="40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</x:row>
    <x:row r="98">
      <x:c r="A98" s="27"/>
      <x:c r="B98" s="40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</x:row>
    <x:row r="99">
      <x:c r="A99" s="27"/>
      <x:c r="B99" s="40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</x:row>
    <x:row r="100">
      <x:c r="A100" s="27"/>
      <x:c r="B100" s="40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</x:row>
    <x:row r="101">
      <x:c r="A101" s="27"/>
      <x:c r="B101" s="40"/>
      <x:c r="C101" s="36"/>
      <x:c r="D101" s="36"/>
      <x:c r="E101" s="36"/>
      <x:c r="F101" s="36"/>
      <x:c r="G101" s="36"/>
      <x:c r="H101" s="36"/>
      <x:c r="I101" s="36"/>
      <x:c r="J101" s="36"/>
      <x:c r="K101" s="36"/>
      <x:c r="L101" s="36"/>
    </x:row>
    <x:row r="102">
      <x:c r="A102" s="27"/>
      <x:c r="B102" s="40"/>
      <x:c r="C102" s="36"/>
      <x:c r="D102" s="36"/>
      <x:c r="E102" s="36"/>
      <x:c r="F102" s="36"/>
      <x:c r="G102" s="36"/>
      <x:c r="H102" s="36"/>
      <x:c r="I102" s="36"/>
      <x:c r="J102" s="36"/>
      <x:c r="K102" s="36"/>
      <x:c r="L102" s="36"/>
    </x:row>
    <x:row r="103">
      <x:c r="A103" s="27"/>
      <x:c r="B103" s="40"/>
      <x:c r="C103" s="36"/>
      <x:c r="D103" s="36"/>
      <x:c r="E103" s="36"/>
      <x:c r="F103" s="36"/>
      <x:c r="G103" s="36"/>
      <x:c r="H103" s="36"/>
      <x:c r="I103" s="36"/>
      <x:c r="J103" s="36"/>
      <x:c r="K103" s="36"/>
      <x:c r="L103" s="36"/>
    </x:row>
    <x:row r="104">
      <x:c r="A104" s="27"/>
      <x:c r="B104" s="40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</x:row>
    <x:row r="105">
      <x:c r="A105" s="27"/>
      <x:c r="B105" s="40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</x:row>
    <x:row r="106">
      <x:c r="A106" s="27"/>
      <x:c r="B106" s="40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</x:row>
    <x:row r="107">
      <x:c r="A107" s="27"/>
      <x:c r="B107" s="40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</x:row>
    <x:row r="108">
      <x:c r="A108" s="27"/>
      <x:c r="B108" s="40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</x:row>
    <x:row r="109">
      <x:c r="A109" s="27"/>
      <x:c r="B109" s="40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</x:row>
    <x:row r="110">
      <x:c r="A110" s="27"/>
      <x:c r="B110" s="40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</x:row>
    <x:row r="111">
      <x:c r="A111" s="27"/>
      <x:c r="B111" s="40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</x:row>
    <x:row r="112">
      <x:c r="A112" s="27"/>
      <x:c r="B112" s="40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</x:row>
    <x:row r="113">
      <x:c r="A113" s="27"/>
      <x:c r="B113" s="40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</x:row>
    <x:row r="114">
      <x:c r="A114" s="27"/>
      <x:c r="B114" s="40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</x:row>
    <x:row r="115">
      <x:c r="A115" s="27"/>
      <x:c r="B115" s="40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</x:row>
    <x:row r="116">
      <x:c r="A116" s="27"/>
      <x:c r="B116" s="40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</x:row>
    <x:row r="117">
      <x:c r="A117" s="27"/>
      <x:c r="B117" s="40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</x:row>
    <x:row r="118">
      <x:c r="A118" s="27"/>
      <x:c r="B118" s="40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</x:row>
    <x:row r="119">
      <x:c r="A119" s="27"/>
      <x:c r="B119" s="40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</x:row>
    <x:row r="120">
      <x:c r="A120" s="27"/>
      <x:c r="B120" s="40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</x:row>
    <x:row r="121">
      <x:c r="A121" s="27"/>
      <x:c r="B121" s="40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</x:row>
    <x:row r="122">
      <x:c r="A122" s="27"/>
      <x:c r="B122" s="40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</x:row>
    <x:row r="123">
      <x:c r="A123" s="27"/>
      <x:c r="B123" s="40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</x:row>
    <x:row r="124">
      <x:c r="A124" s="27"/>
      <x:c r="B124" s="40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</x:row>
    <x:row r="125">
      <x:c r="A125" s="27"/>
      <x:c r="B125" s="40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</x:row>
    <x:row r="126">
      <x:c r="A126" s="27"/>
      <x:c r="B126" s="40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</x:row>
    <x:row r="127">
      <x:c r="A127" s="27"/>
      <x:c r="B127" s="40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</x:row>
    <x:row r="128">
      <x:c r="A128" s="27"/>
      <x:c r="B128" s="40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</x:row>
    <x:row r="129">
      <x:c r="A129" s="27"/>
      <x:c r="B129" s="40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</x:row>
    <x:row r="130">
      <x:c r="A130" s="27"/>
      <x:c r="B130" s="40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</x:row>
    <x:row r="131">
      <x:c r="A131" s="27"/>
      <x:c r="B131" s="40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</x:row>
    <x:row r="132">
      <x:c r="A132" s="27"/>
      <x:c r="B132" s="40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</x:row>
    <x:row r="133">
      <x:c r="A133" s="27"/>
      <x:c r="B133" s="40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</x:row>
    <x:row r="134">
      <x:c r="A134" s="27"/>
      <x:c r="B134" s="40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</x:row>
    <x:row r="135">
      <x:c r="A135" s="27"/>
      <x:c r="B135" s="40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</x:row>
    <x:row r="136">
      <x:c r="A136" s="27"/>
      <x:c r="B136" s="40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</x:row>
    <x:row r="137">
      <x:c r="A137" s="27"/>
      <x:c r="B137" s="40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</x:row>
    <x:row r="138">
      <x:c r="A138" s="27"/>
      <x:c r="B138" s="40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</x:row>
    <x:row r="139">
      <x:c r="A139" s="27"/>
      <x:c r="B139" s="40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</x:row>
    <x:row r="140">
      <x:c r="A140" s="27"/>
      <x:c r="B140" s="40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</x:row>
    <x:row r="141">
      <x:c r="A141" s="27"/>
      <x:c r="B141" s="40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</x:row>
    <x:row r="142">
      <x:c r="A142" s="27"/>
      <x:c r="B142" s="40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</x:row>
    <x:row r="143">
      <x:c r="A143" s="27"/>
      <x:c r="B143" s="40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</x:row>
    <x:row r="144">
      <x:c r="A144" s="27"/>
      <x:c r="B144" s="40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</x:row>
    <x:row r="145">
      <x:c r="A145" s="27"/>
      <x:c r="B145" s="40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</x:row>
    <x:row r="146">
      <x:c r="A146" s="27"/>
      <x:c r="B146" s="40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</x:row>
    <x:row r="147">
      <x:c r="A147" s="27"/>
      <x:c r="B147" s="40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</x:row>
    <x:row r="148">
      <x:c r="A148" s="27"/>
      <x:c r="B148" s="40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</x:row>
    <x:row r="149">
      <x:c r="A149" s="27"/>
      <x:c r="B149" s="40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</x:row>
    <x:row r="150">
      <x:c r="A150" s="27"/>
      <x:c r="B150" s="40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</x:row>
    <x:row r="151">
      <x:c r="A151" s="27"/>
      <x:c r="B151" s="40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</x:row>
    <x:row r="152">
      <x:c r="A152" s="27"/>
      <x:c r="B152" s="40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</x:row>
    <x:row r="153">
      <x:c r="A153" s="27"/>
      <x:c r="B153" s="40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</x:row>
    <x:row r="154">
      <x:c r="A154" s="27"/>
      <x:c r="B154" s="40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</x:row>
    <x:row r="155">
      <x:c r="A155" s="27"/>
      <x:c r="B155" s="40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</x:row>
    <x:row r="156">
      <x:c r="A156" s="27"/>
      <x:c r="B156" s="40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</x:row>
    <x:row r="157">
      <x:c r="A157" s="27"/>
      <x:c r="B157" s="40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</x:row>
    <x:row r="158">
      <x:c r="A158" s="27"/>
      <x:c r="B158" s="40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</x:row>
    <x:row r="159">
      <x:c r="A159" s="27"/>
      <x:c r="B159" s="40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</x:row>
    <x:row r="160">
      <x:c r="A160" s="27"/>
      <x:c r="B160" s="40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</x:row>
    <x:row r="161">
      <x:c r="A161" s="27"/>
      <x:c r="B161" s="40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</x:row>
    <x:row r="162">
      <x:c r="A162" s="27"/>
      <x:c r="B162" s="40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</x:row>
    <x:row r="163">
      <x:c r="A163" s="27"/>
      <x:c r="B163" s="40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</x:row>
    <x:row r="164">
      <x:c r="A164" s="27"/>
      <x:c r="B164" s="40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</x:row>
    <x:row r="165">
      <x:c r="A165" s="27"/>
      <x:c r="B165" s="40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</x:row>
    <x:row r="166">
      <x:c r="A166" s="27"/>
      <x:c r="B166" s="40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</x:row>
    <x:row r="167">
      <x:c r="A167" s="27"/>
      <x:c r="B167" s="40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</x:row>
    <x:row r="168">
      <x:c r="A168" s="27"/>
      <x:c r="B168" s="40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</x:row>
    <x:row r="169">
      <x:c r="A169" s="27"/>
      <x:c r="B169" s="40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</x:row>
    <x:row r="170">
      <x:c r="A170" s="27"/>
      <x:c r="B170" s="40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</x:row>
    <x:row r="171">
      <x:c r="A171" s="27"/>
      <x:c r="B171" s="40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</x:row>
    <x:row r="172">
      <x:c r="A172" s="27"/>
      <x:c r="B172" s="40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</x:row>
    <x:row r="173">
      <x:c r="A173" s="27"/>
      <x:c r="B173" s="40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</x:row>
    <x:row r="174">
      <x:c r="A174" s="27"/>
      <x:c r="B174" s="40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</x:row>
    <x:row r="175">
      <x:c r="A175" s="27"/>
      <x:c r="B175" s="40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</x:row>
    <x:row r="176">
      <x:c r="A176" s="27"/>
      <x:c r="B176" s="40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</x:row>
    <x:row r="177">
      <x:c r="A177" s="27"/>
      <x:c r="B177" s="40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</x:row>
    <x:row r="178">
      <x:c r="A178" s="27"/>
      <x:c r="B178" s="40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</x:row>
    <x:row r="179">
      <x:c r="A179" s="27"/>
      <x:c r="B179" s="40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</x:row>
    <x:row r="180">
      <x:c r="A180" s="27"/>
      <x:c r="B180" s="40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</x:row>
    <x:row r="181">
      <x:c r="A181" s="27"/>
      <x:c r="B181" s="40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</x:row>
    <x:row r="182">
      <x:c r="A182" s="27"/>
      <x:c r="B182" s="40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</x:row>
    <x:row r="183">
      <x:c r="A183" s="27"/>
      <x:c r="B183" s="40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</x:row>
    <x:row r="184">
      <x:c r="A184" s="27"/>
      <x:c r="B184" s="40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</x:row>
    <x:row r="185">
      <x:c r="A185" s="27"/>
      <x:c r="B185" s="40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</x:row>
    <x:row r="186">
      <x:c r="A186" s="27"/>
      <x:c r="B186" s="40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</x:row>
    <x:row r="187">
      <x:c r="A187" s="27"/>
      <x:c r="B187" s="40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</x:row>
    <x:row r="188">
      <x:c r="A188" s="27"/>
      <x:c r="B188" s="40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</x:row>
    <x:row r="189">
      <x:c r="A189" s="27"/>
      <x:c r="B189" s="40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</x:row>
    <x:row r="190">
      <x:c r="A190" s="27"/>
      <x:c r="B190" s="40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</x:row>
    <x:row r="191">
      <x:c r="A191" s="27"/>
      <x:c r="B191" s="40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</x:row>
    <x:row r="192">
      <x:c r="A192" s="27"/>
      <x:c r="B192" s="40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</x:row>
    <x:row r="193">
      <x:c r="A193" s="27"/>
      <x:c r="B193" s="40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</x:row>
    <x:row r="194">
      <x:c r="A194" s="27"/>
      <x:c r="B194" s="40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</x:row>
    <x:row r="195">
      <x:c r="A195" s="27"/>
      <x:c r="B195" s="40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</x:row>
    <x:row r="196">
      <x:c r="A196" s="27"/>
      <x:c r="B196" s="40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</x:row>
    <x:row r="197">
      <x:c r="A197" s="27"/>
      <x:c r="B197" s="40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</x:row>
    <x:row r="198">
      <x:c r="A198" s="27"/>
      <x:c r="B198" s="40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</x:row>
    <x:row r="199">
      <x:c r="A199" s="27"/>
      <x:c r="B199" s="40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</x:row>
    <x:row r="200">
      <x:c r="A200" s="27"/>
      <x:c r="B200" s="40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</x:row>
  </x:sheetData>
  <x:mergeCells>
    <x:mergeCell ref="A1:L1"/>
    <x:mergeCell ref="A2:L2"/>
  </x:mergeCells>
  <x:dataValidations count="2">
    <x:dataValidation type="list" sqref="F5:F200">
      <x:formula1>"CREATE,UPDATE,SCORE CHANGE,OWNER CHANGE,TREATMENT,ACCEPTANCE,CLOSURE,INCIDENT LESSON,RTO/RPO CHANGE,ARCHIVE,CONSOLIDATE,PLAN"</x:formula1>
    </x:dataValidation>
    <x:dataValidation type="list" sqref="K5:K200">
      <x:formula1>"OPEN,RECORDED,APPROVED,REJECTED,SUPERSEDED"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01909aef34c4b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21" t="str">
        <x:v>Risk Status</x:v>
      </x:c>
      <x:c r="B1" s="21" t="str">
        <x:v>Risk Rating</x:v>
      </x:c>
      <x:c r="C1" s="21" t="str">
        <x:v>Appetite</x:v>
      </x:c>
      <x:c r="D1" s="21" t="str">
        <x:v>Treatment</x:v>
      </x:c>
      <x:c r="E1" s="21" t="str">
        <x:v>Control Maturity</x:v>
      </x:c>
      <x:c r="F1" s="21" t="str">
        <x:v>Evidence</x:v>
      </x:c>
      <x:c r="G1" s="21" t="str">
        <x:v>Exercise Result</x:v>
      </x:c>
      <x:c r="H1" s="21" t="str">
        <x:v>Frequency</x:v>
      </x:c>
      <x:c r="I1" s="21" t="str">
        <x:v>Incident Status</x:v>
      </x:c>
      <x:c r="J1" s="21" t="str">
        <x:v>Acceptance</x:v>
      </x:c>
    </x:row>
    <x:row r="2">
      <x:c r="A2" s="27" t="str">
        <x:v>OPEN</x:v>
      </x:c>
      <x:c r="B2" s="27" t="str">
        <x:v>LOW</x:v>
      </x:c>
      <x:c r="C2" s="27" t="str">
        <x:v>ZERO</x:v>
      </x:c>
      <x:c r="D2" s="27" t="str">
        <x:v>AVOID</x:v>
      </x:c>
      <x:c r="E2" s="27" t="str">
        <x:v>ABSENT</x:v>
      </x:c>
      <x:c r="F2" s="27" t="str">
        <x:v>UNVERIFIED</x:v>
      </x:c>
      <x:c r="G2" s="27" t="str">
        <x:v>NOT RUN</x:v>
      </x:c>
      <x:c r="H2" s="27" t="str">
        <x:v>WEEKLY</x:v>
      </x:c>
      <x:c r="I2" s="27" t="str">
        <x:v>OPEN</x:v>
      </x:c>
      <x:c r="J2" s="27" t="str">
        <x:v>PENDING</x:v>
      </x:c>
    </x:row>
    <x:row r="3">
      <x:c r="A3" s="27" t="str">
        <x:v>MONITORING</x:v>
      </x:c>
      <x:c r="B3" s="27" t="str">
        <x:v>MEDIUM</x:v>
      </x:c>
      <x:c r="C3" s="27" t="str">
        <x:v>LOW</x:v>
      </x:c>
      <x:c r="D3" s="27" t="str">
        <x:v>MITIGATE</x:v>
      </x:c>
      <x:c r="E3" s="27" t="str">
        <x:v>PLANNED</x:v>
      </x:c>
      <x:c r="F3" s="27" t="str">
        <x:v>PARTIAL EVIDENCE</x:v>
      </x:c>
      <x:c r="G3" s="27" t="str">
        <x:v>PASS</x:v>
      </x:c>
      <x:c r="H3" s="27" t="str">
        <x:v>BIWEEKLY</x:v>
      </x:c>
      <x:c r="I3" s="27" t="str">
        <x:v>CONTAINED</x:v>
      </x:c>
      <x:c r="J3" s="27" t="str">
        <x:v>APPROVED</x:v>
      </x:c>
    </x:row>
    <x:row r="4">
      <x:c r="A4" s="27" t="str">
        <x:v>TREATING</x:v>
      </x:c>
      <x:c r="B4" s="27" t="str">
        <x:v>HIGH</x:v>
      </x:c>
      <x:c r="C4" s="27" t="str">
        <x:v>MODERATE</x:v>
      </x:c>
      <x:c r="D4" s="27" t="str">
        <x:v>TRANSFER</x:v>
      </x:c>
      <x:c r="E4" s="27" t="str">
        <x:v>PARTIAL</x:v>
      </x:c>
      <x:c r="F4" s="27" t="str">
        <x:v>VERIFIED</x:v>
      </x:c>
      <x:c r="G4" s="27" t="str">
        <x:v>FAIL</x:v>
      </x:c>
      <x:c r="H4" s="27" t="str">
        <x:v>MONTHLY</x:v>
      </x:c>
      <x:c r="I4" s="27" t="str">
        <x:v>RECOVERING</x:v>
      </x:c>
      <x:c r="J4" s="27" t="str">
        <x:v>REJECTED</x:v>
      </x:c>
    </x:row>
    <x:row r="5">
      <x:c r="A5" s="27" t="str">
        <x:v>ESCALATED</x:v>
      </x:c>
      <x:c r="B5" s="27" t="str">
        <x:v>CRITICAL</x:v>
      </x:c>
      <x:c r="C5" s="27" t="str">
        <x:v>HIGH</x:v>
      </x:c>
      <x:c r="D5" s="27" t="str">
        <x:v>ACCEPT</x:v>
      </x:c>
      <x:c r="E5" s="27" t="str">
        <x:v>DEFINED</x:v>
      </x:c>
      <x:c r="F5" s="27" t="str">
        <x:v>FAILED</x:v>
      </x:c>
      <x:c r="G5" s="27" t="str">
        <x:v>PARTIAL</x:v>
      </x:c>
      <x:c r="H5" s="27" t="str">
        <x:v>QUARTERLY</x:v>
      </x:c>
      <x:c r="I5" s="27" t="str">
        <x:v>MONITORING</x:v>
      </x:c>
      <x:c r="J5" s="27" t="str">
        <x:v>EXPIRED</x:v>
      </x:c>
    </x:row>
    <x:row r="6">
      <x:c r="A6" s="27" t="str">
        <x:v>ACCEPTANCE REQUESTED</x:v>
      </x:c>
      <x:c r="B6" s="27" t="str"/>
      <x:c r="C6" s="27" t="str"/>
      <x:c r="D6" s="27" t="str">
        <x:v>EXPLOIT / ENHANCE</x:v>
      </x:c>
      <x:c r="E6" s="27" t="str">
        <x:v>OPERATING</x:v>
      </x:c>
      <x:c r="F6" s="27" t="str">
        <x:v>EXPIRED</x:v>
      </x:c>
      <x:c r="G6" s="27" t="str">
        <x:v>NOT APPLICABLE</x:v>
      </x:c>
      <x:c r="H6" s="27" t="str">
        <x:v>SEMIANNUAL</x:v>
      </x:c>
      <x:c r="I6" s="27" t="str">
        <x:v>CLOSED</x:v>
      </x:c>
      <x:c r="J6" s="27" t="str">
        <x:v>WITHDRAWN</x:v>
      </x:c>
    </x:row>
    <x:row r="7">
      <x:c r="A7" s="27" t="str">
        <x:v>ACCEPTED</x:v>
      </x:c>
      <x:c r="B7" s="27" t="str"/>
      <x:c r="C7" s="27" t="str"/>
      <x:c r="D7" s="27" t="str"/>
      <x:c r="E7" s="27" t="str">
        <x:v>VERIFIED</x:v>
      </x:c>
      <x:c r="F7" s="27" t="str">
        <x:v>NOT APPLICABLE</x:v>
      </x:c>
      <x:c r="G7" s="27" t="str"/>
      <x:c r="H7" s="27" t="str">
        <x:v>ANNUAL</x:v>
      </x:c>
      <x:c r="I7" s="27" t="str"/>
      <x:c r="J7" s="27" t="str"/>
    </x:row>
    <x:row r="8">
      <x:c r="A8" s="27" t="str">
        <x:v>CLOSED</x:v>
      </x:c>
      <x:c r="B8" s="27" t="str"/>
      <x:c r="C8" s="27" t="str"/>
      <x:c r="D8" s="27" t="str"/>
      <x:c r="E8" s="27" t="str"/>
      <x:c r="F8" s="27" t="str"/>
      <x:c r="G8" s="27" t="str"/>
      <x:c r="H8" s="27" t="str">
        <x:v>PER MILESTONE</x:v>
      </x:c>
      <x:c r="I8" s="27" t="str"/>
      <x:c r="J8" s="27" t="str"/>
    </x:row>
    <x:row r="9">
      <x:c r="A9" s="27" t="str">
        <x:v>RETIRED</x:v>
      </x:c>
      <x:c r="B9" s="27" t="str"/>
      <x:c r="C9" s="27" t="str"/>
      <x:c r="D9" s="27" t="str"/>
      <x:c r="E9" s="27" t="str"/>
      <x:c r="F9" s="27" t="str"/>
      <x:c r="G9" s="27" t="str"/>
      <x:c r="H9" s="27" t="str">
        <x:v>PER RELEASE</x:v>
      </x:c>
      <x:c r="I9" s="27" t="str"/>
      <x:c r="J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>
        <x:v>ON CHANGE</x:v>
      </x:c>
      <x:c r="I10" s="27" t="str"/>
      <x:c r="J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>
        <x:v>PER INCIDENT</x:v>
      </x:c>
      <x:c r="I11" s="27" t="str"/>
      <x:c r="J11" s="27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8" hidden="0" customWidth="1"/>
    <x:col min="4" max="4" width="18" hidden="0" customWidth="1"/>
    <x:col min="5" max="5" width="34" hidden="0" customWidth="1"/>
    <x:col min="6" max="6" width="55" hidden="0" customWidth="1"/>
    <x:col min="7" max="7" width="4" hidden="0" customWidth="1"/>
    <x:col min="8" max="8" width="24" hidden="0" customWidth="1"/>
    <x:col min="9" max="9" width="28" hidden="0" customWidth="1"/>
    <x:col min="10" max="10" width="58" hidden="0" customWidth="1"/>
  </x:cols>
  <x:sheetData>
    <x:row r="1" ht="36" customHeight="1">
      <x:c r="A1" s="5" t="str">
        <x:v>19 — Scoring, Appetite and Review Methodology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2" customHeight="1">
      <x:c r="A2" s="13" t="str">
        <x:v>Reference tables for consistent scoring. Scores support decisions; they do not replace engineering, legal, security, privacy or product judgment.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1" t="str">
        <x:v>Likelihood</x:v>
      </x:c>
      <x:c r="B4" s="21" t="str">
        <x:v>Definition</x:v>
      </x:c>
      <x:c r="C4" s="21" t="str">
        <x:v>Indicative Frequency / Evidence</x:v>
      </x:c>
      <x:c r="D4" s="21" t="str">
        <x:v>Impact</x:v>
      </x:c>
      <x:c r="E4" s="21" t="str">
        <x:v>Definition</x:v>
      </x:c>
      <x:c r="F4" s="21" t="str">
        <x:v>Examples</x:v>
      </x:c>
      <x:c r="H4" s="21" t="str">
        <x:v>Appetite</x:v>
      </x:c>
      <x:c r="I4" s="21" t="str">
        <x:v>Maximum residual score</x:v>
      </x:c>
      <x:c r="J4" s="21" t="str">
        <x:v>Rule</x:v>
      </x:c>
    </x:row>
    <x:row r="5">
      <x:c r="A5" s="57" t="n">
        <x:v>1</x:v>
      </x:c>
      <x:c r="B5" s="36" t="str">
        <x:v>Rare</x:v>
      </x:c>
      <x:c r="C5" s="36" t="str">
        <x:v>Exceptional; no known occurrence and strong controls</x:v>
      </x:c>
      <x:c r="D5" s="64" t="n">
        <x:v>1</x:v>
      </x:c>
      <x:c r="E5" s="36" t="str">
        <x:v>Negligible</x:v>
      </x:c>
      <x:c r="F5" s="36" t="str">
        <x:v>No gate impact; trivial recovery</x:v>
      </x:c>
      <x:c r="G5" s="65"/>
      <x:c r="H5" s="36" t="str">
        <x:v>ZERO</x:v>
      </x:c>
      <x:c r="I5" s="36" t="n">
        <x:v>0</x:v>
      </x:c>
      <x:c r="J5" s="36" t="str">
        <x:v>No avoidable exposure; eliminate/avoid or exceptional escalation</x:v>
      </x:c>
    </x:row>
    <x:row r="6">
      <x:c r="A6" s="57" t="n">
        <x:v>2</x:v>
      </x:c>
      <x:c r="B6" s="36" t="str">
        <x:v>Unlikely</x:v>
      </x:c>
      <x:c r="C6" s="36" t="str">
        <x:v>Possible but not expected in current phase</x:v>
      </x:c>
      <x:c r="D6" s="64" t="n">
        <x:v>2</x:v>
      </x:c>
      <x:c r="E6" s="36" t="str">
        <x:v>Minor</x:v>
      </x:c>
      <x:c r="F6" s="36" t="str">
        <x:v>Limited rework; no critical path/user data impact</x:v>
      </x:c>
      <x:c r="G6" s="65"/>
      <x:c r="H6" s="36" t="str">
        <x:v>LOW</x:v>
      </x:c>
      <x:c r="I6" s="36" t="n">
        <x:v>4</x:v>
      </x:c>
      <x:c r="J6" s="36" t="str">
        <x:v>Only LOW residual risk</x:v>
      </x:c>
    </x:row>
    <x:row r="7">
      <x:c r="A7" s="57" t="n">
        <x:v>3</x:v>
      </x:c>
      <x:c r="B7" s="36" t="str">
        <x:v>Possible</x:v>
      </x:c>
      <x:c r="C7" s="36" t="str">
        <x:v>Credible; has occurred in similar context or controls partial</x:v>
      </x:c>
      <x:c r="D7" s="64" t="n">
        <x:v>3</x:v>
      </x:c>
      <x:c r="E7" s="36" t="str">
        <x:v>Moderate</x:v>
      </x:c>
      <x:c r="F7" s="36" t="str">
        <x:v>Milestone friction, user-visible defect or short outage</x:v>
      </x:c>
      <x:c r="G7" s="65"/>
      <x:c r="H7" s="36" t="str">
        <x:v>MODERATE</x:v>
      </x:c>
      <x:c r="I7" s="36" t="n">
        <x:v>9</x:v>
      </x:c>
      <x:c r="J7" s="36" t="str">
        <x:v>LOW or MEDIUM up to 9</x:v>
      </x:c>
    </x:row>
    <x:row r="8">
      <x:c r="A8" s="57" t="n">
        <x:v>4</x:v>
      </x:c>
      <x:c r="B8" s="36" t="str">
        <x:v>Likely</x:v>
      </x:c>
      <x:c r="C8" s="36" t="str">
        <x:v>Expected without active treatment; warning indicators present</x:v>
      </x:c>
      <x:c r="D8" s="64" t="n">
        <x:v>4</x:v>
      </x:c>
      <x:c r="E8" s="36" t="str">
        <x:v>Major</x:v>
      </x:c>
      <x:c r="F8" s="36" t="str">
        <x:v>H6/RC delay, serious quality/reputation or &gt;24 h disruption</x:v>
      </x:c>
      <x:c r="G8" s="65"/>
      <x:c r="H8" s="36" t="str">
        <x:v>HIGH</x:v>
      </x:c>
      <x:c r="I8" s="36" t="n">
        <x:v>16</x:v>
      </x:c>
      <x:c r="J8" s="36" t="str">
        <x:v>Up to HIGH score 16; CRITICAL never within tolerance</x:v>
      </x:c>
    </x:row>
    <x:row r="9">
      <x:c r="A9" s="57" t="n">
        <x:v>5</x:v>
      </x:c>
      <x:c r="B9" s="36" t="str">
        <x:v>Almost certain</x:v>
      </x:c>
      <x:c r="C9" s="36" t="str">
        <x:v>Already recurring, exposed or control absent</x:v>
      </x:c>
      <x:c r="D9" s="64" t="n">
        <x:v>5</x:v>
      </x:c>
      <x:c r="E9" s="36" t="str">
        <x:v>Critical</x:v>
      </x:c>
      <x:c r="F9" s="36" t="str">
        <x:v>Data loss, security/privacy/legal event, release failure or project continuity threat</x:v>
      </x:c>
      <x:c r="G9" s="65"/>
      <x:c r="H9" s="65"/>
      <x:c r="I9" s="65"/>
      <x:c r="J9" s="65"/>
    </x:row>
    <x:row r="10">
      <x:c r="B10" s="65"/>
      <x:c r="C10" s="65"/>
      <x:c r="D10" s="65"/>
      <x:c r="E10" s="65"/>
      <x:c r="F10" s="65"/>
      <x:c r="G10" s="65"/>
      <x:c r="H10" s="65"/>
      <x:c r="I10" s="65"/>
      <x:c r="J10" s="65"/>
    </x:row>
    <x:row r="11">
      <x:c r="B11" s="65"/>
      <x:c r="C11" s="65"/>
      <x:c r="D11" s="65"/>
      <x:c r="E11" s="65"/>
      <x:c r="F11" s="65"/>
      <x:c r="G11" s="65"/>
      <x:c r="H11" s="21" t="str">
        <x:v>Control Maturity</x:v>
      </x:c>
      <x:c r="I11" s="21" t="str">
        <x:v>Meaning</x:v>
      </x:c>
      <x:c r="J11" s="21" t="str">
        <x:v>Evidence expectation</x:v>
      </x:c>
    </x:row>
    <x:row r="12">
      <x:c r="A12" s="21" t="str">
        <x:v>5×5 Matrix</x:v>
      </x:c>
      <x:c r="B12" s="21" t="str">
        <x:v>Impact 1</x:v>
      </x:c>
      <x:c r="C12" s="21" t="str">
        <x:v>Impact 2</x:v>
      </x:c>
      <x:c r="D12" s="21" t="str">
        <x:v>Impact 3</x:v>
      </x:c>
      <x:c r="E12" s="21" t="str">
        <x:v>Impact 4</x:v>
      </x:c>
      <x:c r="F12" s="21" t="str">
        <x:v>Impact 5</x:v>
      </x:c>
      <x:c r="G12" s="65"/>
      <x:c r="H12" s="36" t="str">
        <x:v>ABSENT</x:v>
      </x:c>
      <x:c r="I12" s="36" t="str">
        <x:v>No defined control</x:v>
      </x:c>
      <x:c r="J12" s="36" t="str">
        <x:v>None</x:v>
      </x:c>
    </x:row>
    <x:row r="13">
      <x:c r="A13" s="27" t="str">
        <x:v>Likelihood 5</x:v>
      </x:c>
      <x:c r="B13" s="36" t="n">
        <x:v>5</x:v>
      </x:c>
      <x:c r="C13" s="36" t="n">
        <x:v>10</x:v>
      </x:c>
      <x:c r="D13" s="36" t="n">
        <x:v>15</x:v>
      </x:c>
      <x:c r="E13" s="36" t="n">
        <x:v>20</x:v>
      </x:c>
      <x:c r="F13" s="36" t="n">
        <x:v>25</x:v>
      </x:c>
      <x:c r="G13" s="65"/>
      <x:c r="H13" s="36" t="str">
        <x:v>PLANNED</x:v>
      </x:c>
      <x:c r="I13" s="36" t="str">
        <x:v>Intended but not implemented</x:v>
      </x:c>
      <x:c r="J13" s="36" t="str">
        <x:v>Plan/owner/date</x:v>
      </x:c>
    </x:row>
    <x:row r="14">
      <x:c r="A14" s="27" t="str">
        <x:v>Likelihood 4</x:v>
      </x:c>
      <x:c r="B14" s="36" t="n">
        <x:v>4</x:v>
      </x:c>
      <x:c r="C14" s="36" t="n">
        <x:v>8</x:v>
      </x:c>
      <x:c r="D14" s="36" t="n">
        <x:v>12</x:v>
      </x:c>
      <x:c r="E14" s="36" t="n">
        <x:v>16</x:v>
      </x:c>
      <x:c r="F14" s="36" t="n">
        <x:v>20</x:v>
      </x:c>
      <x:c r="G14" s="65"/>
      <x:c r="H14" s="36" t="str">
        <x:v>PARTIAL</x:v>
      </x:c>
      <x:c r="I14" s="36" t="str">
        <x:v>Some scope implemented</x:v>
      </x:c>
      <x:c r="J14" s="36" t="str">
        <x:v>Partial test/evidence</x:v>
      </x:c>
    </x:row>
    <x:row r="15">
      <x:c r="A15" s="27" t="str">
        <x:v>Likelihood 3</x:v>
      </x:c>
      <x:c r="B15" s="36" t="n">
        <x:v>3</x:v>
      </x:c>
      <x:c r="C15" s="36" t="n">
        <x:v>6</x:v>
      </x:c>
      <x:c r="D15" s="36" t="n">
        <x:v>9</x:v>
      </x:c>
      <x:c r="E15" s="36" t="n">
        <x:v>12</x:v>
      </x:c>
      <x:c r="F15" s="36" t="n">
        <x:v>15</x:v>
      </x:c>
      <x:c r="G15" s="65"/>
      <x:c r="H15" s="36" t="str">
        <x:v>DEFINED</x:v>
      </x:c>
      <x:c r="I15" s="36" t="str">
        <x:v>Documented and consistently designed</x:v>
      </x:c>
      <x:c r="J15" s="36" t="str">
        <x:v>Procedure/configuration</x:v>
      </x:c>
    </x:row>
    <x:row r="16">
      <x:c r="A16" s="27" t="str">
        <x:v>Likelihood 2</x:v>
      </x:c>
      <x:c r="B16" s="36" t="n">
        <x:v>2</x:v>
      </x:c>
      <x:c r="C16" s="36" t="n">
        <x:v>4</x:v>
      </x:c>
      <x:c r="D16" s="36" t="n">
        <x:v>6</x:v>
      </x:c>
      <x:c r="E16" s="36" t="n">
        <x:v>8</x:v>
      </x:c>
      <x:c r="F16" s="36" t="n">
        <x:v>10</x:v>
      </x:c>
      <x:c r="G16" s="65"/>
      <x:c r="H16" s="36" t="str">
        <x:v>OPERATING</x:v>
      </x:c>
      <x:c r="I16" s="36" t="str">
        <x:v>Used in normal work</x:v>
      </x:c>
      <x:c r="J16" s="36" t="str">
        <x:v>Recent operational evidence</x:v>
      </x:c>
    </x:row>
    <x:row r="17">
      <x:c r="A17" s="27" t="str">
        <x:v>Likelihood 1</x:v>
      </x:c>
      <x:c r="B17" s="36" t="n">
        <x:v>1</x:v>
      </x:c>
      <x:c r="C17" s="36" t="n">
        <x:v>2</x:v>
      </x:c>
      <x:c r="D17" s="36" t="n">
        <x:v>3</x:v>
      </x:c>
      <x:c r="E17" s="36" t="n">
        <x:v>4</x:v>
      </x:c>
      <x:c r="F17" s="36" t="n">
        <x:v>5</x:v>
      </x:c>
      <x:c r="G17" s="65"/>
      <x:c r="H17" s="36" t="str">
        <x:v>VERIFIED</x:v>
      </x:c>
      <x:c r="I17" s="36" t="str">
        <x:v>Independently tested and effective</x:v>
      </x:c>
      <x:c r="J17" s="36" t="str">
        <x:v>Passed test, hash/log and reviewer</x:v>
      </x:c>
    </x:row>
    <x:row r="18">
      <x:c r="B18" s="65"/>
      <x:c r="C18" s="65"/>
      <x:c r="D18" s="65"/>
      <x:c r="E18" s="65"/>
      <x:c r="F18" s="65"/>
      <x:c r="G18" s="65"/>
      <x:c r="H18" s="65"/>
      <x:c r="I18" s="65"/>
      <x:c r="J18" s="65"/>
    </x:row>
    <x:row r="19">
      <x:c r="B19" s="65"/>
      <x:c r="C19" s="65"/>
      <x:c r="D19" s="65"/>
      <x:c r="E19" s="65"/>
      <x:c r="F19" s="65"/>
      <x:c r="G19" s="65"/>
      <x:c r="H19" s="65"/>
      <x:c r="I19" s="65"/>
      <x:c r="J19" s="65"/>
    </x:row>
    <x:row r="20">
      <x:c r="A20" s="21" t="str">
        <x:v>Review Rule</x:v>
      </x:c>
      <x:c r="B20" s="21" t="str">
        <x:v>Critical / outside tolerance</x:v>
      </x:c>
      <x:c r="C20" s="21" t="str">
        <x:v>High</x:v>
      </x:c>
      <x:c r="D20" s="21" t="str">
        <x:v>Medium</x:v>
      </x:c>
      <x:c r="E20" s="21" t="str">
        <x:v>Low</x:v>
      </x:c>
      <x:c r="F20" s="21" t="str">
        <x:v>On incident/change</x:v>
      </x:c>
      <x:c r="G20" s="21" t="str">
        <x:v>BIA/RTO</x:v>
      </x:c>
      <x:c r="H20" s="21" t="str">
        <x:v>Backup</x:v>
      </x:c>
      <x:c r="I20" s="21" t="str">
        <x:v>Acceptance</x:v>
      </x:c>
      <x:c r="J20" s="21" t="str">
        <x:v>Closure</x:v>
      </x:c>
    </x:row>
    <x:row r="21">
      <x:c r="A21" s="27" t="str">
        <x:v>Minimum cadence</x:v>
      </x:c>
      <x:c r="B21" s="36" t="str">
        <x:v>Weekly</x:v>
      </x:c>
      <x:c r="C21" s="36" t="str">
        <x:v>Biweekly/monthly</x:v>
      </x:c>
      <x:c r="D21" s="36" t="str">
        <x:v>Monthly</x:v>
      </x:c>
      <x:c r="E21" s="36" t="str">
        <x:v>Quarterly</x:v>
      </x:c>
      <x:c r="F21" s="36" t="str">
        <x:v>Immediate</x:v>
      </x:c>
      <x:c r="G21" s="36" t="str">
        <x:v>Per exercise/change</x:v>
      </x:c>
      <x:c r="H21" s="36" t="str">
        <x:v>Per schedule + restore test</x:v>
      </x:c>
      <x:c r="I21" s="36" t="str">
        <x:v>Before expiry</x:v>
      </x:c>
      <x:c r="J21" s="36" t="str">
        <x:v>Only after evidence and no recurrence condition</x:v>
      </x:c>
    </x:row>
  </x:sheetData>
  <x:mergeCells>
    <x:mergeCell ref="A1:J1"/>
    <x:mergeCell ref="A2:J2"/>
  </x:mergeCells>
  <x:conditionalFormatting sqref="B13:F17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